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pivotTables/pivotTable12.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1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6.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24226"/>
  <mc:AlternateContent xmlns:mc="http://schemas.openxmlformats.org/markup-compatibility/2006">
    <mc:Choice Requires="x15">
      <x15ac:absPath xmlns:x15ac="http://schemas.microsoft.com/office/spreadsheetml/2010/11/ac" url="C:\Users\Guest user\Documents\CARO\CaroGit\"/>
    </mc:Choice>
  </mc:AlternateContent>
  <xr:revisionPtr revIDLastSave="0" documentId="13_ncr:1_{76086DB3-60EA-4EFD-8D97-18CF720CC6E4}" xr6:coauthVersionLast="47" xr6:coauthVersionMax="47" xr10:uidLastSave="{00000000-0000-0000-0000-000000000000}"/>
  <bookViews>
    <workbookView xWindow="-120" yWindow="-120" windowWidth="20730" windowHeight="11040" firstSheet="13" activeTab="16" xr2:uid="{00000000-000D-0000-FFFF-FFFF00000000}"/>
  </bookViews>
  <sheets>
    <sheet name="Data" sheetId="1" r:id="rId1"/>
    <sheet name="Cohort Analysis" sheetId="6" r:id="rId2"/>
    <sheet name="SKU" sheetId="8" r:id="rId3"/>
    <sheet name="ABC" sheetId="9" r:id="rId4"/>
    <sheet name="salespersons" sheetId="11" r:id="rId5"/>
    <sheet name="per month" sheetId="12" r:id="rId6"/>
    <sheet name="Channel Mix" sheetId="13" r:id="rId7"/>
    <sheet name="Service Level " sheetId="14" r:id="rId8"/>
    <sheet name="Price Compliance" sheetId="15" r:id="rId9"/>
    <sheet name="Revenue per month" sheetId="20" r:id="rId10"/>
    <sheet name="Profit by R n C" sheetId="21" r:id="rId11"/>
    <sheet name="10 SKU" sheetId="22" r:id="rId12"/>
    <sheet name="slicer" sheetId="23" r:id="rId13"/>
    <sheet name="Sheet17" sheetId="24" r:id="rId14"/>
    <sheet name="Sheet18" sheetId="25" r:id="rId15"/>
    <sheet name="Data_staging" sheetId="3" r:id="rId16"/>
    <sheet name="Read Me" sheetId="4" r:id="rId17"/>
    <sheet name="Brief" sheetId="2" r:id="rId18"/>
    <sheet name="Scenario_Control" sheetId="16" r:id="rId19"/>
    <sheet name="Dashboard" sheetId="18" r:id="rId20"/>
  </sheets>
  <definedNames>
    <definedName name="_xlchart.v1.0" hidden="1">Sheet17!$G$603:$G$1232</definedName>
    <definedName name="_xlchart.v1.1" hidden="1">Sheet17!$H$602</definedName>
    <definedName name="_xlchart.v1.2" hidden="1">Sheet17!$H$603:$H$1232</definedName>
    <definedName name="_xlchart.v1.3" hidden="1">Sheet17!$G$603:$G$1232</definedName>
    <definedName name="_xlchart.v1.4" hidden="1">Sheet17!$H$602</definedName>
    <definedName name="_xlchart.v1.5" hidden="1">Sheet17!$H$603:$H$1232</definedName>
    <definedName name="Slicer_Channel">#N/A</definedName>
    <definedName name="Slicer_Country">#N/A</definedName>
    <definedName name="Slicer_Month">#N/A</definedName>
    <definedName name="Slicer_ProductCategory">#N/A</definedName>
    <definedName name="Slicer_Region">#N/A</definedName>
    <definedName name="Slicer_Salesperson">#N/A</definedName>
  </definedNames>
  <calcPr calcId="191029"/>
  <pivotCaches>
    <pivotCache cacheId="0" r:id="rId21"/>
  </pivotCaches>
  <extLst>
    <ext xmlns:x14="http://schemas.microsoft.com/office/spreadsheetml/2009/9/main" uri="{BBE1A952-AA13-448e-AADC-164F8A28A991}">
      <x14:slicerCaches>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641" i="3" l="1"/>
  <c r="Q3" i="3" l="1"/>
  <c r="Q4" i="3"/>
  <c r="Q5" i="3"/>
  <c r="Q6" i="3"/>
  <c r="AK6" i="3" s="1"/>
  <c r="AI6" i="3" s="1"/>
  <c r="AJ6" i="3" s="1"/>
  <c r="Q7" i="3"/>
  <c r="Q8" i="3"/>
  <c r="Q9" i="3"/>
  <c r="Q10" i="3"/>
  <c r="AK10" i="3" s="1"/>
  <c r="AI10" i="3" s="1"/>
  <c r="AJ10" i="3" s="1"/>
  <c r="Q11" i="3"/>
  <c r="Q12" i="3"/>
  <c r="Q13" i="3"/>
  <c r="Q14" i="3"/>
  <c r="AK14" i="3" s="1"/>
  <c r="AI14" i="3" s="1"/>
  <c r="AJ14" i="3" s="1"/>
  <c r="Q15" i="3"/>
  <c r="Q16" i="3"/>
  <c r="Q17" i="3"/>
  <c r="Q18" i="3"/>
  <c r="AK18" i="3" s="1"/>
  <c r="AI18" i="3" s="1"/>
  <c r="AJ18" i="3" s="1"/>
  <c r="Q19" i="3"/>
  <c r="Q20" i="3"/>
  <c r="Q21" i="3"/>
  <c r="Q22" i="3"/>
  <c r="AK22" i="3" s="1"/>
  <c r="AI22" i="3" s="1"/>
  <c r="AJ22" i="3" s="1"/>
  <c r="Q23" i="3"/>
  <c r="Q24" i="3"/>
  <c r="Q25" i="3"/>
  <c r="Q26" i="3"/>
  <c r="AK26" i="3" s="1"/>
  <c r="AI26" i="3" s="1"/>
  <c r="AJ26" i="3" s="1"/>
  <c r="Q27" i="3"/>
  <c r="Q28" i="3"/>
  <c r="Q29" i="3"/>
  <c r="Q30" i="3"/>
  <c r="AK30" i="3" s="1"/>
  <c r="AI30" i="3" s="1"/>
  <c r="AJ30" i="3" s="1"/>
  <c r="Q31" i="3"/>
  <c r="Q32" i="3"/>
  <c r="Q33" i="3"/>
  <c r="Q34" i="3"/>
  <c r="AK34" i="3" s="1"/>
  <c r="AI34" i="3" s="1"/>
  <c r="AJ34" i="3" s="1"/>
  <c r="Q35" i="3"/>
  <c r="Q36" i="3"/>
  <c r="Q37" i="3"/>
  <c r="Q38" i="3"/>
  <c r="AK38" i="3" s="1"/>
  <c r="AI38" i="3" s="1"/>
  <c r="AJ38" i="3" s="1"/>
  <c r="Q39" i="3"/>
  <c r="Q40" i="3"/>
  <c r="Q41" i="3"/>
  <c r="Q42" i="3"/>
  <c r="AK42" i="3" s="1"/>
  <c r="AI42" i="3" s="1"/>
  <c r="AJ42" i="3" s="1"/>
  <c r="Q43" i="3"/>
  <c r="Q44" i="3"/>
  <c r="Q45" i="3"/>
  <c r="Q46" i="3"/>
  <c r="AK46" i="3" s="1"/>
  <c r="AI46" i="3" s="1"/>
  <c r="AJ46" i="3" s="1"/>
  <c r="Q47" i="3"/>
  <c r="Q48" i="3"/>
  <c r="Q49" i="3"/>
  <c r="Q50" i="3"/>
  <c r="AK50" i="3" s="1"/>
  <c r="AI50" i="3" s="1"/>
  <c r="AJ50" i="3" s="1"/>
  <c r="Q51" i="3"/>
  <c r="Q52" i="3"/>
  <c r="Q53" i="3"/>
  <c r="Q54" i="3"/>
  <c r="AK54" i="3" s="1"/>
  <c r="AI54" i="3" s="1"/>
  <c r="AJ54" i="3" s="1"/>
  <c r="Q55" i="3"/>
  <c r="Q56" i="3"/>
  <c r="Q57" i="3"/>
  <c r="Q58" i="3"/>
  <c r="AK58" i="3" s="1"/>
  <c r="AI58" i="3" s="1"/>
  <c r="AJ58" i="3" s="1"/>
  <c r="Q59" i="3"/>
  <c r="Q60" i="3"/>
  <c r="Q61" i="3"/>
  <c r="Q62" i="3"/>
  <c r="AK62" i="3" s="1"/>
  <c r="AI62" i="3" s="1"/>
  <c r="AJ62" i="3" s="1"/>
  <c r="Q63" i="3"/>
  <c r="Q64" i="3"/>
  <c r="Q65" i="3"/>
  <c r="Q66" i="3"/>
  <c r="AK66" i="3" s="1"/>
  <c r="AI66" i="3" s="1"/>
  <c r="AJ66" i="3" s="1"/>
  <c r="Q67" i="3"/>
  <c r="Q68" i="3"/>
  <c r="Q69" i="3"/>
  <c r="Q70" i="3"/>
  <c r="AK70" i="3" s="1"/>
  <c r="AI70" i="3" s="1"/>
  <c r="AJ70" i="3" s="1"/>
  <c r="Q71" i="3"/>
  <c r="Q72" i="3"/>
  <c r="Q73" i="3"/>
  <c r="Q74" i="3"/>
  <c r="AK74" i="3" s="1"/>
  <c r="AI74" i="3" s="1"/>
  <c r="AJ74" i="3" s="1"/>
  <c r="Q75" i="3"/>
  <c r="Q76" i="3"/>
  <c r="Q77" i="3"/>
  <c r="Q78" i="3"/>
  <c r="AK78" i="3" s="1"/>
  <c r="AI78" i="3" s="1"/>
  <c r="AJ78" i="3" s="1"/>
  <c r="Q79" i="3"/>
  <c r="Q80" i="3"/>
  <c r="Q81" i="3"/>
  <c r="Q82" i="3"/>
  <c r="AK82" i="3" s="1"/>
  <c r="AI82" i="3" s="1"/>
  <c r="AJ82" i="3" s="1"/>
  <c r="Q83" i="3"/>
  <c r="Q84" i="3"/>
  <c r="Q85" i="3"/>
  <c r="Q86" i="3"/>
  <c r="AK86" i="3" s="1"/>
  <c r="AI86" i="3" s="1"/>
  <c r="AJ86" i="3" s="1"/>
  <c r="Q87" i="3"/>
  <c r="Q88" i="3"/>
  <c r="Q89" i="3"/>
  <c r="Q90" i="3"/>
  <c r="AK90" i="3" s="1"/>
  <c r="AI90" i="3" s="1"/>
  <c r="AJ90" i="3" s="1"/>
  <c r="Q91" i="3"/>
  <c r="Q92" i="3"/>
  <c r="Q93" i="3"/>
  <c r="Q94" i="3"/>
  <c r="AK94" i="3" s="1"/>
  <c r="AI94" i="3" s="1"/>
  <c r="AJ94" i="3" s="1"/>
  <c r="Q95" i="3"/>
  <c r="Q96" i="3"/>
  <c r="Q97" i="3"/>
  <c r="Q98" i="3"/>
  <c r="AK98" i="3" s="1"/>
  <c r="AI98" i="3" s="1"/>
  <c r="AJ98" i="3" s="1"/>
  <c r="Q99" i="3"/>
  <c r="Q100" i="3"/>
  <c r="Q101" i="3"/>
  <c r="Q102" i="3"/>
  <c r="AK102" i="3" s="1"/>
  <c r="AI102" i="3" s="1"/>
  <c r="AJ102" i="3" s="1"/>
  <c r="Q103" i="3"/>
  <c r="Q104" i="3"/>
  <c r="Q105" i="3"/>
  <c r="Q106" i="3"/>
  <c r="AK106" i="3" s="1"/>
  <c r="AI106" i="3" s="1"/>
  <c r="AJ106" i="3" s="1"/>
  <c r="Q107" i="3"/>
  <c r="Q108" i="3"/>
  <c r="Q109" i="3"/>
  <c r="Q110" i="3"/>
  <c r="AK110" i="3" s="1"/>
  <c r="AI110" i="3" s="1"/>
  <c r="AJ110" i="3" s="1"/>
  <c r="Q111" i="3"/>
  <c r="Q112" i="3"/>
  <c r="Q113" i="3"/>
  <c r="Q114" i="3"/>
  <c r="AK114" i="3" s="1"/>
  <c r="AI114" i="3" s="1"/>
  <c r="AJ114" i="3" s="1"/>
  <c r="Q115" i="3"/>
  <c r="Q116" i="3"/>
  <c r="Q117" i="3"/>
  <c r="Q118" i="3"/>
  <c r="AK118" i="3" s="1"/>
  <c r="AI118" i="3" s="1"/>
  <c r="AJ118" i="3" s="1"/>
  <c r="Q119" i="3"/>
  <c r="Q120" i="3"/>
  <c r="Q121" i="3"/>
  <c r="Q122" i="3"/>
  <c r="AK122" i="3" s="1"/>
  <c r="AI122" i="3" s="1"/>
  <c r="AJ122" i="3" s="1"/>
  <c r="Q123" i="3"/>
  <c r="Q124" i="3"/>
  <c r="Q125" i="3"/>
  <c r="Q126" i="3"/>
  <c r="AK126" i="3" s="1"/>
  <c r="AI126" i="3" s="1"/>
  <c r="AJ126" i="3" s="1"/>
  <c r="Q127" i="3"/>
  <c r="Q128" i="3"/>
  <c r="Q129" i="3"/>
  <c r="Q130" i="3"/>
  <c r="AK130" i="3" s="1"/>
  <c r="AI130" i="3" s="1"/>
  <c r="AJ130" i="3" s="1"/>
  <c r="Q131" i="3"/>
  <c r="Q132" i="3"/>
  <c r="Q133" i="3"/>
  <c r="Q134" i="3"/>
  <c r="AK134" i="3" s="1"/>
  <c r="AI134" i="3" s="1"/>
  <c r="AJ134" i="3" s="1"/>
  <c r="Q135" i="3"/>
  <c r="Q136" i="3"/>
  <c r="Q137" i="3"/>
  <c r="Q138" i="3"/>
  <c r="AK138" i="3" s="1"/>
  <c r="AI138" i="3" s="1"/>
  <c r="AJ138" i="3" s="1"/>
  <c r="Q139" i="3"/>
  <c r="Q140" i="3"/>
  <c r="Q141" i="3"/>
  <c r="Q142" i="3"/>
  <c r="AK142" i="3" s="1"/>
  <c r="AI142" i="3" s="1"/>
  <c r="AJ142" i="3" s="1"/>
  <c r="Q143" i="3"/>
  <c r="Q144" i="3"/>
  <c r="Q145" i="3"/>
  <c r="Q146" i="3"/>
  <c r="AK146" i="3" s="1"/>
  <c r="AI146" i="3" s="1"/>
  <c r="AJ146" i="3" s="1"/>
  <c r="Q147" i="3"/>
  <c r="Q148" i="3"/>
  <c r="Q149" i="3"/>
  <c r="Q150" i="3"/>
  <c r="AK150" i="3" s="1"/>
  <c r="AI150" i="3" s="1"/>
  <c r="AJ150" i="3" s="1"/>
  <c r="Q151" i="3"/>
  <c r="Q152" i="3"/>
  <c r="Q153" i="3"/>
  <c r="Q154" i="3"/>
  <c r="AK154" i="3" s="1"/>
  <c r="AI154" i="3" s="1"/>
  <c r="AJ154" i="3" s="1"/>
  <c r="Q155" i="3"/>
  <c r="Q156" i="3"/>
  <c r="Q157" i="3"/>
  <c r="Q158" i="3"/>
  <c r="AK158" i="3" s="1"/>
  <c r="AI158" i="3" s="1"/>
  <c r="AJ158" i="3" s="1"/>
  <c r="Q159" i="3"/>
  <c r="Q160" i="3"/>
  <c r="Q161" i="3"/>
  <c r="Q162" i="3"/>
  <c r="AK162" i="3" s="1"/>
  <c r="AI162" i="3" s="1"/>
  <c r="AJ162" i="3" s="1"/>
  <c r="Q163" i="3"/>
  <c r="Q164" i="3"/>
  <c r="Q165" i="3"/>
  <c r="Q166" i="3"/>
  <c r="AK166" i="3" s="1"/>
  <c r="AI166" i="3" s="1"/>
  <c r="AJ166" i="3" s="1"/>
  <c r="Q167" i="3"/>
  <c r="Q168" i="3"/>
  <c r="Q169" i="3"/>
  <c r="Q170" i="3"/>
  <c r="AK170" i="3" s="1"/>
  <c r="AI170" i="3" s="1"/>
  <c r="AJ170" i="3" s="1"/>
  <c r="Q171" i="3"/>
  <c r="Q172" i="3"/>
  <c r="Q173" i="3"/>
  <c r="Q174" i="3"/>
  <c r="AK174" i="3" s="1"/>
  <c r="AI174" i="3" s="1"/>
  <c r="AJ174" i="3" s="1"/>
  <c r="Q175" i="3"/>
  <c r="Q176" i="3"/>
  <c r="Q177" i="3"/>
  <c r="Q178" i="3"/>
  <c r="AK178" i="3" s="1"/>
  <c r="AI178" i="3" s="1"/>
  <c r="AJ178" i="3" s="1"/>
  <c r="Q179" i="3"/>
  <c r="Q180" i="3"/>
  <c r="Q181" i="3"/>
  <c r="Q182" i="3"/>
  <c r="AK182" i="3" s="1"/>
  <c r="AI182" i="3" s="1"/>
  <c r="AJ182" i="3" s="1"/>
  <c r="Q183" i="3"/>
  <c r="Q184" i="3"/>
  <c r="Q185" i="3"/>
  <c r="Q186" i="3"/>
  <c r="AK186" i="3" s="1"/>
  <c r="AI186" i="3" s="1"/>
  <c r="AJ186" i="3" s="1"/>
  <c r="Q187" i="3"/>
  <c r="Q188" i="3"/>
  <c r="Q189" i="3"/>
  <c r="Q190" i="3"/>
  <c r="AK190" i="3" s="1"/>
  <c r="AI190" i="3" s="1"/>
  <c r="AJ190" i="3" s="1"/>
  <c r="Q191" i="3"/>
  <c r="Q192" i="3"/>
  <c r="Q193" i="3"/>
  <c r="Q194" i="3"/>
  <c r="AK194" i="3" s="1"/>
  <c r="AI194" i="3" s="1"/>
  <c r="AJ194" i="3" s="1"/>
  <c r="Q195" i="3"/>
  <c r="Q196" i="3"/>
  <c r="Q197" i="3"/>
  <c r="Q198" i="3"/>
  <c r="AK198" i="3" s="1"/>
  <c r="AI198" i="3" s="1"/>
  <c r="AJ198" i="3" s="1"/>
  <c r="Q199" i="3"/>
  <c r="Q200" i="3"/>
  <c r="Q201" i="3"/>
  <c r="Q202" i="3"/>
  <c r="AK202" i="3" s="1"/>
  <c r="AI202" i="3" s="1"/>
  <c r="AJ202" i="3" s="1"/>
  <c r="Q203" i="3"/>
  <c r="Q204" i="3"/>
  <c r="Q205" i="3"/>
  <c r="Q206" i="3"/>
  <c r="AK206" i="3" s="1"/>
  <c r="AI206" i="3" s="1"/>
  <c r="AJ206" i="3" s="1"/>
  <c r="Q207" i="3"/>
  <c r="Q208" i="3"/>
  <c r="Q209" i="3"/>
  <c r="Q210" i="3"/>
  <c r="AK210" i="3" s="1"/>
  <c r="AI210" i="3" s="1"/>
  <c r="AJ210" i="3" s="1"/>
  <c r="Q211" i="3"/>
  <c r="Q212" i="3"/>
  <c r="Q213" i="3"/>
  <c r="Q214" i="3"/>
  <c r="AK214" i="3" s="1"/>
  <c r="AI214" i="3" s="1"/>
  <c r="AJ214" i="3" s="1"/>
  <c r="Q215" i="3"/>
  <c r="Q216" i="3"/>
  <c r="Q217" i="3"/>
  <c r="Q218" i="3"/>
  <c r="AK218" i="3" s="1"/>
  <c r="AI218" i="3" s="1"/>
  <c r="AJ218" i="3" s="1"/>
  <c r="Q219" i="3"/>
  <c r="Q220" i="3"/>
  <c r="Q221" i="3"/>
  <c r="Q222" i="3"/>
  <c r="AK222" i="3" s="1"/>
  <c r="AI222" i="3" s="1"/>
  <c r="AJ222" i="3" s="1"/>
  <c r="Q223" i="3"/>
  <c r="Q224" i="3"/>
  <c r="Q225" i="3"/>
  <c r="Q226" i="3"/>
  <c r="AK226" i="3" s="1"/>
  <c r="AI226" i="3" s="1"/>
  <c r="AJ226" i="3" s="1"/>
  <c r="Q227" i="3"/>
  <c r="Q228" i="3"/>
  <c r="Q229" i="3"/>
  <c r="Q230" i="3"/>
  <c r="AK230" i="3" s="1"/>
  <c r="AI230" i="3" s="1"/>
  <c r="AJ230" i="3" s="1"/>
  <c r="Q231" i="3"/>
  <c r="Q232" i="3"/>
  <c r="Q233" i="3"/>
  <c r="Q234" i="3"/>
  <c r="AK234" i="3" s="1"/>
  <c r="AI234" i="3" s="1"/>
  <c r="AJ234" i="3" s="1"/>
  <c r="Q235" i="3"/>
  <c r="Q236" i="3"/>
  <c r="Q237" i="3"/>
  <c r="Q238" i="3"/>
  <c r="AK238" i="3" s="1"/>
  <c r="AI238" i="3" s="1"/>
  <c r="AJ238" i="3" s="1"/>
  <c r="Q239" i="3"/>
  <c r="Q240" i="3"/>
  <c r="Q241" i="3"/>
  <c r="Q242" i="3"/>
  <c r="AK242" i="3" s="1"/>
  <c r="AI242" i="3" s="1"/>
  <c r="AJ242" i="3" s="1"/>
  <c r="Q243" i="3"/>
  <c r="Q244" i="3"/>
  <c r="Q245" i="3"/>
  <c r="Q246" i="3"/>
  <c r="AK246" i="3" s="1"/>
  <c r="AI246" i="3" s="1"/>
  <c r="AJ246" i="3" s="1"/>
  <c r="Q247" i="3"/>
  <c r="Q248" i="3"/>
  <c r="Q249" i="3"/>
  <c r="Q250" i="3"/>
  <c r="AK250" i="3" s="1"/>
  <c r="AI250" i="3" s="1"/>
  <c r="AJ250" i="3" s="1"/>
  <c r="Q251" i="3"/>
  <c r="Q252" i="3"/>
  <c r="Q253" i="3"/>
  <c r="Q254" i="3"/>
  <c r="AK254" i="3" s="1"/>
  <c r="AI254" i="3" s="1"/>
  <c r="AJ254" i="3" s="1"/>
  <c r="Q255" i="3"/>
  <c r="Q256" i="3"/>
  <c r="Q257" i="3"/>
  <c r="Q258" i="3"/>
  <c r="AK258" i="3" s="1"/>
  <c r="AI258" i="3" s="1"/>
  <c r="AJ258" i="3" s="1"/>
  <c r="Q259" i="3"/>
  <c r="Q260" i="3"/>
  <c r="Q261" i="3"/>
  <c r="Q262" i="3"/>
  <c r="AK262" i="3" s="1"/>
  <c r="AI262" i="3" s="1"/>
  <c r="AJ262" i="3" s="1"/>
  <c r="Q263" i="3"/>
  <c r="Q264" i="3"/>
  <c r="Q265" i="3"/>
  <c r="Q266" i="3"/>
  <c r="AK266" i="3" s="1"/>
  <c r="AI266" i="3" s="1"/>
  <c r="AJ266" i="3" s="1"/>
  <c r="Q267" i="3"/>
  <c r="Q268" i="3"/>
  <c r="Q269" i="3"/>
  <c r="Q270" i="3"/>
  <c r="AK270" i="3" s="1"/>
  <c r="AI270" i="3" s="1"/>
  <c r="AJ270" i="3" s="1"/>
  <c r="Q271" i="3"/>
  <c r="Q272" i="3"/>
  <c r="Q273" i="3"/>
  <c r="Q274" i="3"/>
  <c r="AK274" i="3" s="1"/>
  <c r="AI274" i="3" s="1"/>
  <c r="AJ274" i="3" s="1"/>
  <c r="Q275" i="3"/>
  <c r="Q276" i="3"/>
  <c r="Q277" i="3"/>
  <c r="Q278" i="3"/>
  <c r="AK278" i="3" s="1"/>
  <c r="AI278" i="3" s="1"/>
  <c r="AJ278" i="3" s="1"/>
  <c r="Q279" i="3"/>
  <c r="Q280" i="3"/>
  <c r="Q281" i="3"/>
  <c r="Q282" i="3"/>
  <c r="AK282" i="3" s="1"/>
  <c r="AI282" i="3" s="1"/>
  <c r="AJ282" i="3" s="1"/>
  <c r="Q283" i="3"/>
  <c r="Q284" i="3"/>
  <c r="Q285" i="3"/>
  <c r="Q286" i="3"/>
  <c r="AK286" i="3" s="1"/>
  <c r="AI286" i="3" s="1"/>
  <c r="AJ286" i="3" s="1"/>
  <c r="Q287" i="3"/>
  <c r="Q288" i="3"/>
  <c r="Q289" i="3"/>
  <c r="Q290" i="3"/>
  <c r="AK290" i="3" s="1"/>
  <c r="AI290" i="3" s="1"/>
  <c r="AJ290" i="3" s="1"/>
  <c r="Q291" i="3"/>
  <c r="Q292" i="3"/>
  <c r="Q293" i="3"/>
  <c r="Q294" i="3"/>
  <c r="AK294" i="3" s="1"/>
  <c r="AI294" i="3" s="1"/>
  <c r="AJ294" i="3" s="1"/>
  <c r="Q295" i="3"/>
  <c r="Q296" i="3"/>
  <c r="Q297" i="3"/>
  <c r="Q298" i="3"/>
  <c r="AK298" i="3" s="1"/>
  <c r="AI298" i="3" s="1"/>
  <c r="AJ298" i="3" s="1"/>
  <c r="Q299" i="3"/>
  <c r="Q300" i="3"/>
  <c r="Q301" i="3"/>
  <c r="Q302" i="3"/>
  <c r="AK302" i="3" s="1"/>
  <c r="AI302" i="3" s="1"/>
  <c r="AJ302" i="3" s="1"/>
  <c r="Q303" i="3"/>
  <c r="Q304" i="3"/>
  <c r="Q305" i="3"/>
  <c r="Q306" i="3"/>
  <c r="AK306" i="3" s="1"/>
  <c r="AI306" i="3" s="1"/>
  <c r="AJ306" i="3" s="1"/>
  <c r="Q307" i="3"/>
  <c r="Q308" i="3"/>
  <c r="Q309" i="3"/>
  <c r="Q310" i="3"/>
  <c r="AK310" i="3" s="1"/>
  <c r="AI310" i="3" s="1"/>
  <c r="AJ310" i="3" s="1"/>
  <c r="Q311" i="3"/>
  <c r="Q312" i="3"/>
  <c r="Q313" i="3"/>
  <c r="Q314" i="3"/>
  <c r="AK314" i="3" s="1"/>
  <c r="AI314" i="3" s="1"/>
  <c r="AJ314" i="3" s="1"/>
  <c r="Q315" i="3"/>
  <c r="Q316" i="3"/>
  <c r="Q317" i="3"/>
  <c r="Q318" i="3"/>
  <c r="AK318" i="3" s="1"/>
  <c r="AI318" i="3" s="1"/>
  <c r="AJ318" i="3" s="1"/>
  <c r="Q319" i="3"/>
  <c r="Q320" i="3"/>
  <c r="Q321" i="3"/>
  <c r="Q322" i="3"/>
  <c r="AK322" i="3" s="1"/>
  <c r="AI322" i="3" s="1"/>
  <c r="AJ322" i="3" s="1"/>
  <c r="Q323" i="3"/>
  <c r="Q324" i="3"/>
  <c r="Q325" i="3"/>
  <c r="Q326" i="3"/>
  <c r="AK326" i="3" s="1"/>
  <c r="AI326" i="3" s="1"/>
  <c r="AJ326" i="3" s="1"/>
  <c r="Q327" i="3"/>
  <c r="Q328" i="3"/>
  <c r="Q329" i="3"/>
  <c r="Q330" i="3"/>
  <c r="AK330" i="3" s="1"/>
  <c r="AI330" i="3" s="1"/>
  <c r="AJ330" i="3" s="1"/>
  <c r="Q331" i="3"/>
  <c r="Q332" i="3"/>
  <c r="Q333" i="3"/>
  <c r="Q334" i="3"/>
  <c r="AK334" i="3" s="1"/>
  <c r="AI334" i="3" s="1"/>
  <c r="AJ334" i="3" s="1"/>
  <c r="Q335" i="3"/>
  <c r="Q336" i="3"/>
  <c r="Q337" i="3"/>
  <c r="Q338" i="3"/>
  <c r="AK338" i="3" s="1"/>
  <c r="AI338" i="3" s="1"/>
  <c r="AJ338" i="3" s="1"/>
  <c r="Q339" i="3"/>
  <c r="Q340" i="3"/>
  <c r="Q341" i="3"/>
  <c r="Q342" i="3"/>
  <c r="AK342" i="3" s="1"/>
  <c r="AI342" i="3" s="1"/>
  <c r="AJ342" i="3" s="1"/>
  <c r="Q343" i="3"/>
  <c r="Q344" i="3"/>
  <c r="Q345" i="3"/>
  <c r="Q346" i="3"/>
  <c r="AK346" i="3" s="1"/>
  <c r="AI346" i="3" s="1"/>
  <c r="AJ346" i="3" s="1"/>
  <c r="Q347" i="3"/>
  <c r="Q348" i="3"/>
  <c r="Q349" i="3"/>
  <c r="Q350" i="3"/>
  <c r="AK350" i="3" s="1"/>
  <c r="AI350" i="3" s="1"/>
  <c r="AJ350" i="3" s="1"/>
  <c r="Q351" i="3"/>
  <c r="Q352" i="3"/>
  <c r="Q353" i="3"/>
  <c r="Q354" i="3"/>
  <c r="AK354" i="3" s="1"/>
  <c r="AI354" i="3" s="1"/>
  <c r="AJ354" i="3" s="1"/>
  <c r="Q355" i="3"/>
  <c r="Q356" i="3"/>
  <c r="Q357" i="3"/>
  <c r="Q358" i="3"/>
  <c r="AK358" i="3" s="1"/>
  <c r="AI358" i="3" s="1"/>
  <c r="AJ358" i="3" s="1"/>
  <c r="Q359" i="3"/>
  <c r="Q360" i="3"/>
  <c r="Q361" i="3"/>
  <c r="Q362" i="3"/>
  <c r="AK362" i="3" s="1"/>
  <c r="AI362" i="3" s="1"/>
  <c r="AJ362" i="3" s="1"/>
  <c r="Q363" i="3"/>
  <c r="Q364" i="3"/>
  <c r="Q365" i="3"/>
  <c r="Q366" i="3"/>
  <c r="AK366" i="3" s="1"/>
  <c r="AI366" i="3" s="1"/>
  <c r="AJ366" i="3" s="1"/>
  <c r="Q367" i="3"/>
  <c r="Q368" i="3"/>
  <c r="Q369" i="3"/>
  <c r="Q370" i="3"/>
  <c r="AK370" i="3" s="1"/>
  <c r="AI370" i="3" s="1"/>
  <c r="AJ370" i="3" s="1"/>
  <c r="Q371" i="3"/>
  <c r="Q372" i="3"/>
  <c r="Q373" i="3"/>
  <c r="Q374" i="3"/>
  <c r="AK374" i="3" s="1"/>
  <c r="AI374" i="3" s="1"/>
  <c r="AJ374" i="3" s="1"/>
  <c r="Q375" i="3"/>
  <c r="Q376" i="3"/>
  <c r="Q377" i="3"/>
  <c r="Q378" i="3"/>
  <c r="AK378" i="3" s="1"/>
  <c r="AI378" i="3" s="1"/>
  <c r="AJ378" i="3" s="1"/>
  <c r="Q379" i="3"/>
  <c r="Q380" i="3"/>
  <c r="Q381" i="3"/>
  <c r="Q382" i="3"/>
  <c r="AK382" i="3" s="1"/>
  <c r="AI382" i="3" s="1"/>
  <c r="AJ382" i="3" s="1"/>
  <c r="Q383" i="3"/>
  <c r="Q384" i="3"/>
  <c r="Q385" i="3"/>
  <c r="Q386" i="3"/>
  <c r="AK386" i="3" s="1"/>
  <c r="AI386" i="3" s="1"/>
  <c r="AJ386" i="3" s="1"/>
  <c r="Q387" i="3"/>
  <c r="Q388" i="3"/>
  <c r="Q389" i="3"/>
  <c r="Q390" i="3"/>
  <c r="AK390" i="3" s="1"/>
  <c r="AI390" i="3" s="1"/>
  <c r="AJ390" i="3" s="1"/>
  <c r="Q391" i="3"/>
  <c r="Q392" i="3"/>
  <c r="Q393" i="3"/>
  <c r="Q394" i="3"/>
  <c r="AK394" i="3" s="1"/>
  <c r="AI394" i="3" s="1"/>
  <c r="AJ394" i="3" s="1"/>
  <c r="Q395" i="3"/>
  <c r="Q396" i="3"/>
  <c r="Q397" i="3"/>
  <c r="Q398" i="3"/>
  <c r="AK398" i="3" s="1"/>
  <c r="AI398" i="3" s="1"/>
  <c r="AJ398" i="3" s="1"/>
  <c r="Q399" i="3"/>
  <c r="Q400" i="3"/>
  <c r="Q401" i="3"/>
  <c r="Q402" i="3"/>
  <c r="AK402" i="3" s="1"/>
  <c r="AI402" i="3" s="1"/>
  <c r="AJ402" i="3" s="1"/>
  <c r="Q403" i="3"/>
  <c r="Q404" i="3"/>
  <c r="Q405" i="3"/>
  <c r="Q406" i="3"/>
  <c r="AK406" i="3" s="1"/>
  <c r="AI406" i="3" s="1"/>
  <c r="AJ406" i="3" s="1"/>
  <c r="Q407" i="3"/>
  <c r="Q408" i="3"/>
  <c r="Q409" i="3"/>
  <c r="Q410" i="3"/>
  <c r="AK410" i="3" s="1"/>
  <c r="AI410" i="3" s="1"/>
  <c r="AJ410" i="3" s="1"/>
  <c r="Q411" i="3"/>
  <c r="Q412" i="3"/>
  <c r="Q413" i="3"/>
  <c r="Q414" i="3"/>
  <c r="AK414" i="3" s="1"/>
  <c r="AI414" i="3" s="1"/>
  <c r="AJ414" i="3" s="1"/>
  <c r="Q415" i="3"/>
  <c r="Q416" i="3"/>
  <c r="Q417" i="3"/>
  <c r="Q418" i="3"/>
  <c r="AK418" i="3" s="1"/>
  <c r="AI418" i="3" s="1"/>
  <c r="AJ418" i="3" s="1"/>
  <c r="Q419" i="3"/>
  <c r="Q420" i="3"/>
  <c r="Q421" i="3"/>
  <c r="Q422" i="3"/>
  <c r="AK422" i="3" s="1"/>
  <c r="AI422" i="3" s="1"/>
  <c r="AJ422" i="3" s="1"/>
  <c r="Q423" i="3"/>
  <c r="Q424" i="3"/>
  <c r="Q425" i="3"/>
  <c r="Q426" i="3"/>
  <c r="AK426" i="3" s="1"/>
  <c r="AI426" i="3" s="1"/>
  <c r="AJ426" i="3" s="1"/>
  <c r="Q427" i="3"/>
  <c r="Q428" i="3"/>
  <c r="Q429" i="3"/>
  <c r="Q430" i="3"/>
  <c r="AK430" i="3" s="1"/>
  <c r="AI430" i="3" s="1"/>
  <c r="AJ430" i="3" s="1"/>
  <c r="Q431" i="3"/>
  <c r="Q432" i="3"/>
  <c r="Q433" i="3"/>
  <c r="Q434" i="3"/>
  <c r="AK434" i="3" s="1"/>
  <c r="AI434" i="3" s="1"/>
  <c r="AJ434" i="3" s="1"/>
  <c r="Q435" i="3"/>
  <c r="Q436" i="3"/>
  <c r="Q437" i="3"/>
  <c r="Q438" i="3"/>
  <c r="AK438" i="3" s="1"/>
  <c r="AI438" i="3" s="1"/>
  <c r="AJ438" i="3" s="1"/>
  <c r="Q439" i="3"/>
  <c r="Q440" i="3"/>
  <c r="Q441" i="3"/>
  <c r="Q442" i="3"/>
  <c r="AK442" i="3" s="1"/>
  <c r="AI442" i="3" s="1"/>
  <c r="AJ442" i="3" s="1"/>
  <c r="Q443" i="3"/>
  <c r="Q444" i="3"/>
  <c r="Q445" i="3"/>
  <c r="Q446" i="3"/>
  <c r="AK446" i="3" s="1"/>
  <c r="AI446" i="3" s="1"/>
  <c r="AJ446" i="3" s="1"/>
  <c r="Q447" i="3"/>
  <c r="Q448" i="3"/>
  <c r="Q449" i="3"/>
  <c r="Q450" i="3"/>
  <c r="AK450" i="3" s="1"/>
  <c r="AI450" i="3" s="1"/>
  <c r="AJ450" i="3" s="1"/>
  <c r="Q451" i="3"/>
  <c r="Q452" i="3"/>
  <c r="Q453" i="3"/>
  <c r="Q454" i="3"/>
  <c r="AK454" i="3" s="1"/>
  <c r="AI454" i="3" s="1"/>
  <c r="AJ454" i="3" s="1"/>
  <c r="Q455" i="3"/>
  <c r="Q456" i="3"/>
  <c r="Q457" i="3"/>
  <c r="Q458" i="3"/>
  <c r="AK458" i="3" s="1"/>
  <c r="AI458" i="3" s="1"/>
  <c r="AJ458" i="3" s="1"/>
  <c r="Q459" i="3"/>
  <c r="Q460" i="3"/>
  <c r="Q461" i="3"/>
  <c r="Q462" i="3"/>
  <c r="AK462" i="3" s="1"/>
  <c r="AI462" i="3" s="1"/>
  <c r="AJ462" i="3" s="1"/>
  <c r="Q463" i="3"/>
  <c r="Q464" i="3"/>
  <c r="Q465" i="3"/>
  <c r="Q466" i="3"/>
  <c r="AK466" i="3" s="1"/>
  <c r="AI466" i="3" s="1"/>
  <c r="AJ466" i="3" s="1"/>
  <c r="Q467" i="3"/>
  <c r="Q468" i="3"/>
  <c r="Q469" i="3"/>
  <c r="Q470" i="3"/>
  <c r="AK470" i="3" s="1"/>
  <c r="AI470" i="3" s="1"/>
  <c r="AJ470" i="3" s="1"/>
  <c r="Q471" i="3"/>
  <c r="Q472" i="3"/>
  <c r="Q473" i="3"/>
  <c r="Q474" i="3"/>
  <c r="AK474" i="3" s="1"/>
  <c r="AI474" i="3" s="1"/>
  <c r="AJ474" i="3" s="1"/>
  <c r="Q475" i="3"/>
  <c r="Q476" i="3"/>
  <c r="Q477" i="3"/>
  <c r="Q478" i="3"/>
  <c r="AK478" i="3" s="1"/>
  <c r="AI478" i="3" s="1"/>
  <c r="AJ478" i="3" s="1"/>
  <c r="Q479" i="3"/>
  <c r="Q480" i="3"/>
  <c r="Q481" i="3"/>
  <c r="Q482" i="3"/>
  <c r="AK482" i="3" s="1"/>
  <c r="AI482" i="3" s="1"/>
  <c r="AJ482" i="3" s="1"/>
  <c r="Q483" i="3"/>
  <c r="Q484" i="3"/>
  <c r="Q485" i="3"/>
  <c r="Q486" i="3"/>
  <c r="AK486" i="3" s="1"/>
  <c r="AI486" i="3" s="1"/>
  <c r="AJ486" i="3" s="1"/>
  <c r="Q487" i="3"/>
  <c r="Q488" i="3"/>
  <c r="Q489" i="3"/>
  <c r="Q490" i="3"/>
  <c r="AK490" i="3" s="1"/>
  <c r="AI490" i="3" s="1"/>
  <c r="AJ490" i="3" s="1"/>
  <c r="Q491" i="3"/>
  <c r="Q492" i="3"/>
  <c r="Q493" i="3"/>
  <c r="Q494" i="3"/>
  <c r="AK494" i="3" s="1"/>
  <c r="AI494" i="3" s="1"/>
  <c r="AJ494" i="3" s="1"/>
  <c r="Q495" i="3"/>
  <c r="Q496" i="3"/>
  <c r="Q497" i="3"/>
  <c r="Q498" i="3"/>
  <c r="AK498" i="3" s="1"/>
  <c r="AI498" i="3" s="1"/>
  <c r="AJ498" i="3" s="1"/>
  <c r="Q499" i="3"/>
  <c r="Q500" i="3"/>
  <c r="Q501" i="3"/>
  <c r="Q502" i="3"/>
  <c r="AK502" i="3" s="1"/>
  <c r="AI502" i="3" s="1"/>
  <c r="AJ502" i="3" s="1"/>
  <c r="Q503" i="3"/>
  <c r="Q504" i="3"/>
  <c r="Q505" i="3"/>
  <c r="Q506" i="3"/>
  <c r="AK506" i="3" s="1"/>
  <c r="AI506" i="3" s="1"/>
  <c r="AJ506" i="3" s="1"/>
  <c r="Q507" i="3"/>
  <c r="Q508" i="3"/>
  <c r="Q509" i="3"/>
  <c r="Q510" i="3"/>
  <c r="AK510" i="3" s="1"/>
  <c r="AI510" i="3" s="1"/>
  <c r="AJ510" i="3" s="1"/>
  <c r="Q511" i="3"/>
  <c r="Q512" i="3"/>
  <c r="Q513" i="3"/>
  <c r="Q514" i="3"/>
  <c r="AK514" i="3" s="1"/>
  <c r="AI514" i="3" s="1"/>
  <c r="AJ514" i="3" s="1"/>
  <c r="Q515" i="3"/>
  <c r="Q516" i="3"/>
  <c r="Q517" i="3"/>
  <c r="Q518" i="3"/>
  <c r="AK518" i="3" s="1"/>
  <c r="AI518" i="3" s="1"/>
  <c r="AJ518" i="3" s="1"/>
  <c r="Q519" i="3"/>
  <c r="Q520" i="3"/>
  <c r="Q521" i="3"/>
  <c r="Q522" i="3"/>
  <c r="AK522" i="3" s="1"/>
  <c r="AI522" i="3" s="1"/>
  <c r="AJ522" i="3" s="1"/>
  <c r="Q523" i="3"/>
  <c r="Q524" i="3"/>
  <c r="Q525" i="3"/>
  <c r="Q526" i="3"/>
  <c r="AK526" i="3" s="1"/>
  <c r="AI526" i="3" s="1"/>
  <c r="AJ526" i="3" s="1"/>
  <c r="Q527" i="3"/>
  <c r="Q528" i="3"/>
  <c r="Q529" i="3"/>
  <c r="Q530" i="3"/>
  <c r="AK530" i="3" s="1"/>
  <c r="AI530" i="3" s="1"/>
  <c r="AJ530" i="3" s="1"/>
  <c r="Q531" i="3"/>
  <c r="Q532" i="3"/>
  <c r="Q533" i="3"/>
  <c r="Q534" i="3"/>
  <c r="AK534" i="3" s="1"/>
  <c r="AI534" i="3" s="1"/>
  <c r="AJ534" i="3" s="1"/>
  <c r="Q535" i="3"/>
  <c r="Q536" i="3"/>
  <c r="Q537" i="3"/>
  <c r="Q538" i="3"/>
  <c r="AK538" i="3" s="1"/>
  <c r="AI538" i="3" s="1"/>
  <c r="AJ538" i="3" s="1"/>
  <c r="Q539" i="3"/>
  <c r="Q540" i="3"/>
  <c r="Q541" i="3"/>
  <c r="Q542" i="3"/>
  <c r="AK542" i="3" s="1"/>
  <c r="AI542" i="3" s="1"/>
  <c r="AJ542" i="3" s="1"/>
  <c r="Q543" i="3"/>
  <c r="Q544" i="3"/>
  <c r="Q545" i="3"/>
  <c r="Q546" i="3"/>
  <c r="AK546" i="3" s="1"/>
  <c r="AI546" i="3" s="1"/>
  <c r="AJ546" i="3" s="1"/>
  <c r="Q547" i="3"/>
  <c r="Q548" i="3"/>
  <c r="Q549" i="3"/>
  <c r="Q550" i="3"/>
  <c r="AK550" i="3" s="1"/>
  <c r="AI550" i="3" s="1"/>
  <c r="AJ550" i="3" s="1"/>
  <c r="Q551" i="3"/>
  <c r="Q552" i="3"/>
  <c r="Q553" i="3"/>
  <c r="Q554" i="3"/>
  <c r="AK554" i="3" s="1"/>
  <c r="AI554" i="3" s="1"/>
  <c r="AJ554" i="3" s="1"/>
  <c r="Q555" i="3"/>
  <c r="Q556" i="3"/>
  <c r="Q557" i="3"/>
  <c r="Q558" i="3"/>
  <c r="AK558" i="3" s="1"/>
  <c r="AI558" i="3" s="1"/>
  <c r="AJ558" i="3" s="1"/>
  <c r="Q559" i="3"/>
  <c r="Q560" i="3"/>
  <c r="Q561" i="3"/>
  <c r="Q562" i="3"/>
  <c r="AK562" i="3" s="1"/>
  <c r="AI562" i="3" s="1"/>
  <c r="AJ562" i="3" s="1"/>
  <c r="Q563" i="3"/>
  <c r="Q564" i="3"/>
  <c r="Q565" i="3"/>
  <c r="Q566" i="3"/>
  <c r="AK566" i="3" s="1"/>
  <c r="AI566" i="3" s="1"/>
  <c r="AJ566" i="3" s="1"/>
  <c r="Q567" i="3"/>
  <c r="Q568" i="3"/>
  <c r="Q569" i="3"/>
  <c r="Q570" i="3"/>
  <c r="AK570" i="3" s="1"/>
  <c r="AI570" i="3" s="1"/>
  <c r="AJ570" i="3" s="1"/>
  <c r="Q571" i="3"/>
  <c r="Q572" i="3"/>
  <c r="Q573" i="3"/>
  <c r="Q574" i="3"/>
  <c r="AK574" i="3" s="1"/>
  <c r="AI574" i="3" s="1"/>
  <c r="AJ574" i="3" s="1"/>
  <c r="Q575" i="3"/>
  <c r="Q576" i="3"/>
  <c r="Q577" i="3"/>
  <c r="Q578" i="3"/>
  <c r="AK578" i="3" s="1"/>
  <c r="AI578" i="3" s="1"/>
  <c r="AJ578" i="3" s="1"/>
  <c r="Q579" i="3"/>
  <c r="Q580" i="3"/>
  <c r="Q581" i="3"/>
  <c r="Q582" i="3"/>
  <c r="AK582" i="3" s="1"/>
  <c r="AI582" i="3" s="1"/>
  <c r="AJ582" i="3" s="1"/>
  <c r="Q583" i="3"/>
  <c r="Q584" i="3"/>
  <c r="Q585" i="3"/>
  <c r="Q586" i="3"/>
  <c r="AK586" i="3" s="1"/>
  <c r="AI586" i="3" s="1"/>
  <c r="AJ586" i="3" s="1"/>
  <c r="Q587" i="3"/>
  <c r="Q588" i="3"/>
  <c r="Q589" i="3"/>
  <c r="Q590" i="3"/>
  <c r="AK590" i="3" s="1"/>
  <c r="AI590" i="3" s="1"/>
  <c r="AJ590" i="3" s="1"/>
  <c r="Q591" i="3"/>
  <c r="Q592" i="3"/>
  <c r="Q593" i="3"/>
  <c r="Q594" i="3"/>
  <c r="AK594" i="3" s="1"/>
  <c r="AI594" i="3" s="1"/>
  <c r="AJ594" i="3" s="1"/>
  <c r="Q595" i="3"/>
  <c r="Q596" i="3"/>
  <c r="Q597" i="3"/>
  <c r="Q598" i="3"/>
  <c r="AK598" i="3" s="1"/>
  <c r="AI598" i="3" s="1"/>
  <c r="AJ598" i="3" s="1"/>
  <c r="Q599" i="3"/>
  <c r="Q600" i="3"/>
  <c r="Q601" i="3"/>
  <c r="Q602" i="3"/>
  <c r="AK602" i="3" s="1"/>
  <c r="AI602" i="3" s="1"/>
  <c r="AJ602" i="3" s="1"/>
  <c r="Q603" i="3"/>
  <c r="Q604" i="3"/>
  <c r="Q605" i="3"/>
  <c r="Q606" i="3"/>
  <c r="AK606" i="3" s="1"/>
  <c r="AI606" i="3" s="1"/>
  <c r="AJ606" i="3" s="1"/>
  <c r="Q607" i="3"/>
  <c r="Q608" i="3"/>
  <c r="Q609" i="3"/>
  <c r="Q610" i="3"/>
  <c r="AK610" i="3" s="1"/>
  <c r="AI610" i="3" s="1"/>
  <c r="AJ610" i="3" s="1"/>
  <c r="Q611" i="3"/>
  <c r="Q612" i="3"/>
  <c r="Q613" i="3"/>
  <c r="Q614" i="3"/>
  <c r="AK614" i="3" s="1"/>
  <c r="AI614" i="3" s="1"/>
  <c r="AJ614" i="3" s="1"/>
  <c r="Q615" i="3"/>
  <c r="Q616" i="3"/>
  <c r="Q617" i="3"/>
  <c r="Q618" i="3"/>
  <c r="AK618" i="3" s="1"/>
  <c r="AI618" i="3" s="1"/>
  <c r="AJ618" i="3" s="1"/>
  <c r="Q619" i="3"/>
  <c r="Q620" i="3"/>
  <c r="Q621" i="3"/>
  <c r="Q622" i="3"/>
  <c r="AK622" i="3" s="1"/>
  <c r="AI622" i="3" s="1"/>
  <c r="AJ622" i="3" s="1"/>
  <c r="Q623" i="3"/>
  <c r="Q624" i="3"/>
  <c r="Q625" i="3"/>
  <c r="Q626" i="3"/>
  <c r="AK626" i="3" s="1"/>
  <c r="AI626" i="3" s="1"/>
  <c r="AJ626" i="3" s="1"/>
  <c r="Q627" i="3"/>
  <c r="Q628" i="3"/>
  <c r="Q629" i="3"/>
  <c r="Q630" i="3"/>
  <c r="AK630" i="3" s="1"/>
  <c r="AI630" i="3" s="1"/>
  <c r="AJ630" i="3" s="1"/>
  <c r="Q631" i="3"/>
  <c r="Q632" i="3"/>
  <c r="Q633" i="3"/>
  <c r="B3" i="18"/>
  <c r="B2" i="18" s="1"/>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59"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J9" i="11"/>
  <c r="AG2" i="3"/>
  <c r="AG3" i="3"/>
  <c r="AG4" i="3"/>
  <c r="AG5" i="3"/>
  <c r="AG6" i="3"/>
  <c r="AG7" i="3"/>
  <c r="AG8" i="3"/>
  <c r="AG9" i="3"/>
  <c r="AG10" i="3"/>
  <c r="AG11" i="3"/>
  <c r="AG12" i="3"/>
  <c r="AG13" i="3"/>
  <c r="AG14" i="3"/>
  <c r="AG15"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54" i="3"/>
  <c r="AG55" i="3"/>
  <c r="AG56" i="3"/>
  <c r="AG57" i="3"/>
  <c r="AG58" i="3"/>
  <c r="AG59" i="3"/>
  <c r="AG60" i="3"/>
  <c r="AG61" i="3"/>
  <c r="AG62" i="3"/>
  <c r="AG63" i="3"/>
  <c r="AG64" i="3"/>
  <c r="AG65" i="3"/>
  <c r="AG66" i="3"/>
  <c r="AG67" i="3"/>
  <c r="AG68" i="3"/>
  <c r="AG69" i="3"/>
  <c r="AG70" i="3"/>
  <c r="AG71" i="3"/>
  <c r="AG72" i="3"/>
  <c r="AG73" i="3"/>
  <c r="AG74" i="3"/>
  <c r="AG75" i="3"/>
  <c r="AG76" i="3"/>
  <c r="AG77" i="3"/>
  <c r="AG78" i="3"/>
  <c r="AG79" i="3"/>
  <c r="AG80" i="3"/>
  <c r="AG81" i="3"/>
  <c r="AG82" i="3"/>
  <c r="AG83" i="3"/>
  <c r="AG84" i="3"/>
  <c r="AG85" i="3"/>
  <c r="AG86" i="3"/>
  <c r="AG87" i="3"/>
  <c r="AG88" i="3"/>
  <c r="AG89" i="3"/>
  <c r="AG90" i="3"/>
  <c r="AG91" i="3"/>
  <c r="AG92" i="3"/>
  <c r="AG93" i="3"/>
  <c r="AG94" i="3"/>
  <c r="AG95" i="3"/>
  <c r="AG96" i="3"/>
  <c r="AG97" i="3"/>
  <c r="AG98" i="3"/>
  <c r="AG99" i="3"/>
  <c r="AG100" i="3"/>
  <c r="AG101" i="3"/>
  <c r="AG102" i="3"/>
  <c r="AG103" i="3"/>
  <c r="AG104" i="3"/>
  <c r="AG105" i="3"/>
  <c r="AG106" i="3"/>
  <c r="AG107" i="3"/>
  <c r="AG108" i="3"/>
  <c r="AG109" i="3"/>
  <c r="AG110" i="3"/>
  <c r="AG111" i="3"/>
  <c r="AG112" i="3"/>
  <c r="AG113" i="3"/>
  <c r="AG114" i="3"/>
  <c r="AG115" i="3"/>
  <c r="AG116" i="3"/>
  <c r="AG117" i="3"/>
  <c r="AG118" i="3"/>
  <c r="AG119" i="3"/>
  <c r="AG120" i="3"/>
  <c r="AG121" i="3"/>
  <c r="AG122" i="3"/>
  <c r="AG123" i="3"/>
  <c r="AG124" i="3"/>
  <c r="AG125" i="3"/>
  <c r="AG126" i="3"/>
  <c r="AG127" i="3"/>
  <c r="AG128" i="3"/>
  <c r="AG129" i="3"/>
  <c r="AG130" i="3"/>
  <c r="AG131" i="3"/>
  <c r="AG132" i="3"/>
  <c r="AG133" i="3"/>
  <c r="AG134" i="3"/>
  <c r="AG135" i="3"/>
  <c r="AG136" i="3"/>
  <c r="AG137" i="3"/>
  <c r="AG138" i="3"/>
  <c r="AG139" i="3"/>
  <c r="AG140" i="3"/>
  <c r="AG141" i="3"/>
  <c r="AG142" i="3"/>
  <c r="AG143" i="3"/>
  <c r="AG144" i="3"/>
  <c r="AG145" i="3"/>
  <c r="AG146" i="3"/>
  <c r="AG147" i="3"/>
  <c r="AG148" i="3"/>
  <c r="AG149" i="3"/>
  <c r="AG150" i="3"/>
  <c r="AG151" i="3"/>
  <c r="AG152" i="3"/>
  <c r="AG153" i="3"/>
  <c r="AG154" i="3"/>
  <c r="AG155" i="3"/>
  <c r="AG156" i="3"/>
  <c r="AG157" i="3"/>
  <c r="AG158" i="3"/>
  <c r="AG159" i="3"/>
  <c r="AG160" i="3"/>
  <c r="AG161" i="3"/>
  <c r="AG162" i="3"/>
  <c r="AG163" i="3"/>
  <c r="AG164" i="3"/>
  <c r="AG165" i="3"/>
  <c r="AG166" i="3"/>
  <c r="AG167" i="3"/>
  <c r="AG168" i="3"/>
  <c r="AG169" i="3"/>
  <c r="AG170" i="3"/>
  <c r="AG171" i="3"/>
  <c r="AG172" i="3"/>
  <c r="AG173" i="3"/>
  <c r="AG174" i="3"/>
  <c r="AG175" i="3"/>
  <c r="AG176" i="3"/>
  <c r="AG177" i="3"/>
  <c r="AG178" i="3"/>
  <c r="AG179" i="3"/>
  <c r="AG180" i="3"/>
  <c r="AG181" i="3"/>
  <c r="AG182" i="3"/>
  <c r="AG183" i="3"/>
  <c r="AG184" i="3"/>
  <c r="AG185" i="3"/>
  <c r="AG186" i="3"/>
  <c r="AG187" i="3"/>
  <c r="AG188" i="3"/>
  <c r="AG189" i="3"/>
  <c r="AG190" i="3"/>
  <c r="AG191" i="3"/>
  <c r="AG192" i="3"/>
  <c r="AG193" i="3"/>
  <c r="AG194" i="3"/>
  <c r="AG195" i="3"/>
  <c r="AG196" i="3"/>
  <c r="AG197" i="3"/>
  <c r="AG198" i="3"/>
  <c r="AG199" i="3"/>
  <c r="AG200" i="3"/>
  <c r="AG201" i="3"/>
  <c r="AG202" i="3"/>
  <c r="AG203" i="3"/>
  <c r="AG204" i="3"/>
  <c r="AG205" i="3"/>
  <c r="AG206" i="3"/>
  <c r="AG207" i="3"/>
  <c r="AG208" i="3"/>
  <c r="AG209" i="3"/>
  <c r="AG210" i="3"/>
  <c r="AG211" i="3"/>
  <c r="AG212" i="3"/>
  <c r="AG213" i="3"/>
  <c r="AG214" i="3"/>
  <c r="AG215" i="3"/>
  <c r="AG216" i="3"/>
  <c r="AG217" i="3"/>
  <c r="AG218" i="3"/>
  <c r="AG219" i="3"/>
  <c r="AG220" i="3"/>
  <c r="AG221" i="3"/>
  <c r="AG222" i="3"/>
  <c r="AG223" i="3"/>
  <c r="AG224" i="3"/>
  <c r="AG225" i="3"/>
  <c r="AG226" i="3"/>
  <c r="AG227" i="3"/>
  <c r="AG228" i="3"/>
  <c r="AG229" i="3"/>
  <c r="AG230" i="3"/>
  <c r="AG231" i="3"/>
  <c r="AG232" i="3"/>
  <c r="AG233" i="3"/>
  <c r="AG234" i="3"/>
  <c r="AG235" i="3"/>
  <c r="AG236" i="3"/>
  <c r="AG237" i="3"/>
  <c r="AG238" i="3"/>
  <c r="AG239" i="3"/>
  <c r="AG240" i="3"/>
  <c r="AG241" i="3"/>
  <c r="AG242" i="3"/>
  <c r="AG243" i="3"/>
  <c r="AG244" i="3"/>
  <c r="AG245" i="3"/>
  <c r="AG246" i="3"/>
  <c r="AG247" i="3"/>
  <c r="AG248" i="3"/>
  <c r="AG249" i="3"/>
  <c r="AG250" i="3"/>
  <c r="AG251" i="3"/>
  <c r="AG252" i="3"/>
  <c r="AG253" i="3"/>
  <c r="AG254" i="3"/>
  <c r="AG255" i="3"/>
  <c r="AG256" i="3"/>
  <c r="AG257" i="3"/>
  <c r="AG258" i="3"/>
  <c r="AG259" i="3"/>
  <c r="AG260" i="3"/>
  <c r="AG261" i="3"/>
  <c r="AG262" i="3"/>
  <c r="AG263" i="3"/>
  <c r="AG264" i="3"/>
  <c r="AG265" i="3"/>
  <c r="AG266" i="3"/>
  <c r="AG267" i="3"/>
  <c r="AG268" i="3"/>
  <c r="AG269" i="3"/>
  <c r="AG270" i="3"/>
  <c r="AG271" i="3"/>
  <c r="AG272" i="3"/>
  <c r="AG273" i="3"/>
  <c r="AG274" i="3"/>
  <c r="AG275" i="3"/>
  <c r="AG276" i="3"/>
  <c r="AG277" i="3"/>
  <c r="AG278" i="3"/>
  <c r="AG279" i="3"/>
  <c r="AG280" i="3"/>
  <c r="AG281" i="3"/>
  <c r="AG282" i="3"/>
  <c r="AG283" i="3"/>
  <c r="AG284" i="3"/>
  <c r="AG285" i="3"/>
  <c r="AG286" i="3"/>
  <c r="AG287" i="3"/>
  <c r="AG288" i="3"/>
  <c r="AG289" i="3"/>
  <c r="AG290" i="3"/>
  <c r="AG291" i="3"/>
  <c r="AG292" i="3"/>
  <c r="AG293" i="3"/>
  <c r="AG294" i="3"/>
  <c r="AG295" i="3"/>
  <c r="AG296" i="3"/>
  <c r="AG297" i="3"/>
  <c r="AG298" i="3"/>
  <c r="AG299" i="3"/>
  <c r="AG300" i="3"/>
  <c r="AG301" i="3"/>
  <c r="AG302" i="3"/>
  <c r="AG303" i="3"/>
  <c r="AG304" i="3"/>
  <c r="AG305" i="3"/>
  <c r="AG306" i="3"/>
  <c r="AG307" i="3"/>
  <c r="AG308" i="3"/>
  <c r="AG309" i="3"/>
  <c r="AG310" i="3"/>
  <c r="AG311" i="3"/>
  <c r="AG312" i="3"/>
  <c r="AG313" i="3"/>
  <c r="AG314" i="3"/>
  <c r="AG315" i="3"/>
  <c r="AG316" i="3"/>
  <c r="AG317" i="3"/>
  <c r="AG318" i="3"/>
  <c r="AG319" i="3"/>
  <c r="AG320" i="3"/>
  <c r="AG321" i="3"/>
  <c r="AG322" i="3"/>
  <c r="AG323" i="3"/>
  <c r="AG324" i="3"/>
  <c r="AG325" i="3"/>
  <c r="AG326" i="3"/>
  <c r="AG327" i="3"/>
  <c r="AG328" i="3"/>
  <c r="AG329" i="3"/>
  <c r="AG330" i="3"/>
  <c r="AG331" i="3"/>
  <c r="AG332" i="3"/>
  <c r="AG333" i="3"/>
  <c r="AG334" i="3"/>
  <c r="AG335" i="3"/>
  <c r="AG336" i="3"/>
  <c r="AG337" i="3"/>
  <c r="AG338" i="3"/>
  <c r="AG339" i="3"/>
  <c r="AG340" i="3"/>
  <c r="AG341" i="3"/>
  <c r="AG342" i="3"/>
  <c r="AG343" i="3"/>
  <c r="AG344" i="3"/>
  <c r="AG345" i="3"/>
  <c r="AG346" i="3"/>
  <c r="AG347" i="3"/>
  <c r="AG348" i="3"/>
  <c r="AG349" i="3"/>
  <c r="AG350" i="3"/>
  <c r="AG351" i="3"/>
  <c r="AG352" i="3"/>
  <c r="AG353" i="3"/>
  <c r="AG354" i="3"/>
  <c r="AG355" i="3"/>
  <c r="AG356" i="3"/>
  <c r="AG357" i="3"/>
  <c r="AG358" i="3"/>
  <c r="AG359" i="3"/>
  <c r="AG360" i="3"/>
  <c r="AG361" i="3"/>
  <c r="AG362" i="3"/>
  <c r="AG363" i="3"/>
  <c r="AG364" i="3"/>
  <c r="AG365" i="3"/>
  <c r="AG366" i="3"/>
  <c r="AG367" i="3"/>
  <c r="AG368" i="3"/>
  <c r="AG369" i="3"/>
  <c r="AG370" i="3"/>
  <c r="AG371" i="3"/>
  <c r="AG372" i="3"/>
  <c r="AG373" i="3"/>
  <c r="AG374" i="3"/>
  <c r="AG375" i="3"/>
  <c r="AG376" i="3"/>
  <c r="AG377" i="3"/>
  <c r="AG378" i="3"/>
  <c r="AG379" i="3"/>
  <c r="AG380" i="3"/>
  <c r="AG381" i="3"/>
  <c r="AG382" i="3"/>
  <c r="AG383" i="3"/>
  <c r="AG384" i="3"/>
  <c r="AG385" i="3"/>
  <c r="AG386" i="3"/>
  <c r="AG387" i="3"/>
  <c r="AG388" i="3"/>
  <c r="AG389" i="3"/>
  <c r="AG390" i="3"/>
  <c r="AG391" i="3"/>
  <c r="AG392" i="3"/>
  <c r="AG393" i="3"/>
  <c r="AG394" i="3"/>
  <c r="AG395" i="3"/>
  <c r="AG396" i="3"/>
  <c r="AG397" i="3"/>
  <c r="AG398" i="3"/>
  <c r="AG399" i="3"/>
  <c r="AG400" i="3"/>
  <c r="AG401" i="3"/>
  <c r="AG402" i="3"/>
  <c r="AG403" i="3"/>
  <c r="AG404" i="3"/>
  <c r="AG405" i="3"/>
  <c r="AG406" i="3"/>
  <c r="AG407" i="3"/>
  <c r="AG408" i="3"/>
  <c r="AG409" i="3"/>
  <c r="AG410" i="3"/>
  <c r="AG411" i="3"/>
  <c r="AG412" i="3"/>
  <c r="AG413" i="3"/>
  <c r="AG414" i="3"/>
  <c r="AG415" i="3"/>
  <c r="AG416" i="3"/>
  <c r="AG417" i="3"/>
  <c r="AG418" i="3"/>
  <c r="AG419" i="3"/>
  <c r="AG420" i="3"/>
  <c r="AG421" i="3"/>
  <c r="AG422" i="3"/>
  <c r="AG423" i="3"/>
  <c r="AG424" i="3"/>
  <c r="AG425" i="3"/>
  <c r="AG426" i="3"/>
  <c r="AG427" i="3"/>
  <c r="AG428" i="3"/>
  <c r="AG429" i="3"/>
  <c r="AG430" i="3"/>
  <c r="AG431" i="3"/>
  <c r="AG432" i="3"/>
  <c r="AG433" i="3"/>
  <c r="AG434" i="3"/>
  <c r="AG435" i="3"/>
  <c r="AG436" i="3"/>
  <c r="AG437" i="3"/>
  <c r="AG438" i="3"/>
  <c r="AG439" i="3"/>
  <c r="AG440" i="3"/>
  <c r="AG441" i="3"/>
  <c r="AG442" i="3"/>
  <c r="AG443" i="3"/>
  <c r="AG444" i="3"/>
  <c r="AG445" i="3"/>
  <c r="AG446" i="3"/>
  <c r="AG447" i="3"/>
  <c r="AG448" i="3"/>
  <c r="AG449" i="3"/>
  <c r="AG450" i="3"/>
  <c r="AG451" i="3"/>
  <c r="AG452" i="3"/>
  <c r="AG453" i="3"/>
  <c r="AG454" i="3"/>
  <c r="AG455" i="3"/>
  <c r="AG456" i="3"/>
  <c r="AG457" i="3"/>
  <c r="AG458" i="3"/>
  <c r="AG459" i="3"/>
  <c r="AG460" i="3"/>
  <c r="AG461" i="3"/>
  <c r="AG462" i="3"/>
  <c r="AG463" i="3"/>
  <c r="AG464" i="3"/>
  <c r="AG465" i="3"/>
  <c r="AG466" i="3"/>
  <c r="AG467" i="3"/>
  <c r="AG468" i="3"/>
  <c r="AG469" i="3"/>
  <c r="AG470" i="3"/>
  <c r="AG471" i="3"/>
  <c r="AG472" i="3"/>
  <c r="AG473" i="3"/>
  <c r="AG474" i="3"/>
  <c r="AG475" i="3"/>
  <c r="AG476" i="3"/>
  <c r="AG477" i="3"/>
  <c r="AG478" i="3"/>
  <c r="AG479" i="3"/>
  <c r="AG480" i="3"/>
  <c r="AG481" i="3"/>
  <c r="AG482" i="3"/>
  <c r="AG483" i="3"/>
  <c r="AG484" i="3"/>
  <c r="AG485" i="3"/>
  <c r="AG486" i="3"/>
  <c r="AG487" i="3"/>
  <c r="AG488" i="3"/>
  <c r="AG489" i="3"/>
  <c r="AG490" i="3"/>
  <c r="AG491" i="3"/>
  <c r="AG492" i="3"/>
  <c r="AG493" i="3"/>
  <c r="AG494" i="3"/>
  <c r="AG495" i="3"/>
  <c r="AG496" i="3"/>
  <c r="AG497" i="3"/>
  <c r="AG498" i="3"/>
  <c r="AG499" i="3"/>
  <c r="AG500" i="3"/>
  <c r="AG501" i="3"/>
  <c r="AG502" i="3"/>
  <c r="AG503" i="3"/>
  <c r="AG504" i="3"/>
  <c r="AG505" i="3"/>
  <c r="AG506" i="3"/>
  <c r="AG507" i="3"/>
  <c r="AG508" i="3"/>
  <c r="AG509" i="3"/>
  <c r="AG510" i="3"/>
  <c r="AG511" i="3"/>
  <c r="AG512" i="3"/>
  <c r="AG513" i="3"/>
  <c r="AG514" i="3"/>
  <c r="AG515" i="3"/>
  <c r="AG516" i="3"/>
  <c r="AG517" i="3"/>
  <c r="AG518" i="3"/>
  <c r="AG519" i="3"/>
  <c r="AG520" i="3"/>
  <c r="AG521" i="3"/>
  <c r="AG522" i="3"/>
  <c r="AG523" i="3"/>
  <c r="AG524" i="3"/>
  <c r="AG525" i="3"/>
  <c r="AG526" i="3"/>
  <c r="AG527" i="3"/>
  <c r="AG528" i="3"/>
  <c r="AG529" i="3"/>
  <c r="AG530" i="3"/>
  <c r="AG531" i="3"/>
  <c r="AG532" i="3"/>
  <c r="AG533" i="3"/>
  <c r="AG534" i="3"/>
  <c r="AG535" i="3"/>
  <c r="AG536" i="3"/>
  <c r="AG537" i="3"/>
  <c r="AG538" i="3"/>
  <c r="AG539" i="3"/>
  <c r="AG540" i="3"/>
  <c r="AG541" i="3"/>
  <c r="AG542" i="3"/>
  <c r="AG543" i="3"/>
  <c r="AG544" i="3"/>
  <c r="AG545" i="3"/>
  <c r="AG546" i="3"/>
  <c r="AG547" i="3"/>
  <c r="AG548" i="3"/>
  <c r="AG549" i="3"/>
  <c r="AG550" i="3"/>
  <c r="AG551" i="3"/>
  <c r="AG552" i="3"/>
  <c r="AG553" i="3"/>
  <c r="AG554" i="3"/>
  <c r="AG555" i="3"/>
  <c r="AG556" i="3"/>
  <c r="AG557" i="3"/>
  <c r="AG558" i="3"/>
  <c r="AG559" i="3"/>
  <c r="AG560" i="3"/>
  <c r="AG561" i="3"/>
  <c r="AG562" i="3"/>
  <c r="AG563" i="3"/>
  <c r="AG564" i="3"/>
  <c r="AG565" i="3"/>
  <c r="AG566" i="3"/>
  <c r="AG567" i="3"/>
  <c r="AG568" i="3"/>
  <c r="AG569" i="3"/>
  <c r="AG570" i="3"/>
  <c r="AG571" i="3"/>
  <c r="AG572" i="3"/>
  <c r="AG573" i="3"/>
  <c r="AG574" i="3"/>
  <c r="AG575" i="3"/>
  <c r="AG576" i="3"/>
  <c r="AG577" i="3"/>
  <c r="AG578" i="3"/>
  <c r="AG579" i="3"/>
  <c r="AG580" i="3"/>
  <c r="AG581" i="3"/>
  <c r="AG582" i="3"/>
  <c r="AG583" i="3"/>
  <c r="AG584" i="3"/>
  <c r="AG585" i="3"/>
  <c r="AG586" i="3"/>
  <c r="AG587" i="3"/>
  <c r="AG588" i="3"/>
  <c r="AG589" i="3"/>
  <c r="AG590" i="3"/>
  <c r="AG591" i="3"/>
  <c r="AG592" i="3"/>
  <c r="AG593" i="3"/>
  <c r="AG594" i="3"/>
  <c r="AG595" i="3"/>
  <c r="AG596" i="3"/>
  <c r="AG597" i="3"/>
  <c r="AG598" i="3"/>
  <c r="AG599" i="3"/>
  <c r="AG600" i="3"/>
  <c r="AG601" i="3"/>
  <c r="AG602" i="3"/>
  <c r="AG603" i="3"/>
  <c r="AG604" i="3"/>
  <c r="AG605" i="3"/>
  <c r="AG606" i="3"/>
  <c r="AG607" i="3"/>
  <c r="AG608" i="3"/>
  <c r="AG609" i="3"/>
  <c r="AG610" i="3"/>
  <c r="AG611" i="3"/>
  <c r="AG612" i="3"/>
  <c r="AG613" i="3"/>
  <c r="AG614" i="3"/>
  <c r="AG615" i="3"/>
  <c r="AG616" i="3"/>
  <c r="AG617" i="3"/>
  <c r="AG618" i="3"/>
  <c r="AG619" i="3"/>
  <c r="AG620" i="3"/>
  <c r="AG621" i="3"/>
  <c r="AG622" i="3"/>
  <c r="AG623" i="3"/>
  <c r="AG624" i="3"/>
  <c r="AG625" i="3"/>
  <c r="AG626" i="3"/>
  <c r="AG627" i="3"/>
  <c r="AG628" i="3"/>
  <c r="AG629" i="3"/>
  <c r="AG630" i="3"/>
  <c r="AG631" i="3"/>
  <c r="AG632" i="3"/>
  <c r="AG633" i="3"/>
  <c r="AH2" i="3"/>
  <c r="AH3" i="3"/>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H507" i="3"/>
  <c r="AH508" i="3"/>
  <c r="AH509" i="3"/>
  <c r="AH510" i="3"/>
  <c r="AH511" i="3"/>
  <c r="AH512" i="3"/>
  <c r="AH513" i="3"/>
  <c r="AH514" i="3"/>
  <c r="AH515" i="3"/>
  <c r="AH516" i="3"/>
  <c r="AH517" i="3"/>
  <c r="AH518" i="3"/>
  <c r="AH519" i="3"/>
  <c r="AH520" i="3"/>
  <c r="AH521" i="3"/>
  <c r="AH522" i="3"/>
  <c r="AH523" i="3"/>
  <c r="AH524" i="3"/>
  <c r="AH525" i="3"/>
  <c r="AH526" i="3"/>
  <c r="AH527" i="3"/>
  <c r="AH528" i="3"/>
  <c r="AH529" i="3"/>
  <c r="AH530" i="3"/>
  <c r="AH531" i="3"/>
  <c r="AH532" i="3"/>
  <c r="AH533" i="3"/>
  <c r="AH534" i="3"/>
  <c r="AH535" i="3"/>
  <c r="AH536" i="3"/>
  <c r="AH537" i="3"/>
  <c r="AH538" i="3"/>
  <c r="AH539" i="3"/>
  <c r="AH540" i="3"/>
  <c r="AH541" i="3"/>
  <c r="AH542" i="3"/>
  <c r="AH543" i="3"/>
  <c r="AH544" i="3"/>
  <c r="AH545" i="3"/>
  <c r="AH546" i="3"/>
  <c r="AH547" i="3"/>
  <c r="AH548" i="3"/>
  <c r="AH549" i="3"/>
  <c r="AH550" i="3"/>
  <c r="AH551" i="3"/>
  <c r="AH552" i="3"/>
  <c r="AH553" i="3"/>
  <c r="AH554" i="3"/>
  <c r="AH555" i="3"/>
  <c r="AH556" i="3"/>
  <c r="AH557" i="3"/>
  <c r="AH558" i="3"/>
  <c r="AH559" i="3"/>
  <c r="AH560" i="3"/>
  <c r="AH561" i="3"/>
  <c r="AH562" i="3"/>
  <c r="AH563" i="3"/>
  <c r="AH564" i="3"/>
  <c r="AH565" i="3"/>
  <c r="AH566" i="3"/>
  <c r="AH567" i="3"/>
  <c r="AH568" i="3"/>
  <c r="AH569" i="3"/>
  <c r="AH570" i="3"/>
  <c r="AH571" i="3"/>
  <c r="AH572" i="3"/>
  <c r="AH573" i="3"/>
  <c r="AH574" i="3"/>
  <c r="AH575" i="3"/>
  <c r="AH576" i="3"/>
  <c r="AH577" i="3"/>
  <c r="AH578" i="3"/>
  <c r="AH579" i="3"/>
  <c r="AH580" i="3"/>
  <c r="AH581" i="3"/>
  <c r="AH582" i="3"/>
  <c r="AH583" i="3"/>
  <c r="AH584" i="3"/>
  <c r="AH585" i="3"/>
  <c r="AH586" i="3"/>
  <c r="AH587" i="3"/>
  <c r="AH588" i="3"/>
  <c r="AH589" i="3"/>
  <c r="AH590" i="3"/>
  <c r="AH591" i="3"/>
  <c r="AH592" i="3"/>
  <c r="AH593" i="3"/>
  <c r="AH594" i="3"/>
  <c r="AH595" i="3"/>
  <c r="AH596" i="3"/>
  <c r="AH597" i="3"/>
  <c r="AH598" i="3"/>
  <c r="AH599" i="3"/>
  <c r="AH600" i="3"/>
  <c r="AH601" i="3"/>
  <c r="AH602" i="3"/>
  <c r="AH603" i="3"/>
  <c r="AH604" i="3"/>
  <c r="AH605" i="3"/>
  <c r="AH606" i="3"/>
  <c r="AH607" i="3"/>
  <c r="AH608" i="3"/>
  <c r="AH609" i="3"/>
  <c r="AH610" i="3"/>
  <c r="AH611" i="3"/>
  <c r="AH612" i="3"/>
  <c r="AH613" i="3"/>
  <c r="AH614" i="3"/>
  <c r="AH615" i="3"/>
  <c r="AH616" i="3"/>
  <c r="AH617" i="3"/>
  <c r="AH618" i="3"/>
  <c r="AH619" i="3"/>
  <c r="AH620" i="3"/>
  <c r="AH621" i="3"/>
  <c r="AH622" i="3"/>
  <c r="AH623" i="3"/>
  <c r="AH624" i="3"/>
  <c r="AH625" i="3"/>
  <c r="AH626" i="3"/>
  <c r="AH627" i="3"/>
  <c r="AH628" i="3"/>
  <c r="AH629" i="3"/>
  <c r="AH630" i="3"/>
  <c r="AH631" i="3"/>
  <c r="AH632" i="3"/>
  <c r="AH633" i="3"/>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4" i="15"/>
  <c r="V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E4" i="14"/>
  <c r="P7" i="13"/>
  <c r="P8" i="13"/>
  <c r="P9" i="13"/>
  <c r="P6" i="13"/>
  <c r="AJ5" i="12"/>
  <c r="AJ6" i="12"/>
  <c r="AJ7" i="12"/>
  <c r="AJ8" i="12"/>
  <c r="AJ9" i="12"/>
  <c r="AJ10" i="12"/>
  <c r="AJ11" i="12"/>
  <c r="AJ12" i="12"/>
  <c r="AJ13" i="12"/>
  <c r="AJ14" i="12"/>
  <c r="AJ15" i="12"/>
  <c r="AJ16" i="12"/>
  <c r="AJ17" i="12"/>
  <c r="AJ18" i="12"/>
  <c r="AJ19" i="12"/>
  <c r="AJ20" i="12"/>
  <c r="AJ4" i="12"/>
  <c r="F5" i="11"/>
  <c r="F6" i="11"/>
  <c r="F7" i="11"/>
  <c r="F8" i="11"/>
  <c r="F9" i="11"/>
  <c r="F10" i="11"/>
  <c r="F11" i="11"/>
  <c r="F12" i="11"/>
  <c r="F13" i="11"/>
  <c r="F14" i="11"/>
  <c r="F15" i="11"/>
  <c r="F16" i="11"/>
  <c r="F17" i="11"/>
  <c r="F18" i="11"/>
  <c r="F19" i="11"/>
  <c r="F4" i="11"/>
  <c r="E5" i="11"/>
  <c r="E6" i="11"/>
  <c r="E7" i="11"/>
  <c r="E8" i="11"/>
  <c r="E9" i="11"/>
  <c r="E10" i="11"/>
  <c r="E11" i="11"/>
  <c r="E12" i="11"/>
  <c r="E13" i="11"/>
  <c r="E14" i="11"/>
  <c r="E15" i="11"/>
  <c r="E16" i="11"/>
  <c r="E17" i="11"/>
  <c r="E18" i="11"/>
  <c r="E19" i="11"/>
  <c r="E4" i="11"/>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2" i="9"/>
  <c r="AF2" i="3"/>
  <c r="AF3" i="3"/>
  <c r="AF4"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39" i="3"/>
  <c r="AF40" i="3"/>
  <c r="AF41" i="3"/>
  <c r="AF42" i="3"/>
  <c r="AF43" i="3"/>
  <c r="AF44" i="3"/>
  <c r="AF45" i="3"/>
  <c r="AF46" i="3"/>
  <c r="AF47" i="3"/>
  <c r="AF48" i="3"/>
  <c r="AF49" i="3"/>
  <c r="AF50" i="3"/>
  <c r="AF51" i="3"/>
  <c r="AF52" i="3"/>
  <c r="AF53" i="3"/>
  <c r="AF54" i="3"/>
  <c r="AF55" i="3"/>
  <c r="AF56" i="3"/>
  <c r="AF57" i="3"/>
  <c r="AF58" i="3"/>
  <c r="AF59" i="3"/>
  <c r="AF60" i="3"/>
  <c r="AF61" i="3"/>
  <c r="AF62" i="3"/>
  <c r="AF63" i="3"/>
  <c r="AF64" i="3"/>
  <c r="AF65" i="3"/>
  <c r="AF66" i="3"/>
  <c r="AF67" i="3"/>
  <c r="AF68" i="3"/>
  <c r="AF69" i="3"/>
  <c r="AF70" i="3"/>
  <c r="AF71" i="3"/>
  <c r="AF72" i="3"/>
  <c r="AF73" i="3"/>
  <c r="AF74" i="3"/>
  <c r="AF75" i="3"/>
  <c r="AF76" i="3"/>
  <c r="AF77" i="3"/>
  <c r="AF78" i="3"/>
  <c r="AF79" i="3"/>
  <c r="AF80" i="3"/>
  <c r="AF81" i="3"/>
  <c r="AF82" i="3"/>
  <c r="AF83" i="3"/>
  <c r="AF84" i="3"/>
  <c r="AF85" i="3"/>
  <c r="AF86" i="3"/>
  <c r="AF87" i="3"/>
  <c r="AF88" i="3"/>
  <c r="AF89" i="3"/>
  <c r="AF90" i="3"/>
  <c r="AF91" i="3"/>
  <c r="AF92" i="3"/>
  <c r="AF93" i="3"/>
  <c r="AF94" i="3"/>
  <c r="AF95" i="3"/>
  <c r="AF96" i="3"/>
  <c r="AF97" i="3"/>
  <c r="AF98" i="3"/>
  <c r="AF99" i="3"/>
  <c r="AF100" i="3"/>
  <c r="AF101" i="3"/>
  <c r="AF102" i="3"/>
  <c r="AF103" i="3"/>
  <c r="AF104" i="3"/>
  <c r="AF105" i="3"/>
  <c r="AF106" i="3"/>
  <c r="AF107" i="3"/>
  <c r="AF108" i="3"/>
  <c r="AF109" i="3"/>
  <c r="AF110" i="3"/>
  <c r="AF111" i="3"/>
  <c r="AF112" i="3"/>
  <c r="AF113" i="3"/>
  <c r="AF114" i="3"/>
  <c r="AF115" i="3"/>
  <c r="AF116" i="3"/>
  <c r="AF117" i="3"/>
  <c r="AF118" i="3"/>
  <c r="AF119" i="3"/>
  <c r="AF120" i="3"/>
  <c r="AF121" i="3"/>
  <c r="AF122" i="3"/>
  <c r="AF123" i="3"/>
  <c r="AF124" i="3"/>
  <c r="AF125" i="3"/>
  <c r="AF126" i="3"/>
  <c r="AF127" i="3"/>
  <c r="AF128" i="3"/>
  <c r="AF129" i="3"/>
  <c r="AF130" i="3"/>
  <c r="AF131" i="3"/>
  <c r="AF132" i="3"/>
  <c r="AF133" i="3"/>
  <c r="AF134" i="3"/>
  <c r="AF135" i="3"/>
  <c r="AF136" i="3"/>
  <c r="AF137" i="3"/>
  <c r="AF138" i="3"/>
  <c r="AF139" i="3"/>
  <c r="AF140" i="3"/>
  <c r="AF141" i="3"/>
  <c r="AF142" i="3"/>
  <c r="AF143" i="3"/>
  <c r="AF144" i="3"/>
  <c r="AF145" i="3"/>
  <c r="AF146" i="3"/>
  <c r="AF147" i="3"/>
  <c r="AF148" i="3"/>
  <c r="AF149" i="3"/>
  <c r="AF150" i="3"/>
  <c r="AF151"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F178" i="3"/>
  <c r="AF179" i="3"/>
  <c r="AF180" i="3"/>
  <c r="AF181" i="3"/>
  <c r="AF182" i="3"/>
  <c r="AF183" i="3"/>
  <c r="AF184" i="3"/>
  <c r="AF185" i="3"/>
  <c r="AF186" i="3"/>
  <c r="AF187" i="3"/>
  <c r="AF188" i="3"/>
  <c r="AF189" i="3"/>
  <c r="AF190" i="3"/>
  <c r="AF191" i="3"/>
  <c r="AF192" i="3"/>
  <c r="AF193" i="3"/>
  <c r="AF194" i="3"/>
  <c r="AF195" i="3"/>
  <c r="AF196" i="3"/>
  <c r="AF197" i="3"/>
  <c r="AF198" i="3"/>
  <c r="AF199" i="3"/>
  <c r="AF200" i="3"/>
  <c r="AF201" i="3"/>
  <c r="AF202" i="3"/>
  <c r="AF203" i="3"/>
  <c r="AF204" i="3"/>
  <c r="AF205" i="3"/>
  <c r="AF206" i="3"/>
  <c r="AF207" i="3"/>
  <c r="AF208" i="3"/>
  <c r="AF209" i="3"/>
  <c r="AF210" i="3"/>
  <c r="AF211" i="3"/>
  <c r="AF212" i="3"/>
  <c r="AF213" i="3"/>
  <c r="AF214" i="3"/>
  <c r="AF215" i="3"/>
  <c r="AF216" i="3"/>
  <c r="AF217" i="3"/>
  <c r="AF218" i="3"/>
  <c r="AF219" i="3"/>
  <c r="AF220" i="3"/>
  <c r="AF221" i="3"/>
  <c r="AF222" i="3"/>
  <c r="AF223" i="3"/>
  <c r="AF224" i="3"/>
  <c r="AF225" i="3"/>
  <c r="AF226" i="3"/>
  <c r="AF227" i="3"/>
  <c r="AF228" i="3"/>
  <c r="AF229" i="3"/>
  <c r="AF230" i="3"/>
  <c r="AF231" i="3"/>
  <c r="AF232" i="3"/>
  <c r="AF233" i="3"/>
  <c r="AF234" i="3"/>
  <c r="AF235" i="3"/>
  <c r="AF236" i="3"/>
  <c r="AF237" i="3"/>
  <c r="AF238" i="3"/>
  <c r="AF239" i="3"/>
  <c r="AF240" i="3"/>
  <c r="AF241" i="3"/>
  <c r="AF242" i="3"/>
  <c r="AF243" i="3"/>
  <c r="AF244" i="3"/>
  <c r="AF245" i="3"/>
  <c r="AF246" i="3"/>
  <c r="AF247" i="3"/>
  <c r="AF248" i="3"/>
  <c r="AF249" i="3"/>
  <c r="AF250" i="3"/>
  <c r="AF251" i="3"/>
  <c r="AF252" i="3"/>
  <c r="AF253" i="3"/>
  <c r="AF254" i="3"/>
  <c r="AF255" i="3"/>
  <c r="AF256" i="3"/>
  <c r="AF257" i="3"/>
  <c r="AF258" i="3"/>
  <c r="AF259" i="3"/>
  <c r="AF260" i="3"/>
  <c r="AF261" i="3"/>
  <c r="AF262" i="3"/>
  <c r="AF263" i="3"/>
  <c r="AF264" i="3"/>
  <c r="AF265" i="3"/>
  <c r="AF266" i="3"/>
  <c r="AF267" i="3"/>
  <c r="AF268" i="3"/>
  <c r="AF269" i="3"/>
  <c r="AF270" i="3"/>
  <c r="AF271" i="3"/>
  <c r="AF272" i="3"/>
  <c r="AF273" i="3"/>
  <c r="AF274" i="3"/>
  <c r="AF275" i="3"/>
  <c r="AF276" i="3"/>
  <c r="AF277" i="3"/>
  <c r="AF278" i="3"/>
  <c r="AF279" i="3"/>
  <c r="AF280" i="3"/>
  <c r="AF281" i="3"/>
  <c r="AF282" i="3"/>
  <c r="AF283" i="3"/>
  <c r="AF284" i="3"/>
  <c r="AF285" i="3"/>
  <c r="AF286" i="3"/>
  <c r="AF287" i="3"/>
  <c r="AF288" i="3"/>
  <c r="AF289" i="3"/>
  <c r="AF290" i="3"/>
  <c r="AF291" i="3"/>
  <c r="AF292" i="3"/>
  <c r="AF293" i="3"/>
  <c r="AF294" i="3"/>
  <c r="AF295" i="3"/>
  <c r="AF296" i="3"/>
  <c r="AF297" i="3"/>
  <c r="AF298" i="3"/>
  <c r="AF299" i="3"/>
  <c r="AF300" i="3"/>
  <c r="AF301" i="3"/>
  <c r="AF302" i="3"/>
  <c r="AF303" i="3"/>
  <c r="AF304" i="3"/>
  <c r="AF305" i="3"/>
  <c r="AF306" i="3"/>
  <c r="AF307" i="3"/>
  <c r="AF308" i="3"/>
  <c r="AF309" i="3"/>
  <c r="AF310" i="3"/>
  <c r="AF311" i="3"/>
  <c r="AF312" i="3"/>
  <c r="AF313" i="3"/>
  <c r="AF314" i="3"/>
  <c r="AF315" i="3"/>
  <c r="AF316" i="3"/>
  <c r="AF317" i="3"/>
  <c r="AF318" i="3"/>
  <c r="AF319" i="3"/>
  <c r="AF320" i="3"/>
  <c r="AF321" i="3"/>
  <c r="AF322" i="3"/>
  <c r="AF323" i="3"/>
  <c r="AF324" i="3"/>
  <c r="AF325" i="3"/>
  <c r="AF326" i="3"/>
  <c r="AF327" i="3"/>
  <c r="AF328" i="3"/>
  <c r="AF329" i="3"/>
  <c r="AF330" i="3"/>
  <c r="AF331" i="3"/>
  <c r="AF332" i="3"/>
  <c r="AF333" i="3"/>
  <c r="AF334" i="3"/>
  <c r="AF335" i="3"/>
  <c r="AF336" i="3"/>
  <c r="AF337" i="3"/>
  <c r="AF338" i="3"/>
  <c r="AF339" i="3"/>
  <c r="AF340" i="3"/>
  <c r="AF341" i="3"/>
  <c r="AF342" i="3"/>
  <c r="AF343" i="3"/>
  <c r="AF344" i="3"/>
  <c r="AF345" i="3"/>
  <c r="AF346" i="3"/>
  <c r="AF347" i="3"/>
  <c r="AF348" i="3"/>
  <c r="AF349" i="3"/>
  <c r="AF350" i="3"/>
  <c r="AF351" i="3"/>
  <c r="AF352" i="3"/>
  <c r="AF353" i="3"/>
  <c r="AF354" i="3"/>
  <c r="AF355" i="3"/>
  <c r="AF356" i="3"/>
  <c r="AF357" i="3"/>
  <c r="AF358" i="3"/>
  <c r="AF359" i="3"/>
  <c r="AF360" i="3"/>
  <c r="AF361" i="3"/>
  <c r="AF362" i="3"/>
  <c r="AF363" i="3"/>
  <c r="AF364" i="3"/>
  <c r="AF365" i="3"/>
  <c r="AF366" i="3"/>
  <c r="AF367" i="3"/>
  <c r="AF368" i="3"/>
  <c r="AF369" i="3"/>
  <c r="AF370" i="3"/>
  <c r="AF371" i="3"/>
  <c r="AF372" i="3"/>
  <c r="AF373" i="3"/>
  <c r="AF374" i="3"/>
  <c r="AF375" i="3"/>
  <c r="AF376" i="3"/>
  <c r="AF377" i="3"/>
  <c r="AF378" i="3"/>
  <c r="AF379" i="3"/>
  <c r="AF380" i="3"/>
  <c r="AF381" i="3"/>
  <c r="AF382" i="3"/>
  <c r="AF383" i="3"/>
  <c r="AF384" i="3"/>
  <c r="AF385" i="3"/>
  <c r="AF386" i="3"/>
  <c r="AF387" i="3"/>
  <c r="AF388" i="3"/>
  <c r="AF389" i="3"/>
  <c r="AF390" i="3"/>
  <c r="AF391" i="3"/>
  <c r="AF392" i="3"/>
  <c r="AF393" i="3"/>
  <c r="AF394" i="3"/>
  <c r="AF395" i="3"/>
  <c r="AF396" i="3"/>
  <c r="AF397" i="3"/>
  <c r="AF398" i="3"/>
  <c r="AF399" i="3"/>
  <c r="AF400" i="3"/>
  <c r="AF401" i="3"/>
  <c r="AF402" i="3"/>
  <c r="AF403" i="3"/>
  <c r="AF404" i="3"/>
  <c r="AF405" i="3"/>
  <c r="AF406" i="3"/>
  <c r="AF407" i="3"/>
  <c r="AF408" i="3"/>
  <c r="AF409" i="3"/>
  <c r="AF410" i="3"/>
  <c r="AF411" i="3"/>
  <c r="AF412" i="3"/>
  <c r="AF413" i="3"/>
  <c r="AF414" i="3"/>
  <c r="AF415" i="3"/>
  <c r="AF416" i="3"/>
  <c r="AF417" i="3"/>
  <c r="AF418" i="3"/>
  <c r="AF419" i="3"/>
  <c r="AF420" i="3"/>
  <c r="AF421" i="3"/>
  <c r="AF422" i="3"/>
  <c r="AF423" i="3"/>
  <c r="AF424" i="3"/>
  <c r="AF425" i="3"/>
  <c r="AF426" i="3"/>
  <c r="AF427" i="3"/>
  <c r="AF428" i="3"/>
  <c r="AF429" i="3"/>
  <c r="AF430" i="3"/>
  <c r="AF431" i="3"/>
  <c r="AF432" i="3"/>
  <c r="AF433" i="3"/>
  <c r="AF434" i="3"/>
  <c r="AF435" i="3"/>
  <c r="AF436" i="3"/>
  <c r="AF437" i="3"/>
  <c r="AF438" i="3"/>
  <c r="AF439" i="3"/>
  <c r="AF440" i="3"/>
  <c r="AF441" i="3"/>
  <c r="AF442" i="3"/>
  <c r="AF443" i="3"/>
  <c r="AF444" i="3"/>
  <c r="AF445" i="3"/>
  <c r="AF446" i="3"/>
  <c r="AF447" i="3"/>
  <c r="AF448" i="3"/>
  <c r="AF449" i="3"/>
  <c r="AF450" i="3"/>
  <c r="AF451" i="3"/>
  <c r="AF452" i="3"/>
  <c r="AF453" i="3"/>
  <c r="AF454" i="3"/>
  <c r="AF455" i="3"/>
  <c r="AF456" i="3"/>
  <c r="AF457" i="3"/>
  <c r="AF458" i="3"/>
  <c r="AF459" i="3"/>
  <c r="AF460" i="3"/>
  <c r="AF461" i="3"/>
  <c r="AF462" i="3"/>
  <c r="AF463" i="3"/>
  <c r="AF464" i="3"/>
  <c r="AF465" i="3"/>
  <c r="AF466" i="3"/>
  <c r="AF467" i="3"/>
  <c r="AF468" i="3"/>
  <c r="AF469" i="3"/>
  <c r="AF470" i="3"/>
  <c r="AF471" i="3"/>
  <c r="AF472" i="3"/>
  <c r="AF473" i="3"/>
  <c r="AF474" i="3"/>
  <c r="AF475" i="3"/>
  <c r="AF476" i="3"/>
  <c r="AF477" i="3"/>
  <c r="AF478" i="3"/>
  <c r="AF479" i="3"/>
  <c r="AF480" i="3"/>
  <c r="AF481" i="3"/>
  <c r="AF482" i="3"/>
  <c r="AF483" i="3"/>
  <c r="AF484" i="3"/>
  <c r="AF485" i="3"/>
  <c r="AF486" i="3"/>
  <c r="AF487" i="3"/>
  <c r="AF488" i="3"/>
  <c r="AF489" i="3"/>
  <c r="AF490" i="3"/>
  <c r="AF491" i="3"/>
  <c r="AF492" i="3"/>
  <c r="AF493" i="3"/>
  <c r="AF494" i="3"/>
  <c r="AF495" i="3"/>
  <c r="AF496" i="3"/>
  <c r="AF497" i="3"/>
  <c r="AF498" i="3"/>
  <c r="AF499" i="3"/>
  <c r="AF500" i="3"/>
  <c r="AF501" i="3"/>
  <c r="AF502" i="3"/>
  <c r="AF503" i="3"/>
  <c r="AF504" i="3"/>
  <c r="AF505" i="3"/>
  <c r="AF506" i="3"/>
  <c r="AF507" i="3"/>
  <c r="AF508" i="3"/>
  <c r="AF509" i="3"/>
  <c r="AF510" i="3"/>
  <c r="AF511" i="3"/>
  <c r="AF512" i="3"/>
  <c r="AF513" i="3"/>
  <c r="AF514" i="3"/>
  <c r="AF515" i="3"/>
  <c r="AF516" i="3"/>
  <c r="AF517" i="3"/>
  <c r="AF518" i="3"/>
  <c r="AF519" i="3"/>
  <c r="AF520" i="3"/>
  <c r="AF521" i="3"/>
  <c r="AF522" i="3"/>
  <c r="AF523" i="3"/>
  <c r="AF524" i="3"/>
  <c r="AF525" i="3"/>
  <c r="AF526" i="3"/>
  <c r="AF527" i="3"/>
  <c r="AF528" i="3"/>
  <c r="AF529" i="3"/>
  <c r="AF530" i="3"/>
  <c r="AF531" i="3"/>
  <c r="AF532" i="3"/>
  <c r="AF533" i="3"/>
  <c r="AF534" i="3"/>
  <c r="AF535" i="3"/>
  <c r="AF536" i="3"/>
  <c r="AF537" i="3"/>
  <c r="AF538" i="3"/>
  <c r="AF539" i="3"/>
  <c r="AF540" i="3"/>
  <c r="AF541" i="3"/>
  <c r="AF542" i="3"/>
  <c r="AF543" i="3"/>
  <c r="AF544" i="3"/>
  <c r="AF545" i="3"/>
  <c r="AF546" i="3"/>
  <c r="AF547" i="3"/>
  <c r="AF548" i="3"/>
  <c r="AF549" i="3"/>
  <c r="AF550" i="3"/>
  <c r="AF551" i="3"/>
  <c r="AF552" i="3"/>
  <c r="AF553" i="3"/>
  <c r="AF554" i="3"/>
  <c r="AF555" i="3"/>
  <c r="AF556" i="3"/>
  <c r="AF557" i="3"/>
  <c r="AF558" i="3"/>
  <c r="AF559" i="3"/>
  <c r="AF560" i="3"/>
  <c r="AF561" i="3"/>
  <c r="AF562" i="3"/>
  <c r="AF563" i="3"/>
  <c r="AF564" i="3"/>
  <c r="AF565" i="3"/>
  <c r="AF566" i="3"/>
  <c r="AF567" i="3"/>
  <c r="AF568" i="3"/>
  <c r="AF569" i="3"/>
  <c r="AF570" i="3"/>
  <c r="AF571" i="3"/>
  <c r="AF572" i="3"/>
  <c r="AF573" i="3"/>
  <c r="AF574" i="3"/>
  <c r="AF575" i="3"/>
  <c r="AF576" i="3"/>
  <c r="AF577" i="3"/>
  <c r="AF578" i="3"/>
  <c r="AF579" i="3"/>
  <c r="AF580" i="3"/>
  <c r="AF581" i="3"/>
  <c r="AF582" i="3"/>
  <c r="AF583" i="3"/>
  <c r="AF584" i="3"/>
  <c r="AF585" i="3"/>
  <c r="AF586" i="3"/>
  <c r="AF587" i="3"/>
  <c r="AF588" i="3"/>
  <c r="AF589" i="3"/>
  <c r="AF590" i="3"/>
  <c r="AF591" i="3"/>
  <c r="AF592" i="3"/>
  <c r="AF593" i="3"/>
  <c r="AF594" i="3"/>
  <c r="AF595" i="3"/>
  <c r="AF596" i="3"/>
  <c r="AF597" i="3"/>
  <c r="AF598" i="3"/>
  <c r="AF599" i="3"/>
  <c r="AF600" i="3"/>
  <c r="AF601" i="3"/>
  <c r="AF602" i="3"/>
  <c r="AF603" i="3"/>
  <c r="AF604" i="3"/>
  <c r="AF605" i="3"/>
  <c r="AF606" i="3"/>
  <c r="AF607" i="3"/>
  <c r="AF608" i="3"/>
  <c r="AF609" i="3"/>
  <c r="AF610" i="3"/>
  <c r="AF611" i="3"/>
  <c r="AF612" i="3"/>
  <c r="AF613" i="3"/>
  <c r="AF614" i="3"/>
  <c r="AF615" i="3"/>
  <c r="AF616" i="3"/>
  <c r="AF617" i="3"/>
  <c r="AF618" i="3"/>
  <c r="AF619" i="3"/>
  <c r="AF620" i="3"/>
  <c r="AF621" i="3"/>
  <c r="AF622" i="3"/>
  <c r="AF623" i="3"/>
  <c r="AF624" i="3"/>
  <c r="AF625" i="3"/>
  <c r="AF626" i="3"/>
  <c r="AF627" i="3"/>
  <c r="AF628" i="3"/>
  <c r="AF629" i="3"/>
  <c r="AF630" i="3"/>
  <c r="AF631" i="3"/>
  <c r="AF632" i="3"/>
  <c r="AF633" i="3"/>
  <c r="AA2"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B2" i="3"/>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B201" i="3"/>
  <c r="AB202" i="3"/>
  <c r="AB203" i="3"/>
  <c r="AB204" i="3"/>
  <c r="AB205" i="3"/>
  <c r="AB206" i="3"/>
  <c r="AB207" i="3"/>
  <c r="AB208" i="3"/>
  <c r="AB209" i="3"/>
  <c r="AB210" i="3"/>
  <c r="AB211" i="3"/>
  <c r="AB212" i="3"/>
  <c r="AB213" i="3"/>
  <c r="AB214" i="3"/>
  <c r="AB215" i="3"/>
  <c r="AB216" i="3"/>
  <c r="AB217" i="3"/>
  <c r="AB218" i="3"/>
  <c r="AB219" i="3"/>
  <c r="AB220" i="3"/>
  <c r="AB221" i="3"/>
  <c r="AB222" i="3"/>
  <c r="AB223" i="3"/>
  <c r="AB224" i="3"/>
  <c r="AB225" i="3"/>
  <c r="AB226" i="3"/>
  <c r="AB227" i="3"/>
  <c r="AB228" i="3"/>
  <c r="AB229" i="3"/>
  <c r="AB230" i="3"/>
  <c r="AB231" i="3"/>
  <c r="AB232" i="3"/>
  <c r="AB233" i="3"/>
  <c r="AB234" i="3"/>
  <c r="AB235" i="3"/>
  <c r="AB236" i="3"/>
  <c r="AB237" i="3"/>
  <c r="AB238" i="3"/>
  <c r="AB239" i="3"/>
  <c r="AB240" i="3"/>
  <c r="AB241" i="3"/>
  <c r="AB242" i="3"/>
  <c r="AB243" i="3"/>
  <c r="AB244" i="3"/>
  <c r="AB245" i="3"/>
  <c r="AB246" i="3"/>
  <c r="AB247" i="3"/>
  <c r="AB248" i="3"/>
  <c r="AB249" i="3"/>
  <c r="AB250" i="3"/>
  <c r="AB251" i="3"/>
  <c r="AB252" i="3"/>
  <c r="AB253" i="3"/>
  <c r="AB254" i="3"/>
  <c r="AB255" i="3"/>
  <c r="AB256" i="3"/>
  <c r="AB257" i="3"/>
  <c r="AB258" i="3"/>
  <c r="AB259" i="3"/>
  <c r="AB260" i="3"/>
  <c r="AB261" i="3"/>
  <c r="AB262" i="3"/>
  <c r="AB263" i="3"/>
  <c r="AB264" i="3"/>
  <c r="AB265" i="3"/>
  <c r="AB266" i="3"/>
  <c r="AB267" i="3"/>
  <c r="AB268" i="3"/>
  <c r="AB269" i="3"/>
  <c r="AB270" i="3"/>
  <c r="AB271" i="3"/>
  <c r="AB272" i="3"/>
  <c r="AB273" i="3"/>
  <c r="AB274" i="3"/>
  <c r="AB275" i="3"/>
  <c r="AB276" i="3"/>
  <c r="AB277" i="3"/>
  <c r="AB278" i="3"/>
  <c r="AB279" i="3"/>
  <c r="AB280" i="3"/>
  <c r="AB281" i="3"/>
  <c r="AB282" i="3"/>
  <c r="AB283" i="3"/>
  <c r="AB284" i="3"/>
  <c r="AB285" i="3"/>
  <c r="AB286" i="3"/>
  <c r="AB287" i="3"/>
  <c r="AB288" i="3"/>
  <c r="AB289" i="3"/>
  <c r="AB290" i="3"/>
  <c r="AB291" i="3"/>
  <c r="AB292" i="3"/>
  <c r="AB293" i="3"/>
  <c r="AB294" i="3"/>
  <c r="AB295" i="3"/>
  <c r="AB296" i="3"/>
  <c r="AB297" i="3"/>
  <c r="AB298" i="3"/>
  <c r="AB299" i="3"/>
  <c r="AB300" i="3"/>
  <c r="AB301" i="3"/>
  <c r="AB302" i="3"/>
  <c r="AB303" i="3"/>
  <c r="AB304" i="3"/>
  <c r="AB305" i="3"/>
  <c r="AB306" i="3"/>
  <c r="AB307" i="3"/>
  <c r="AB308" i="3"/>
  <c r="AB309" i="3"/>
  <c r="AB310" i="3"/>
  <c r="AB311" i="3"/>
  <c r="AB312" i="3"/>
  <c r="AB313" i="3"/>
  <c r="AB314" i="3"/>
  <c r="AB315" i="3"/>
  <c r="AB316" i="3"/>
  <c r="AB317" i="3"/>
  <c r="AB318" i="3"/>
  <c r="AB319" i="3"/>
  <c r="AB320" i="3"/>
  <c r="AB321" i="3"/>
  <c r="AB322" i="3"/>
  <c r="AB323" i="3"/>
  <c r="AB324" i="3"/>
  <c r="AB325" i="3"/>
  <c r="AB326" i="3"/>
  <c r="AB327" i="3"/>
  <c r="AB328" i="3"/>
  <c r="AB329" i="3"/>
  <c r="AB330" i="3"/>
  <c r="AB331" i="3"/>
  <c r="AB332" i="3"/>
  <c r="AB333" i="3"/>
  <c r="AB334" i="3"/>
  <c r="AB335" i="3"/>
  <c r="AB336" i="3"/>
  <c r="AB337" i="3"/>
  <c r="AB338" i="3"/>
  <c r="AB339" i="3"/>
  <c r="AB340" i="3"/>
  <c r="AB341" i="3"/>
  <c r="AB342" i="3"/>
  <c r="AB343" i="3"/>
  <c r="AB344" i="3"/>
  <c r="AB345" i="3"/>
  <c r="AB346" i="3"/>
  <c r="AB347" i="3"/>
  <c r="AB348" i="3"/>
  <c r="AB349" i="3"/>
  <c r="AB350" i="3"/>
  <c r="AB351" i="3"/>
  <c r="AB352" i="3"/>
  <c r="AB353" i="3"/>
  <c r="AB354" i="3"/>
  <c r="AB355" i="3"/>
  <c r="AB356" i="3"/>
  <c r="AB357" i="3"/>
  <c r="AB358" i="3"/>
  <c r="AB359" i="3"/>
  <c r="AB360" i="3"/>
  <c r="AB361" i="3"/>
  <c r="AB362" i="3"/>
  <c r="AB363" i="3"/>
  <c r="AB364" i="3"/>
  <c r="AB365" i="3"/>
  <c r="AB366" i="3"/>
  <c r="AB367" i="3"/>
  <c r="AB368" i="3"/>
  <c r="AB369" i="3"/>
  <c r="AB370" i="3"/>
  <c r="AB371" i="3"/>
  <c r="AB372" i="3"/>
  <c r="AB373" i="3"/>
  <c r="AB374" i="3"/>
  <c r="AB375" i="3"/>
  <c r="AB376" i="3"/>
  <c r="AB377" i="3"/>
  <c r="AB378" i="3"/>
  <c r="AB379" i="3"/>
  <c r="AB380" i="3"/>
  <c r="AB381" i="3"/>
  <c r="AB382" i="3"/>
  <c r="AB383" i="3"/>
  <c r="AB384" i="3"/>
  <c r="AB385" i="3"/>
  <c r="AB386" i="3"/>
  <c r="AB387" i="3"/>
  <c r="AB388" i="3"/>
  <c r="AB389" i="3"/>
  <c r="AB390" i="3"/>
  <c r="AB391" i="3"/>
  <c r="AB392" i="3"/>
  <c r="AB393" i="3"/>
  <c r="AB394" i="3"/>
  <c r="AB395" i="3"/>
  <c r="AB396" i="3"/>
  <c r="AB397" i="3"/>
  <c r="AB398" i="3"/>
  <c r="AB399" i="3"/>
  <c r="AB400" i="3"/>
  <c r="AB401" i="3"/>
  <c r="AB402" i="3"/>
  <c r="AB403" i="3"/>
  <c r="AB404" i="3"/>
  <c r="AB405" i="3"/>
  <c r="AB406" i="3"/>
  <c r="AB407" i="3"/>
  <c r="AB408" i="3"/>
  <c r="AB409" i="3"/>
  <c r="AB410" i="3"/>
  <c r="AB411" i="3"/>
  <c r="AB412" i="3"/>
  <c r="AB413" i="3"/>
  <c r="AB414" i="3"/>
  <c r="AB415" i="3"/>
  <c r="AB416" i="3"/>
  <c r="AB417" i="3"/>
  <c r="AB418" i="3"/>
  <c r="AB419" i="3"/>
  <c r="AB420" i="3"/>
  <c r="AB421" i="3"/>
  <c r="AB422" i="3"/>
  <c r="AB423" i="3"/>
  <c r="AB424" i="3"/>
  <c r="AB425" i="3"/>
  <c r="AB426" i="3"/>
  <c r="AB427" i="3"/>
  <c r="AB428" i="3"/>
  <c r="AB429" i="3"/>
  <c r="AB430" i="3"/>
  <c r="AB431" i="3"/>
  <c r="AB432" i="3"/>
  <c r="AB433" i="3"/>
  <c r="AB434" i="3"/>
  <c r="AB435" i="3"/>
  <c r="AB436" i="3"/>
  <c r="AB437" i="3"/>
  <c r="AB438" i="3"/>
  <c r="AB439" i="3"/>
  <c r="AB440" i="3"/>
  <c r="AB441" i="3"/>
  <c r="AB442" i="3"/>
  <c r="AB443" i="3"/>
  <c r="AB444" i="3"/>
  <c r="AB445" i="3"/>
  <c r="AB446" i="3"/>
  <c r="AB447" i="3"/>
  <c r="AB448" i="3"/>
  <c r="AB449" i="3"/>
  <c r="AB450" i="3"/>
  <c r="AB451" i="3"/>
  <c r="AB452" i="3"/>
  <c r="AB453" i="3"/>
  <c r="AB454" i="3"/>
  <c r="AB455" i="3"/>
  <c r="AB456" i="3"/>
  <c r="AB457" i="3"/>
  <c r="AB458" i="3"/>
  <c r="AB459" i="3"/>
  <c r="AB460" i="3"/>
  <c r="AB461" i="3"/>
  <c r="AB462" i="3"/>
  <c r="AB463" i="3"/>
  <c r="AB464" i="3"/>
  <c r="AB465" i="3"/>
  <c r="AB466" i="3"/>
  <c r="AB467" i="3"/>
  <c r="AB468" i="3"/>
  <c r="AB469" i="3"/>
  <c r="AB470" i="3"/>
  <c r="AB471" i="3"/>
  <c r="AB472" i="3"/>
  <c r="AB473" i="3"/>
  <c r="AB474" i="3"/>
  <c r="AB475" i="3"/>
  <c r="AB476" i="3"/>
  <c r="AB477" i="3"/>
  <c r="AB478" i="3"/>
  <c r="AB479" i="3"/>
  <c r="AB480" i="3"/>
  <c r="AB481" i="3"/>
  <c r="AB482" i="3"/>
  <c r="AB483" i="3"/>
  <c r="AB484" i="3"/>
  <c r="AB485" i="3"/>
  <c r="AB486" i="3"/>
  <c r="AB487" i="3"/>
  <c r="AB488" i="3"/>
  <c r="AB489" i="3"/>
  <c r="AB490" i="3"/>
  <c r="AB491" i="3"/>
  <c r="AB492" i="3"/>
  <c r="AB493" i="3"/>
  <c r="AB494" i="3"/>
  <c r="AB495" i="3"/>
  <c r="AB496" i="3"/>
  <c r="AB497" i="3"/>
  <c r="AB498" i="3"/>
  <c r="AB499" i="3"/>
  <c r="AB500" i="3"/>
  <c r="AB501" i="3"/>
  <c r="AB502" i="3"/>
  <c r="AB503" i="3"/>
  <c r="AB504" i="3"/>
  <c r="AB505" i="3"/>
  <c r="AB506" i="3"/>
  <c r="AB507" i="3"/>
  <c r="AB508" i="3"/>
  <c r="AB509" i="3"/>
  <c r="AB510" i="3"/>
  <c r="AB511" i="3"/>
  <c r="AB512" i="3"/>
  <c r="AB513" i="3"/>
  <c r="AB514" i="3"/>
  <c r="AB515" i="3"/>
  <c r="AB516" i="3"/>
  <c r="AB517" i="3"/>
  <c r="AB518" i="3"/>
  <c r="AB519" i="3"/>
  <c r="AB520" i="3"/>
  <c r="AB521" i="3"/>
  <c r="AB522" i="3"/>
  <c r="AB523" i="3"/>
  <c r="AB524" i="3"/>
  <c r="AB525" i="3"/>
  <c r="AB526" i="3"/>
  <c r="AB527" i="3"/>
  <c r="AB528" i="3"/>
  <c r="AB529" i="3"/>
  <c r="AB530" i="3"/>
  <c r="AB531" i="3"/>
  <c r="AB532" i="3"/>
  <c r="AB533" i="3"/>
  <c r="AB534" i="3"/>
  <c r="AB535" i="3"/>
  <c r="AB536" i="3"/>
  <c r="AB537" i="3"/>
  <c r="AB538" i="3"/>
  <c r="AB539" i="3"/>
  <c r="AB540" i="3"/>
  <c r="AB541" i="3"/>
  <c r="AB542" i="3"/>
  <c r="AB543" i="3"/>
  <c r="AB544" i="3"/>
  <c r="AB545" i="3"/>
  <c r="AB546" i="3"/>
  <c r="AB547" i="3"/>
  <c r="AB548" i="3"/>
  <c r="AB549" i="3"/>
  <c r="AB550" i="3"/>
  <c r="AB551" i="3"/>
  <c r="AB552" i="3"/>
  <c r="AB553" i="3"/>
  <c r="AB554" i="3"/>
  <c r="AB555" i="3"/>
  <c r="AB556" i="3"/>
  <c r="AB557" i="3"/>
  <c r="AB558" i="3"/>
  <c r="AB559" i="3"/>
  <c r="AB560" i="3"/>
  <c r="AB561" i="3"/>
  <c r="AB562" i="3"/>
  <c r="AB563" i="3"/>
  <c r="AB564" i="3"/>
  <c r="AB565" i="3"/>
  <c r="AB566" i="3"/>
  <c r="AB567" i="3"/>
  <c r="AB568" i="3"/>
  <c r="AB569" i="3"/>
  <c r="AB570" i="3"/>
  <c r="AB571" i="3"/>
  <c r="AB572" i="3"/>
  <c r="AB573" i="3"/>
  <c r="AB574" i="3"/>
  <c r="AB575" i="3"/>
  <c r="AB576" i="3"/>
  <c r="AB577" i="3"/>
  <c r="AB578" i="3"/>
  <c r="AB579" i="3"/>
  <c r="AB580" i="3"/>
  <c r="AB581" i="3"/>
  <c r="AB582" i="3"/>
  <c r="AB583" i="3"/>
  <c r="AB584" i="3"/>
  <c r="AB585" i="3"/>
  <c r="AB586" i="3"/>
  <c r="AB587" i="3"/>
  <c r="AB588" i="3"/>
  <c r="AB589" i="3"/>
  <c r="AB590" i="3"/>
  <c r="AB591" i="3"/>
  <c r="AB592" i="3"/>
  <c r="AB593" i="3"/>
  <c r="AB594" i="3"/>
  <c r="AB595" i="3"/>
  <c r="AB596" i="3"/>
  <c r="AB597" i="3"/>
  <c r="AB598" i="3"/>
  <c r="AB599" i="3"/>
  <c r="AB600" i="3"/>
  <c r="AB601" i="3"/>
  <c r="AB602" i="3"/>
  <c r="AB603" i="3"/>
  <c r="AB604" i="3"/>
  <c r="AB605" i="3"/>
  <c r="AB606" i="3"/>
  <c r="AB607" i="3"/>
  <c r="AB608" i="3"/>
  <c r="AB609" i="3"/>
  <c r="AB610" i="3"/>
  <c r="AB611" i="3"/>
  <c r="AB612" i="3"/>
  <c r="AB613" i="3"/>
  <c r="AB614" i="3"/>
  <c r="AB615" i="3"/>
  <c r="AB616" i="3"/>
  <c r="AB617" i="3"/>
  <c r="AB618" i="3"/>
  <c r="AB619" i="3"/>
  <c r="AB620" i="3"/>
  <c r="AB621" i="3"/>
  <c r="AB622" i="3"/>
  <c r="AB623" i="3"/>
  <c r="AB624" i="3"/>
  <c r="AB625" i="3"/>
  <c r="AB626" i="3"/>
  <c r="AB627" i="3"/>
  <c r="AB628" i="3"/>
  <c r="AB629" i="3"/>
  <c r="AB630" i="3"/>
  <c r="AB631" i="3"/>
  <c r="AB632" i="3"/>
  <c r="AB633" i="3"/>
  <c r="X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AK3" i="3"/>
  <c r="AI3" i="3" s="1"/>
  <c r="AJ3" i="3" s="1"/>
  <c r="Q2" i="3"/>
  <c r="AK2" i="3" s="1"/>
  <c r="AI2" i="3" s="1"/>
  <c r="AK4" i="3"/>
  <c r="AI4" i="3" s="1"/>
  <c r="AJ4" i="3" s="1"/>
  <c r="AK5" i="3"/>
  <c r="AI5" i="3" s="1"/>
  <c r="AJ5" i="3" s="1"/>
  <c r="AK7" i="3"/>
  <c r="AI7" i="3" s="1"/>
  <c r="AJ7" i="3" s="1"/>
  <c r="AK8" i="3"/>
  <c r="AI8" i="3" s="1"/>
  <c r="AJ8" i="3" s="1"/>
  <c r="AK9" i="3"/>
  <c r="AI9" i="3" s="1"/>
  <c r="AJ9" i="3" s="1"/>
  <c r="AK11" i="3"/>
  <c r="AI11" i="3" s="1"/>
  <c r="AJ11" i="3" s="1"/>
  <c r="AK12" i="3"/>
  <c r="AI12" i="3" s="1"/>
  <c r="AJ12" i="3" s="1"/>
  <c r="AK13" i="3"/>
  <c r="AI13" i="3" s="1"/>
  <c r="AJ13" i="3" s="1"/>
  <c r="AK15" i="3"/>
  <c r="AI15" i="3" s="1"/>
  <c r="AJ15" i="3" s="1"/>
  <c r="AK16" i="3"/>
  <c r="AI16" i="3" s="1"/>
  <c r="AJ16" i="3" s="1"/>
  <c r="AK17" i="3"/>
  <c r="AI17" i="3" s="1"/>
  <c r="AJ17" i="3" s="1"/>
  <c r="AK19" i="3"/>
  <c r="AI19" i="3" s="1"/>
  <c r="AJ19" i="3" s="1"/>
  <c r="AK20" i="3"/>
  <c r="AI20" i="3" s="1"/>
  <c r="AJ20" i="3" s="1"/>
  <c r="AK21" i="3"/>
  <c r="AI21" i="3" s="1"/>
  <c r="AJ21" i="3" s="1"/>
  <c r="AK23" i="3"/>
  <c r="AI23" i="3" s="1"/>
  <c r="AJ23" i="3" s="1"/>
  <c r="AK24" i="3"/>
  <c r="AI24" i="3" s="1"/>
  <c r="AJ24" i="3" s="1"/>
  <c r="AK25" i="3"/>
  <c r="AI25" i="3" s="1"/>
  <c r="AJ25" i="3" s="1"/>
  <c r="AK27" i="3"/>
  <c r="AI27" i="3" s="1"/>
  <c r="AJ27" i="3" s="1"/>
  <c r="AK28" i="3"/>
  <c r="AI28" i="3" s="1"/>
  <c r="AJ28" i="3" s="1"/>
  <c r="AK29" i="3"/>
  <c r="AI29" i="3" s="1"/>
  <c r="AJ29" i="3" s="1"/>
  <c r="AK31" i="3"/>
  <c r="AI31" i="3" s="1"/>
  <c r="AJ31" i="3" s="1"/>
  <c r="AK32" i="3"/>
  <c r="AI32" i="3" s="1"/>
  <c r="AJ32" i="3" s="1"/>
  <c r="AK33" i="3"/>
  <c r="AI33" i="3" s="1"/>
  <c r="AJ33" i="3" s="1"/>
  <c r="AK35" i="3"/>
  <c r="AI35" i="3" s="1"/>
  <c r="AJ35" i="3" s="1"/>
  <c r="AK36" i="3"/>
  <c r="AI36" i="3" s="1"/>
  <c r="AJ36" i="3" s="1"/>
  <c r="AK37" i="3"/>
  <c r="AI37" i="3" s="1"/>
  <c r="AJ37" i="3" s="1"/>
  <c r="AK39" i="3"/>
  <c r="AI39" i="3" s="1"/>
  <c r="AJ39" i="3" s="1"/>
  <c r="AK40" i="3"/>
  <c r="AI40" i="3" s="1"/>
  <c r="AJ40" i="3" s="1"/>
  <c r="AK41" i="3"/>
  <c r="AI41" i="3" s="1"/>
  <c r="AJ41" i="3" s="1"/>
  <c r="AK43" i="3"/>
  <c r="AI43" i="3" s="1"/>
  <c r="AJ43" i="3" s="1"/>
  <c r="AK44" i="3"/>
  <c r="AI44" i="3" s="1"/>
  <c r="AJ44" i="3" s="1"/>
  <c r="AK45" i="3"/>
  <c r="AI45" i="3" s="1"/>
  <c r="AJ45" i="3" s="1"/>
  <c r="AK47" i="3"/>
  <c r="AI47" i="3" s="1"/>
  <c r="AJ47" i="3" s="1"/>
  <c r="AK48" i="3"/>
  <c r="AI48" i="3" s="1"/>
  <c r="AJ48" i="3" s="1"/>
  <c r="AK49" i="3"/>
  <c r="AI49" i="3" s="1"/>
  <c r="AJ49" i="3" s="1"/>
  <c r="AK51" i="3"/>
  <c r="AI51" i="3" s="1"/>
  <c r="AJ51" i="3" s="1"/>
  <c r="AK52" i="3"/>
  <c r="AI52" i="3" s="1"/>
  <c r="AJ52" i="3" s="1"/>
  <c r="AK53" i="3"/>
  <c r="AI53" i="3" s="1"/>
  <c r="AJ53" i="3" s="1"/>
  <c r="AK55" i="3"/>
  <c r="AI55" i="3" s="1"/>
  <c r="AJ55" i="3" s="1"/>
  <c r="AK56" i="3"/>
  <c r="AI56" i="3" s="1"/>
  <c r="AJ56" i="3" s="1"/>
  <c r="AK57" i="3"/>
  <c r="AI57" i="3" s="1"/>
  <c r="AJ57" i="3" s="1"/>
  <c r="AK59" i="3"/>
  <c r="AI59" i="3" s="1"/>
  <c r="AJ59" i="3" s="1"/>
  <c r="AK60" i="3"/>
  <c r="AI60" i="3" s="1"/>
  <c r="AJ60" i="3" s="1"/>
  <c r="AK61" i="3"/>
  <c r="AI61" i="3" s="1"/>
  <c r="AJ61" i="3" s="1"/>
  <c r="AK63" i="3"/>
  <c r="AI63" i="3" s="1"/>
  <c r="AJ63" i="3" s="1"/>
  <c r="AK64" i="3"/>
  <c r="AI64" i="3" s="1"/>
  <c r="AJ64" i="3" s="1"/>
  <c r="AK65" i="3"/>
  <c r="AI65" i="3" s="1"/>
  <c r="AJ65" i="3" s="1"/>
  <c r="AK67" i="3"/>
  <c r="AI67" i="3" s="1"/>
  <c r="AJ67" i="3" s="1"/>
  <c r="AK68" i="3"/>
  <c r="AI68" i="3" s="1"/>
  <c r="AJ68" i="3" s="1"/>
  <c r="AK69" i="3"/>
  <c r="AI69" i="3" s="1"/>
  <c r="AJ69" i="3" s="1"/>
  <c r="AK71" i="3"/>
  <c r="AI71" i="3" s="1"/>
  <c r="AJ71" i="3" s="1"/>
  <c r="AK72" i="3"/>
  <c r="AI72" i="3" s="1"/>
  <c r="AJ72" i="3" s="1"/>
  <c r="AK73" i="3"/>
  <c r="AI73" i="3" s="1"/>
  <c r="AJ73" i="3" s="1"/>
  <c r="AK75" i="3"/>
  <c r="AI75" i="3" s="1"/>
  <c r="AJ75" i="3" s="1"/>
  <c r="AK76" i="3"/>
  <c r="AI76" i="3" s="1"/>
  <c r="AJ76" i="3" s="1"/>
  <c r="AK77" i="3"/>
  <c r="AI77" i="3" s="1"/>
  <c r="AJ77" i="3" s="1"/>
  <c r="AK79" i="3"/>
  <c r="AI79" i="3" s="1"/>
  <c r="AJ79" i="3" s="1"/>
  <c r="AK80" i="3"/>
  <c r="AI80" i="3" s="1"/>
  <c r="AJ80" i="3" s="1"/>
  <c r="AK81" i="3"/>
  <c r="AI81" i="3" s="1"/>
  <c r="AJ81" i="3" s="1"/>
  <c r="AK83" i="3"/>
  <c r="AI83" i="3" s="1"/>
  <c r="AJ83" i="3" s="1"/>
  <c r="AK84" i="3"/>
  <c r="AI84" i="3" s="1"/>
  <c r="AJ84" i="3" s="1"/>
  <c r="AK85" i="3"/>
  <c r="AI85" i="3" s="1"/>
  <c r="AJ85" i="3" s="1"/>
  <c r="AK87" i="3"/>
  <c r="AI87" i="3" s="1"/>
  <c r="AJ87" i="3" s="1"/>
  <c r="AK88" i="3"/>
  <c r="AI88" i="3" s="1"/>
  <c r="AJ88" i="3" s="1"/>
  <c r="AK89" i="3"/>
  <c r="AI89" i="3" s="1"/>
  <c r="AJ89" i="3" s="1"/>
  <c r="AK91" i="3"/>
  <c r="AI91" i="3" s="1"/>
  <c r="AJ91" i="3" s="1"/>
  <c r="AK92" i="3"/>
  <c r="AI92" i="3" s="1"/>
  <c r="AJ92" i="3" s="1"/>
  <c r="AK93" i="3"/>
  <c r="AI93" i="3" s="1"/>
  <c r="AJ93" i="3" s="1"/>
  <c r="AK95" i="3"/>
  <c r="AI95" i="3" s="1"/>
  <c r="AJ95" i="3" s="1"/>
  <c r="AK96" i="3"/>
  <c r="AI96" i="3" s="1"/>
  <c r="AJ96" i="3" s="1"/>
  <c r="AK97" i="3"/>
  <c r="AI97" i="3" s="1"/>
  <c r="AJ97" i="3" s="1"/>
  <c r="AK99" i="3"/>
  <c r="AI99" i="3" s="1"/>
  <c r="AJ99" i="3" s="1"/>
  <c r="AK100" i="3"/>
  <c r="AI100" i="3" s="1"/>
  <c r="AJ100" i="3" s="1"/>
  <c r="AK101" i="3"/>
  <c r="AI101" i="3" s="1"/>
  <c r="AJ101" i="3" s="1"/>
  <c r="AK103" i="3"/>
  <c r="AI103" i="3" s="1"/>
  <c r="AJ103" i="3" s="1"/>
  <c r="AK104" i="3"/>
  <c r="AI104" i="3" s="1"/>
  <c r="AJ104" i="3" s="1"/>
  <c r="AK105" i="3"/>
  <c r="AI105" i="3" s="1"/>
  <c r="AJ105" i="3" s="1"/>
  <c r="AK107" i="3"/>
  <c r="AI107" i="3" s="1"/>
  <c r="AJ107" i="3" s="1"/>
  <c r="AK108" i="3"/>
  <c r="AI108" i="3" s="1"/>
  <c r="AJ108" i="3" s="1"/>
  <c r="AK109" i="3"/>
  <c r="AI109" i="3" s="1"/>
  <c r="AJ109" i="3" s="1"/>
  <c r="AK111" i="3"/>
  <c r="AI111" i="3" s="1"/>
  <c r="AJ111" i="3" s="1"/>
  <c r="AK112" i="3"/>
  <c r="AI112" i="3" s="1"/>
  <c r="AJ112" i="3" s="1"/>
  <c r="AK113" i="3"/>
  <c r="AI113" i="3" s="1"/>
  <c r="AJ113" i="3" s="1"/>
  <c r="AK115" i="3"/>
  <c r="AI115" i="3" s="1"/>
  <c r="AJ115" i="3" s="1"/>
  <c r="AK116" i="3"/>
  <c r="AI116" i="3" s="1"/>
  <c r="AJ116" i="3" s="1"/>
  <c r="AK117" i="3"/>
  <c r="AI117" i="3" s="1"/>
  <c r="AJ117" i="3" s="1"/>
  <c r="AK119" i="3"/>
  <c r="AI119" i="3" s="1"/>
  <c r="AJ119" i="3" s="1"/>
  <c r="AK120" i="3"/>
  <c r="AI120" i="3" s="1"/>
  <c r="AJ120" i="3" s="1"/>
  <c r="AK121" i="3"/>
  <c r="AI121" i="3" s="1"/>
  <c r="AJ121" i="3" s="1"/>
  <c r="AK123" i="3"/>
  <c r="AI123" i="3" s="1"/>
  <c r="AJ123" i="3" s="1"/>
  <c r="AK124" i="3"/>
  <c r="AI124" i="3" s="1"/>
  <c r="AJ124" i="3" s="1"/>
  <c r="AK125" i="3"/>
  <c r="AI125" i="3" s="1"/>
  <c r="AJ125" i="3" s="1"/>
  <c r="AK127" i="3"/>
  <c r="AI127" i="3" s="1"/>
  <c r="AJ127" i="3" s="1"/>
  <c r="AK128" i="3"/>
  <c r="AI128" i="3" s="1"/>
  <c r="AJ128" i="3" s="1"/>
  <c r="AK129" i="3"/>
  <c r="AI129" i="3" s="1"/>
  <c r="AJ129" i="3" s="1"/>
  <c r="AK131" i="3"/>
  <c r="AI131" i="3" s="1"/>
  <c r="AJ131" i="3" s="1"/>
  <c r="AK132" i="3"/>
  <c r="AI132" i="3" s="1"/>
  <c r="AJ132" i="3" s="1"/>
  <c r="AK133" i="3"/>
  <c r="AI133" i="3" s="1"/>
  <c r="AJ133" i="3" s="1"/>
  <c r="AK135" i="3"/>
  <c r="AI135" i="3" s="1"/>
  <c r="AJ135" i="3" s="1"/>
  <c r="AK136" i="3"/>
  <c r="AI136" i="3" s="1"/>
  <c r="AJ136" i="3" s="1"/>
  <c r="AK137" i="3"/>
  <c r="AI137" i="3" s="1"/>
  <c r="AJ137" i="3" s="1"/>
  <c r="AK139" i="3"/>
  <c r="AI139" i="3" s="1"/>
  <c r="AJ139" i="3" s="1"/>
  <c r="AK140" i="3"/>
  <c r="AI140" i="3" s="1"/>
  <c r="AJ140" i="3" s="1"/>
  <c r="AK141" i="3"/>
  <c r="AI141" i="3" s="1"/>
  <c r="AJ141" i="3" s="1"/>
  <c r="AK143" i="3"/>
  <c r="AI143" i="3" s="1"/>
  <c r="AJ143" i="3" s="1"/>
  <c r="AK144" i="3"/>
  <c r="AI144" i="3" s="1"/>
  <c r="AJ144" i="3" s="1"/>
  <c r="AK145" i="3"/>
  <c r="AI145" i="3" s="1"/>
  <c r="AJ145" i="3" s="1"/>
  <c r="AK147" i="3"/>
  <c r="AI147" i="3" s="1"/>
  <c r="AJ147" i="3" s="1"/>
  <c r="AK148" i="3"/>
  <c r="AI148" i="3" s="1"/>
  <c r="AJ148" i="3" s="1"/>
  <c r="AK149" i="3"/>
  <c r="AI149" i="3" s="1"/>
  <c r="AJ149" i="3" s="1"/>
  <c r="AK151" i="3"/>
  <c r="AI151" i="3" s="1"/>
  <c r="AJ151" i="3" s="1"/>
  <c r="AK152" i="3"/>
  <c r="AI152" i="3" s="1"/>
  <c r="AJ152" i="3" s="1"/>
  <c r="AK153" i="3"/>
  <c r="AI153" i="3" s="1"/>
  <c r="AJ153" i="3" s="1"/>
  <c r="AK155" i="3"/>
  <c r="AI155" i="3" s="1"/>
  <c r="AJ155" i="3" s="1"/>
  <c r="AK156" i="3"/>
  <c r="AI156" i="3" s="1"/>
  <c r="AJ156" i="3" s="1"/>
  <c r="AK157" i="3"/>
  <c r="AI157" i="3" s="1"/>
  <c r="AJ157" i="3" s="1"/>
  <c r="AK159" i="3"/>
  <c r="AI159" i="3" s="1"/>
  <c r="AJ159" i="3" s="1"/>
  <c r="AK160" i="3"/>
  <c r="AI160" i="3" s="1"/>
  <c r="AJ160" i="3" s="1"/>
  <c r="AK161" i="3"/>
  <c r="AI161" i="3" s="1"/>
  <c r="AJ161" i="3" s="1"/>
  <c r="AK163" i="3"/>
  <c r="AI163" i="3" s="1"/>
  <c r="AJ163" i="3" s="1"/>
  <c r="AK164" i="3"/>
  <c r="AI164" i="3" s="1"/>
  <c r="AJ164" i="3" s="1"/>
  <c r="AK165" i="3"/>
  <c r="AI165" i="3" s="1"/>
  <c r="AJ165" i="3" s="1"/>
  <c r="AK167" i="3"/>
  <c r="AI167" i="3" s="1"/>
  <c r="AJ167" i="3" s="1"/>
  <c r="AK168" i="3"/>
  <c r="AI168" i="3" s="1"/>
  <c r="AJ168" i="3" s="1"/>
  <c r="AK169" i="3"/>
  <c r="AI169" i="3" s="1"/>
  <c r="AJ169" i="3" s="1"/>
  <c r="AK171" i="3"/>
  <c r="AI171" i="3" s="1"/>
  <c r="AJ171" i="3" s="1"/>
  <c r="AK172" i="3"/>
  <c r="AI172" i="3" s="1"/>
  <c r="AJ172" i="3" s="1"/>
  <c r="AK173" i="3"/>
  <c r="AI173" i="3" s="1"/>
  <c r="AJ173" i="3" s="1"/>
  <c r="AK175" i="3"/>
  <c r="AI175" i="3" s="1"/>
  <c r="AJ175" i="3" s="1"/>
  <c r="AK176" i="3"/>
  <c r="AI176" i="3" s="1"/>
  <c r="AJ176" i="3" s="1"/>
  <c r="AK177" i="3"/>
  <c r="AI177" i="3" s="1"/>
  <c r="AJ177" i="3" s="1"/>
  <c r="AK179" i="3"/>
  <c r="AI179" i="3" s="1"/>
  <c r="AJ179" i="3" s="1"/>
  <c r="AK180" i="3"/>
  <c r="AI180" i="3" s="1"/>
  <c r="AJ180" i="3" s="1"/>
  <c r="AK181" i="3"/>
  <c r="AI181" i="3" s="1"/>
  <c r="AJ181" i="3" s="1"/>
  <c r="AK183" i="3"/>
  <c r="AI183" i="3" s="1"/>
  <c r="AJ183" i="3" s="1"/>
  <c r="AK184" i="3"/>
  <c r="AI184" i="3" s="1"/>
  <c r="AJ184" i="3" s="1"/>
  <c r="AK185" i="3"/>
  <c r="AI185" i="3" s="1"/>
  <c r="AJ185" i="3" s="1"/>
  <c r="AK187" i="3"/>
  <c r="AI187" i="3" s="1"/>
  <c r="AJ187" i="3" s="1"/>
  <c r="AK188" i="3"/>
  <c r="AI188" i="3" s="1"/>
  <c r="AJ188" i="3" s="1"/>
  <c r="AK189" i="3"/>
  <c r="AI189" i="3" s="1"/>
  <c r="AJ189" i="3" s="1"/>
  <c r="AK191" i="3"/>
  <c r="AI191" i="3" s="1"/>
  <c r="AJ191" i="3" s="1"/>
  <c r="AK192" i="3"/>
  <c r="AI192" i="3" s="1"/>
  <c r="AJ192" i="3" s="1"/>
  <c r="AK193" i="3"/>
  <c r="AI193" i="3" s="1"/>
  <c r="AJ193" i="3" s="1"/>
  <c r="AK195" i="3"/>
  <c r="AI195" i="3" s="1"/>
  <c r="AJ195" i="3" s="1"/>
  <c r="AK196" i="3"/>
  <c r="AI196" i="3" s="1"/>
  <c r="AJ196" i="3" s="1"/>
  <c r="AK197" i="3"/>
  <c r="AI197" i="3" s="1"/>
  <c r="AJ197" i="3" s="1"/>
  <c r="AK199" i="3"/>
  <c r="AI199" i="3" s="1"/>
  <c r="AJ199" i="3" s="1"/>
  <c r="AK200" i="3"/>
  <c r="AI200" i="3" s="1"/>
  <c r="AJ200" i="3" s="1"/>
  <c r="AK201" i="3"/>
  <c r="AI201" i="3" s="1"/>
  <c r="AJ201" i="3" s="1"/>
  <c r="AK203" i="3"/>
  <c r="AI203" i="3" s="1"/>
  <c r="AJ203" i="3" s="1"/>
  <c r="AK204" i="3"/>
  <c r="AI204" i="3" s="1"/>
  <c r="AJ204" i="3" s="1"/>
  <c r="AK205" i="3"/>
  <c r="AI205" i="3" s="1"/>
  <c r="AJ205" i="3" s="1"/>
  <c r="AK207" i="3"/>
  <c r="AI207" i="3" s="1"/>
  <c r="AJ207" i="3" s="1"/>
  <c r="AK208" i="3"/>
  <c r="AI208" i="3" s="1"/>
  <c r="AJ208" i="3" s="1"/>
  <c r="AK209" i="3"/>
  <c r="AI209" i="3" s="1"/>
  <c r="AJ209" i="3" s="1"/>
  <c r="AK211" i="3"/>
  <c r="AI211" i="3" s="1"/>
  <c r="AJ211" i="3" s="1"/>
  <c r="AK212" i="3"/>
  <c r="AI212" i="3" s="1"/>
  <c r="AJ212" i="3" s="1"/>
  <c r="AK213" i="3"/>
  <c r="AI213" i="3" s="1"/>
  <c r="AJ213" i="3" s="1"/>
  <c r="AK215" i="3"/>
  <c r="AI215" i="3" s="1"/>
  <c r="AJ215" i="3" s="1"/>
  <c r="AK216" i="3"/>
  <c r="AI216" i="3" s="1"/>
  <c r="AJ216" i="3" s="1"/>
  <c r="AK217" i="3"/>
  <c r="AI217" i="3" s="1"/>
  <c r="AJ217" i="3" s="1"/>
  <c r="AK219" i="3"/>
  <c r="AI219" i="3" s="1"/>
  <c r="AJ219" i="3" s="1"/>
  <c r="AK220" i="3"/>
  <c r="AI220" i="3" s="1"/>
  <c r="AJ220" i="3" s="1"/>
  <c r="AK221" i="3"/>
  <c r="AI221" i="3" s="1"/>
  <c r="AJ221" i="3" s="1"/>
  <c r="AK223" i="3"/>
  <c r="AI223" i="3" s="1"/>
  <c r="AJ223" i="3" s="1"/>
  <c r="AK224" i="3"/>
  <c r="AI224" i="3" s="1"/>
  <c r="AJ224" i="3" s="1"/>
  <c r="AK225" i="3"/>
  <c r="AI225" i="3" s="1"/>
  <c r="AJ225" i="3" s="1"/>
  <c r="AK227" i="3"/>
  <c r="AI227" i="3" s="1"/>
  <c r="AJ227" i="3" s="1"/>
  <c r="AK228" i="3"/>
  <c r="AI228" i="3" s="1"/>
  <c r="AJ228" i="3" s="1"/>
  <c r="AK229" i="3"/>
  <c r="AI229" i="3" s="1"/>
  <c r="AJ229" i="3" s="1"/>
  <c r="AK231" i="3"/>
  <c r="AI231" i="3" s="1"/>
  <c r="AJ231" i="3" s="1"/>
  <c r="AK232" i="3"/>
  <c r="AI232" i="3" s="1"/>
  <c r="AJ232" i="3" s="1"/>
  <c r="AK233" i="3"/>
  <c r="AI233" i="3" s="1"/>
  <c r="AJ233" i="3" s="1"/>
  <c r="AK235" i="3"/>
  <c r="AI235" i="3" s="1"/>
  <c r="AJ235" i="3" s="1"/>
  <c r="AK236" i="3"/>
  <c r="AI236" i="3" s="1"/>
  <c r="AJ236" i="3" s="1"/>
  <c r="AK237" i="3"/>
  <c r="AI237" i="3" s="1"/>
  <c r="AJ237" i="3" s="1"/>
  <c r="AK239" i="3"/>
  <c r="AI239" i="3" s="1"/>
  <c r="AJ239" i="3" s="1"/>
  <c r="AK240" i="3"/>
  <c r="AI240" i="3" s="1"/>
  <c r="AJ240" i="3" s="1"/>
  <c r="AK241" i="3"/>
  <c r="AI241" i="3" s="1"/>
  <c r="AJ241" i="3" s="1"/>
  <c r="AK243" i="3"/>
  <c r="AI243" i="3" s="1"/>
  <c r="AJ243" i="3" s="1"/>
  <c r="AK244" i="3"/>
  <c r="AI244" i="3" s="1"/>
  <c r="AJ244" i="3" s="1"/>
  <c r="AK245" i="3"/>
  <c r="AI245" i="3" s="1"/>
  <c r="AJ245" i="3" s="1"/>
  <c r="AK247" i="3"/>
  <c r="AI247" i="3" s="1"/>
  <c r="AJ247" i="3" s="1"/>
  <c r="AK248" i="3"/>
  <c r="AI248" i="3" s="1"/>
  <c r="AJ248" i="3" s="1"/>
  <c r="AK249" i="3"/>
  <c r="AI249" i="3" s="1"/>
  <c r="AJ249" i="3" s="1"/>
  <c r="AK251" i="3"/>
  <c r="AI251" i="3" s="1"/>
  <c r="AJ251" i="3" s="1"/>
  <c r="AK252" i="3"/>
  <c r="AI252" i="3" s="1"/>
  <c r="AJ252" i="3" s="1"/>
  <c r="AK253" i="3"/>
  <c r="AI253" i="3" s="1"/>
  <c r="AJ253" i="3" s="1"/>
  <c r="AK255" i="3"/>
  <c r="AI255" i="3" s="1"/>
  <c r="AJ255" i="3" s="1"/>
  <c r="AK256" i="3"/>
  <c r="AI256" i="3" s="1"/>
  <c r="AJ256" i="3" s="1"/>
  <c r="AK257" i="3"/>
  <c r="AI257" i="3" s="1"/>
  <c r="AJ257" i="3" s="1"/>
  <c r="AK259" i="3"/>
  <c r="AI259" i="3" s="1"/>
  <c r="AJ259" i="3" s="1"/>
  <c r="AK260" i="3"/>
  <c r="AI260" i="3" s="1"/>
  <c r="AJ260" i="3" s="1"/>
  <c r="AK261" i="3"/>
  <c r="AI261" i="3" s="1"/>
  <c r="AJ261" i="3" s="1"/>
  <c r="AK263" i="3"/>
  <c r="AI263" i="3" s="1"/>
  <c r="AJ263" i="3" s="1"/>
  <c r="AK264" i="3"/>
  <c r="AI264" i="3" s="1"/>
  <c r="AJ264" i="3" s="1"/>
  <c r="AK265" i="3"/>
  <c r="AI265" i="3" s="1"/>
  <c r="AJ265" i="3" s="1"/>
  <c r="AK267" i="3"/>
  <c r="AI267" i="3" s="1"/>
  <c r="AJ267" i="3" s="1"/>
  <c r="AK268" i="3"/>
  <c r="AI268" i="3" s="1"/>
  <c r="AJ268" i="3" s="1"/>
  <c r="AK269" i="3"/>
  <c r="AI269" i="3" s="1"/>
  <c r="AJ269" i="3" s="1"/>
  <c r="AK271" i="3"/>
  <c r="AI271" i="3" s="1"/>
  <c r="AJ271" i="3" s="1"/>
  <c r="AK272" i="3"/>
  <c r="AI272" i="3" s="1"/>
  <c r="AJ272" i="3" s="1"/>
  <c r="AK273" i="3"/>
  <c r="AI273" i="3" s="1"/>
  <c r="AJ273" i="3" s="1"/>
  <c r="AK275" i="3"/>
  <c r="AI275" i="3" s="1"/>
  <c r="AJ275" i="3" s="1"/>
  <c r="AK276" i="3"/>
  <c r="AI276" i="3" s="1"/>
  <c r="AJ276" i="3" s="1"/>
  <c r="AK277" i="3"/>
  <c r="AI277" i="3" s="1"/>
  <c r="AJ277" i="3" s="1"/>
  <c r="AK279" i="3"/>
  <c r="AI279" i="3" s="1"/>
  <c r="AJ279" i="3" s="1"/>
  <c r="AK280" i="3"/>
  <c r="AI280" i="3" s="1"/>
  <c r="AJ280" i="3" s="1"/>
  <c r="AK281" i="3"/>
  <c r="AI281" i="3" s="1"/>
  <c r="AJ281" i="3" s="1"/>
  <c r="AK283" i="3"/>
  <c r="AI283" i="3" s="1"/>
  <c r="AJ283" i="3" s="1"/>
  <c r="AK284" i="3"/>
  <c r="AI284" i="3" s="1"/>
  <c r="AJ284" i="3" s="1"/>
  <c r="AK285" i="3"/>
  <c r="AI285" i="3" s="1"/>
  <c r="AJ285" i="3" s="1"/>
  <c r="AK287" i="3"/>
  <c r="AI287" i="3" s="1"/>
  <c r="AJ287" i="3" s="1"/>
  <c r="AK288" i="3"/>
  <c r="AI288" i="3" s="1"/>
  <c r="AJ288" i="3" s="1"/>
  <c r="AK289" i="3"/>
  <c r="AI289" i="3" s="1"/>
  <c r="AJ289" i="3" s="1"/>
  <c r="AK291" i="3"/>
  <c r="AI291" i="3" s="1"/>
  <c r="AJ291" i="3" s="1"/>
  <c r="AK292" i="3"/>
  <c r="AI292" i="3" s="1"/>
  <c r="AJ292" i="3" s="1"/>
  <c r="AK293" i="3"/>
  <c r="AI293" i="3" s="1"/>
  <c r="AJ293" i="3" s="1"/>
  <c r="AK295" i="3"/>
  <c r="AI295" i="3" s="1"/>
  <c r="AJ295" i="3" s="1"/>
  <c r="AK296" i="3"/>
  <c r="AI296" i="3" s="1"/>
  <c r="AJ296" i="3" s="1"/>
  <c r="AK297" i="3"/>
  <c r="AI297" i="3" s="1"/>
  <c r="AJ297" i="3" s="1"/>
  <c r="AK299" i="3"/>
  <c r="AI299" i="3" s="1"/>
  <c r="AJ299" i="3" s="1"/>
  <c r="AK300" i="3"/>
  <c r="AI300" i="3" s="1"/>
  <c r="AJ300" i="3" s="1"/>
  <c r="AK301" i="3"/>
  <c r="AI301" i="3" s="1"/>
  <c r="AJ301" i="3" s="1"/>
  <c r="AK303" i="3"/>
  <c r="AI303" i="3" s="1"/>
  <c r="AJ303" i="3" s="1"/>
  <c r="AK304" i="3"/>
  <c r="AI304" i="3" s="1"/>
  <c r="AJ304" i="3" s="1"/>
  <c r="AK305" i="3"/>
  <c r="AI305" i="3" s="1"/>
  <c r="AJ305" i="3" s="1"/>
  <c r="AK307" i="3"/>
  <c r="AI307" i="3" s="1"/>
  <c r="AJ307" i="3" s="1"/>
  <c r="AK308" i="3"/>
  <c r="AI308" i="3" s="1"/>
  <c r="AJ308" i="3" s="1"/>
  <c r="AK309" i="3"/>
  <c r="AI309" i="3" s="1"/>
  <c r="AJ309" i="3" s="1"/>
  <c r="AK311" i="3"/>
  <c r="AI311" i="3" s="1"/>
  <c r="AJ311" i="3" s="1"/>
  <c r="AK312" i="3"/>
  <c r="AI312" i="3" s="1"/>
  <c r="AJ312" i="3" s="1"/>
  <c r="AK313" i="3"/>
  <c r="AI313" i="3" s="1"/>
  <c r="AJ313" i="3" s="1"/>
  <c r="AK315" i="3"/>
  <c r="AI315" i="3" s="1"/>
  <c r="AJ315" i="3" s="1"/>
  <c r="AK316" i="3"/>
  <c r="AI316" i="3" s="1"/>
  <c r="AJ316" i="3" s="1"/>
  <c r="AK317" i="3"/>
  <c r="AI317" i="3" s="1"/>
  <c r="AJ317" i="3" s="1"/>
  <c r="AK319" i="3"/>
  <c r="AI319" i="3" s="1"/>
  <c r="AJ319" i="3" s="1"/>
  <c r="AK320" i="3"/>
  <c r="AI320" i="3" s="1"/>
  <c r="AJ320" i="3" s="1"/>
  <c r="AK321" i="3"/>
  <c r="AI321" i="3" s="1"/>
  <c r="AJ321" i="3" s="1"/>
  <c r="AK323" i="3"/>
  <c r="AI323" i="3" s="1"/>
  <c r="AJ323" i="3" s="1"/>
  <c r="AK324" i="3"/>
  <c r="AI324" i="3" s="1"/>
  <c r="AJ324" i="3" s="1"/>
  <c r="AK325" i="3"/>
  <c r="AI325" i="3" s="1"/>
  <c r="AJ325" i="3" s="1"/>
  <c r="AK327" i="3"/>
  <c r="AI327" i="3" s="1"/>
  <c r="AJ327" i="3" s="1"/>
  <c r="AK328" i="3"/>
  <c r="AI328" i="3" s="1"/>
  <c r="AJ328" i="3" s="1"/>
  <c r="AK329" i="3"/>
  <c r="AI329" i="3" s="1"/>
  <c r="AJ329" i="3" s="1"/>
  <c r="AK331" i="3"/>
  <c r="AI331" i="3" s="1"/>
  <c r="AJ331" i="3" s="1"/>
  <c r="AK332" i="3"/>
  <c r="AI332" i="3" s="1"/>
  <c r="AJ332" i="3" s="1"/>
  <c r="AK333" i="3"/>
  <c r="AI333" i="3" s="1"/>
  <c r="AJ333" i="3" s="1"/>
  <c r="AK335" i="3"/>
  <c r="AI335" i="3" s="1"/>
  <c r="AJ335" i="3" s="1"/>
  <c r="AK336" i="3"/>
  <c r="AI336" i="3" s="1"/>
  <c r="AJ336" i="3" s="1"/>
  <c r="AK337" i="3"/>
  <c r="AI337" i="3" s="1"/>
  <c r="AJ337" i="3" s="1"/>
  <c r="AK339" i="3"/>
  <c r="AI339" i="3" s="1"/>
  <c r="AJ339" i="3" s="1"/>
  <c r="AK340" i="3"/>
  <c r="AI340" i="3" s="1"/>
  <c r="AJ340" i="3" s="1"/>
  <c r="AK341" i="3"/>
  <c r="AI341" i="3" s="1"/>
  <c r="AJ341" i="3" s="1"/>
  <c r="AK343" i="3"/>
  <c r="AI343" i="3" s="1"/>
  <c r="AJ343" i="3" s="1"/>
  <c r="AK344" i="3"/>
  <c r="AI344" i="3" s="1"/>
  <c r="AJ344" i="3" s="1"/>
  <c r="AK345" i="3"/>
  <c r="AI345" i="3" s="1"/>
  <c r="AJ345" i="3" s="1"/>
  <c r="AK347" i="3"/>
  <c r="AI347" i="3" s="1"/>
  <c r="AJ347" i="3" s="1"/>
  <c r="AK348" i="3"/>
  <c r="AI348" i="3" s="1"/>
  <c r="AJ348" i="3" s="1"/>
  <c r="AK349" i="3"/>
  <c r="AI349" i="3" s="1"/>
  <c r="AJ349" i="3" s="1"/>
  <c r="AK351" i="3"/>
  <c r="AI351" i="3" s="1"/>
  <c r="AJ351" i="3" s="1"/>
  <c r="AK352" i="3"/>
  <c r="AI352" i="3" s="1"/>
  <c r="AJ352" i="3" s="1"/>
  <c r="AK353" i="3"/>
  <c r="AI353" i="3" s="1"/>
  <c r="AJ353" i="3" s="1"/>
  <c r="AK355" i="3"/>
  <c r="AI355" i="3" s="1"/>
  <c r="AJ355" i="3" s="1"/>
  <c r="AK356" i="3"/>
  <c r="AI356" i="3" s="1"/>
  <c r="AJ356" i="3" s="1"/>
  <c r="AK357" i="3"/>
  <c r="AI357" i="3" s="1"/>
  <c r="AJ357" i="3" s="1"/>
  <c r="AK359" i="3"/>
  <c r="AI359" i="3" s="1"/>
  <c r="AJ359" i="3" s="1"/>
  <c r="AK360" i="3"/>
  <c r="AI360" i="3" s="1"/>
  <c r="AJ360" i="3" s="1"/>
  <c r="AK361" i="3"/>
  <c r="AI361" i="3" s="1"/>
  <c r="AJ361" i="3" s="1"/>
  <c r="AK363" i="3"/>
  <c r="AI363" i="3" s="1"/>
  <c r="AJ363" i="3" s="1"/>
  <c r="AK364" i="3"/>
  <c r="AI364" i="3" s="1"/>
  <c r="AJ364" i="3" s="1"/>
  <c r="AK365" i="3"/>
  <c r="AI365" i="3" s="1"/>
  <c r="AJ365" i="3" s="1"/>
  <c r="AK367" i="3"/>
  <c r="AI367" i="3" s="1"/>
  <c r="AJ367" i="3" s="1"/>
  <c r="AK368" i="3"/>
  <c r="AI368" i="3" s="1"/>
  <c r="AJ368" i="3" s="1"/>
  <c r="AK369" i="3"/>
  <c r="AI369" i="3" s="1"/>
  <c r="AJ369" i="3" s="1"/>
  <c r="AK371" i="3"/>
  <c r="AI371" i="3" s="1"/>
  <c r="AJ371" i="3" s="1"/>
  <c r="AK372" i="3"/>
  <c r="AI372" i="3" s="1"/>
  <c r="AJ372" i="3" s="1"/>
  <c r="AK373" i="3"/>
  <c r="AI373" i="3" s="1"/>
  <c r="AJ373" i="3" s="1"/>
  <c r="AK375" i="3"/>
  <c r="AI375" i="3" s="1"/>
  <c r="AJ375" i="3" s="1"/>
  <c r="AK376" i="3"/>
  <c r="AI376" i="3" s="1"/>
  <c r="AJ376" i="3" s="1"/>
  <c r="AK377" i="3"/>
  <c r="AI377" i="3" s="1"/>
  <c r="AJ377" i="3" s="1"/>
  <c r="AK379" i="3"/>
  <c r="AI379" i="3" s="1"/>
  <c r="AJ379" i="3" s="1"/>
  <c r="AK380" i="3"/>
  <c r="AI380" i="3" s="1"/>
  <c r="AJ380" i="3" s="1"/>
  <c r="AK381" i="3"/>
  <c r="AI381" i="3" s="1"/>
  <c r="AJ381" i="3" s="1"/>
  <c r="AK383" i="3"/>
  <c r="AI383" i="3" s="1"/>
  <c r="AJ383" i="3" s="1"/>
  <c r="AK384" i="3"/>
  <c r="AI384" i="3" s="1"/>
  <c r="AJ384" i="3" s="1"/>
  <c r="AK385" i="3"/>
  <c r="AI385" i="3" s="1"/>
  <c r="AJ385" i="3" s="1"/>
  <c r="AK387" i="3"/>
  <c r="AI387" i="3" s="1"/>
  <c r="AJ387" i="3" s="1"/>
  <c r="AK388" i="3"/>
  <c r="AI388" i="3" s="1"/>
  <c r="AJ388" i="3" s="1"/>
  <c r="AK389" i="3"/>
  <c r="AI389" i="3" s="1"/>
  <c r="AJ389" i="3" s="1"/>
  <c r="AK391" i="3"/>
  <c r="AI391" i="3" s="1"/>
  <c r="AJ391" i="3" s="1"/>
  <c r="AK392" i="3"/>
  <c r="AI392" i="3" s="1"/>
  <c r="AJ392" i="3" s="1"/>
  <c r="AK393" i="3"/>
  <c r="AI393" i="3" s="1"/>
  <c r="AJ393" i="3" s="1"/>
  <c r="AK395" i="3"/>
  <c r="AI395" i="3" s="1"/>
  <c r="AJ395" i="3" s="1"/>
  <c r="AK396" i="3"/>
  <c r="AI396" i="3" s="1"/>
  <c r="AJ396" i="3" s="1"/>
  <c r="AK397" i="3"/>
  <c r="AI397" i="3" s="1"/>
  <c r="AJ397" i="3" s="1"/>
  <c r="AK399" i="3"/>
  <c r="AI399" i="3" s="1"/>
  <c r="AJ399" i="3" s="1"/>
  <c r="AK400" i="3"/>
  <c r="AI400" i="3" s="1"/>
  <c r="AJ400" i="3" s="1"/>
  <c r="AK401" i="3"/>
  <c r="AI401" i="3" s="1"/>
  <c r="AJ401" i="3" s="1"/>
  <c r="AK403" i="3"/>
  <c r="AI403" i="3" s="1"/>
  <c r="AJ403" i="3" s="1"/>
  <c r="AK404" i="3"/>
  <c r="AI404" i="3" s="1"/>
  <c r="AJ404" i="3" s="1"/>
  <c r="AK405" i="3"/>
  <c r="AI405" i="3" s="1"/>
  <c r="AJ405" i="3" s="1"/>
  <c r="AK407" i="3"/>
  <c r="AI407" i="3" s="1"/>
  <c r="AJ407" i="3" s="1"/>
  <c r="AK408" i="3"/>
  <c r="AI408" i="3" s="1"/>
  <c r="AJ408" i="3" s="1"/>
  <c r="AK409" i="3"/>
  <c r="AI409" i="3" s="1"/>
  <c r="AJ409" i="3" s="1"/>
  <c r="AK411" i="3"/>
  <c r="AI411" i="3" s="1"/>
  <c r="AJ411" i="3" s="1"/>
  <c r="AK412" i="3"/>
  <c r="AI412" i="3" s="1"/>
  <c r="AJ412" i="3" s="1"/>
  <c r="AK413" i="3"/>
  <c r="AI413" i="3" s="1"/>
  <c r="AJ413" i="3" s="1"/>
  <c r="AK415" i="3"/>
  <c r="AI415" i="3" s="1"/>
  <c r="AJ415" i="3" s="1"/>
  <c r="AK416" i="3"/>
  <c r="AI416" i="3" s="1"/>
  <c r="AJ416" i="3" s="1"/>
  <c r="AK417" i="3"/>
  <c r="AI417" i="3" s="1"/>
  <c r="AJ417" i="3" s="1"/>
  <c r="AK419" i="3"/>
  <c r="AI419" i="3" s="1"/>
  <c r="AJ419" i="3" s="1"/>
  <c r="AK420" i="3"/>
  <c r="AI420" i="3" s="1"/>
  <c r="AJ420" i="3" s="1"/>
  <c r="AK421" i="3"/>
  <c r="AI421" i="3" s="1"/>
  <c r="AJ421" i="3" s="1"/>
  <c r="AK423" i="3"/>
  <c r="AI423" i="3" s="1"/>
  <c r="AJ423" i="3" s="1"/>
  <c r="AK424" i="3"/>
  <c r="AI424" i="3" s="1"/>
  <c r="AJ424" i="3" s="1"/>
  <c r="AK425" i="3"/>
  <c r="AI425" i="3" s="1"/>
  <c r="AJ425" i="3" s="1"/>
  <c r="AK427" i="3"/>
  <c r="AI427" i="3" s="1"/>
  <c r="AJ427" i="3" s="1"/>
  <c r="AK428" i="3"/>
  <c r="AI428" i="3" s="1"/>
  <c r="AJ428" i="3" s="1"/>
  <c r="AK429" i="3"/>
  <c r="AI429" i="3" s="1"/>
  <c r="AJ429" i="3" s="1"/>
  <c r="AK431" i="3"/>
  <c r="AI431" i="3" s="1"/>
  <c r="AJ431" i="3" s="1"/>
  <c r="AK432" i="3"/>
  <c r="AI432" i="3" s="1"/>
  <c r="AJ432" i="3" s="1"/>
  <c r="AK433" i="3"/>
  <c r="AI433" i="3" s="1"/>
  <c r="AJ433" i="3" s="1"/>
  <c r="AK435" i="3"/>
  <c r="AI435" i="3" s="1"/>
  <c r="AJ435" i="3" s="1"/>
  <c r="AK436" i="3"/>
  <c r="AI436" i="3" s="1"/>
  <c r="AJ436" i="3" s="1"/>
  <c r="AK437" i="3"/>
  <c r="AI437" i="3" s="1"/>
  <c r="AJ437" i="3" s="1"/>
  <c r="AK439" i="3"/>
  <c r="AI439" i="3" s="1"/>
  <c r="AJ439" i="3" s="1"/>
  <c r="AK440" i="3"/>
  <c r="AI440" i="3" s="1"/>
  <c r="AJ440" i="3" s="1"/>
  <c r="AK441" i="3"/>
  <c r="AI441" i="3" s="1"/>
  <c r="AJ441" i="3" s="1"/>
  <c r="AK443" i="3"/>
  <c r="AI443" i="3" s="1"/>
  <c r="AJ443" i="3" s="1"/>
  <c r="AK444" i="3"/>
  <c r="AI444" i="3" s="1"/>
  <c r="AJ444" i="3" s="1"/>
  <c r="AK445" i="3"/>
  <c r="AI445" i="3" s="1"/>
  <c r="AJ445" i="3" s="1"/>
  <c r="AK447" i="3"/>
  <c r="AI447" i="3" s="1"/>
  <c r="AJ447" i="3" s="1"/>
  <c r="AK448" i="3"/>
  <c r="AI448" i="3" s="1"/>
  <c r="AJ448" i="3" s="1"/>
  <c r="AK449" i="3"/>
  <c r="AI449" i="3" s="1"/>
  <c r="AJ449" i="3" s="1"/>
  <c r="AK451" i="3"/>
  <c r="AI451" i="3" s="1"/>
  <c r="AJ451" i="3" s="1"/>
  <c r="AK452" i="3"/>
  <c r="AI452" i="3" s="1"/>
  <c r="AJ452" i="3" s="1"/>
  <c r="AK453" i="3"/>
  <c r="AI453" i="3" s="1"/>
  <c r="AJ453" i="3" s="1"/>
  <c r="AK455" i="3"/>
  <c r="AI455" i="3" s="1"/>
  <c r="AJ455" i="3" s="1"/>
  <c r="AK456" i="3"/>
  <c r="AI456" i="3" s="1"/>
  <c r="AJ456" i="3" s="1"/>
  <c r="AK457" i="3"/>
  <c r="AI457" i="3" s="1"/>
  <c r="AJ457" i="3" s="1"/>
  <c r="AK459" i="3"/>
  <c r="AI459" i="3" s="1"/>
  <c r="AJ459" i="3" s="1"/>
  <c r="AK460" i="3"/>
  <c r="AI460" i="3" s="1"/>
  <c r="AJ460" i="3" s="1"/>
  <c r="AK461" i="3"/>
  <c r="AI461" i="3" s="1"/>
  <c r="AJ461" i="3" s="1"/>
  <c r="AK463" i="3"/>
  <c r="AI463" i="3" s="1"/>
  <c r="AJ463" i="3" s="1"/>
  <c r="AK464" i="3"/>
  <c r="AI464" i="3" s="1"/>
  <c r="AJ464" i="3" s="1"/>
  <c r="AK465" i="3"/>
  <c r="AI465" i="3" s="1"/>
  <c r="AJ465" i="3" s="1"/>
  <c r="AK467" i="3"/>
  <c r="AI467" i="3" s="1"/>
  <c r="AJ467" i="3" s="1"/>
  <c r="AK468" i="3"/>
  <c r="AI468" i="3" s="1"/>
  <c r="AJ468" i="3" s="1"/>
  <c r="AK469" i="3"/>
  <c r="AI469" i="3" s="1"/>
  <c r="AJ469" i="3" s="1"/>
  <c r="AK471" i="3"/>
  <c r="AI471" i="3" s="1"/>
  <c r="AJ471" i="3" s="1"/>
  <c r="AK472" i="3"/>
  <c r="AI472" i="3" s="1"/>
  <c r="AJ472" i="3" s="1"/>
  <c r="AK473" i="3"/>
  <c r="AI473" i="3" s="1"/>
  <c r="AJ473" i="3" s="1"/>
  <c r="AK475" i="3"/>
  <c r="AI475" i="3" s="1"/>
  <c r="AJ475" i="3" s="1"/>
  <c r="AK476" i="3"/>
  <c r="AI476" i="3" s="1"/>
  <c r="AJ476" i="3" s="1"/>
  <c r="AK477" i="3"/>
  <c r="AI477" i="3" s="1"/>
  <c r="AJ477" i="3" s="1"/>
  <c r="AK479" i="3"/>
  <c r="AI479" i="3" s="1"/>
  <c r="AJ479" i="3" s="1"/>
  <c r="AK480" i="3"/>
  <c r="AI480" i="3" s="1"/>
  <c r="AJ480" i="3" s="1"/>
  <c r="AK481" i="3"/>
  <c r="AI481" i="3" s="1"/>
  <c r="AJ481" i="3" s="1"/>
  <c r="AK483" i="3"/>
  <c r="AI483" i="3" s="1"/>
  <c r="AJ483" i="3" s="1"/>
  <c r="AK484" i="3"/>
  <c r="AI484" i="3" s="1"/>
  <c r="AJ484" i="3" s="1"/>
  <c r="AK485" i="3"/>
  <c r="AI485" i="3" s="1"/>
  <c r="AJ485" i="3" s="1"/>
  <c r="AK487" i="3"/>
  <c r="AI487" i="3" s="1"/>
  <c r="AJ487" i="3" s="1"/>
  <c r="AK488" i="3"/>
  <c r="AI488" i="3" s="1"/>
  <c r="AJ488" i="3" s="1"/>
  <c r="AK489" i="3"/>
  <c r="AI489" i="3" s="1"/>
  <c r="AJ489" i="3" s="1"/>
  <c r="AK491" i="3"/>
  <c r="AI491" i="3" s="1"/>
  <c r="AJ491" i="3" s="1"/>
  <c r="AK492" i="3"/>
  <c r="AI492" i="3" s="1"/>
  <c r="AJ492" i="3" s="1"/>
  <c r="AK493" i="3"/>
  <c r="AI493" i="3" s="1"/>
  <c r="AJ493" i="3" s="1"/>
  <c r="AK495" i="3"/>
  <c r="AI495" i="3" s="1"/>
  <c r="AJ495" i="3" s="1"/>
  <c r="AK496" i="3"/>
  <c r="AI496" i="3" s="1"/>
  <c r="AJ496" i="3" s="1"/>
  <c r="AK497" i="3"/>
  <c r="AI497" i="3" s="1"/>
  <c r="AJ497" i="3" s="1"/>
  <c r="AK499" i="3"/>
  <c r="AI499" i="3" s="1"/>
  <c r="AJ499" i="3" s="1"/>
  <c r="AK500" i="3"/>
  <c r="AI500" i="3" s="1"/>
  <c r="AJ500" i="3" s="1"/>
  <c r="AK501" i="3"/>
  <c r="AI501" i="3" s="1"/>
  <c r="AJ501" i="3" s="1"/>
  <c r="AK503" i="3"/>
  <c r="AI503" i="3" s="1"/>
  <c r="AJ503" i="3" s="1"/>
  <c r="AK504" i="3"/>
  <c r="AI504" i="3" s="1"/>
  <c r="AJ504" i="3" s="1"/>
  <c r="AK505" i="3"/>
  <c r="AI505" i="3" s="1"/>
  <c r="AJ505" i="3" s="1"/>
  <c r="AK507" i="3"/>
  <c r="AI507" i="3" s="1"/>
  <c r="AJ507" i="3" s="1"/>
  <c r="AK508" i="3"/>
  <c r="AI508" i="3" s="1"/>
  <c r="AJ508" i="3" s="1"/>
  <c r="AK509" i="3"/>
  <c r="AI509" i="3" s="1"/>
  <c r="AJ509" i="3" s="1"/>
  <c r="AK511" i="3"/>
  <c r="AI511" i="3" s="1"/>
  <c r="AJ511" i="3" s="1"/>
  <c r="AK512" i="3"/>
  <c r="AI512" i="3" s="1"/>
  <c r="AJ512" i="3" s="1"/>
  <c r="AK513" i="3"/>
  <c r="AI513" i="3" s="1"/>
  <c r="AJ513" i="3" s="1"/>
  <c r="AK515" i="3"/>
  <c r="AI515" i="3" s="1"/>
  <c r="AJ515" i="3" s="1"/>
  <c r="AK516" i="3"/>
  <c r="AI516" i="3" s="1"/>
  <c r="AJ516" i="3" s="1"/>
  <c r="AK517" i="3"/>
  <c r="AI517" i="3" s="1"/>
  <c r="AJ517" i="3" s="1"/>
  <c r="AK519" i="3"/>
  <c r="AI519" i="3" s="1"/>
  <c r="AJ519" i="3" s="1"/>
  <c r="AK520" i="3"/>
  <c r="AI520" i="3" s="1"/>
  <c r="AJ520" i="3" s="1"/>
  <c r="AK521" i="3"/>
  <c r="AI521" i="3" s="1"/>
  <c r="AJ521" i="3" s="1"/>
  <c r="AK523" i="3"/>
  <c r="AI523" i="3" s="1"/>
  <c r="AJ523" i="3" s="1"/>
  <c r="AK524" i="3"/>
  <c r="AI524" i="3" s="1"/>
  <c r="AJ524" i="3" s="1"/>
  <c r="AK525" i="3"/>
  <c r="AI525" i="3" s="1"/>
  <c r="AJ525" i="3" s="1"/>
  <c r="AK527" i="3"/>
  <c r="AI527" i="3" s="1"/>
  <c r="AJ527" i="3" s="1"/>
  <c r="AK528" i="3"/>
  <c r="AI528" i="3" s="1"/>
  <c r="AJ528" i="3" s="1"/>
  <c r="AK529" i="3"/>
  <c r="AI529" i="3" s="1"/>
  <c r="AJ529" i="3" s="1"/>
  <c r="AK531" i="3"/>
  <c r="AI531" i="3" s="1"/>
  <c r="AJ531" i="3" s="1"/>
  <c r="AK532" i="3"/>
  <c r="AI532" i="3" s="1"/>
  <c r="AJ532" i="3" s="1"/>
  <c r="AK533" i="3"/>
  <c r="AI533" i="3" s="1"/>
  <c r="AJ533" i="3" s="1"/>
  <c r="AK535" i="3"/>
  <c r="AI535" i="3" s="1"/>
  <c r="AJ535" i="3" s="1"/>
  <c r="AK536" i="3"/>
  <c r="AI536" i="3" s="1"/>
  <c r="AJ536" i="3" s="1"/>
  <c r="AK537" i="3"/>
  <c r="AI537" i="3" s="1"/>
  <c r="AJ537" i="3" s="1"/>
  <c r="AK539" i="3"/>
  <c r="AI539" i="3" s="1"/>
  <c r="AJ539" i="3" s="1"/>
  <c r="AK540" i="3"/>
  <c r="AI540" i="3" s="1"/>
  <c r="AJ540" i="3" s="1"/>
  <c r="AK541" i="3"/>
  <c r="AI541" i="3" s="1"/>
  <c r="AJ541" i="3" s="1"/>
  <c r="AK543" i="3"/>
  <c r="AI543" i="3" s="1"/>
  <c r="AJ543" i="3" s="1"/>
  <c r="AK544" i="3"/>
  <c r="AI544" i="3" s="1"/>
  <c r="AJ544" i="3" s="1"/>
  <c r="AK545" i="3"/>
  <c r="AI545" i="3" s="1"/>
  <c r="AJ545" i="3" s="1"/>
  <c r="AK547" i="3"/>
  <c r="AI547" i="3" s="1"/>
  <c r="AJ547" i="3" s="1"/>
  <c r="AK548" i="3"/>
  <c r="AI548" i="3" s="1"/>
  <c r="AJ548" i="3" s="1"/>
  <c r="AK549" i="3"/>
  <c r="AI549" i="3" s="1"/>
  <c r="AJ549" i="3" s="1"/>
  <c r="AK551" i="3"/>
  <c r="AI551" i="3" s="1"/>
  <c r="AJ551" i="3" s="1"/>
  <c r="AK552" i="3"/>
  <c r="AI552" i="3" s="1"/>
  <c r="AJ552" i="3" s="1"/>
  <c r="AK553" i="3"/>
  <c r="AI553" i="3" s="1"/>
  <c r="AJ553" i="3" s="1"/>
  <c r="AK555" i="3"/>
  <c r="AI555" i="3" s="1"/>
  <c r="AJ555" i="3" s="1"/>
  <c r="AK556" i="3"/>
  <c r="AI556" i="3" s="1"/>
  <c r="AJ556" i="3" s="1"/>
  <c r="AK557" i="3"/>
  <c r="AI557" i="3" s="1"/>
  <c r="AJ557" i="3" s="1"/>
  <c r="AK559" i="3"/>
  <c r="AI559" i="3" s="1"/>
  <c r="AJ559" i="3" s="1"/>
  <c r="AK560" i="3"/>
  <c r="AI560" i="3" s="1"/>
  <c r="AJ560" i="3" s="1"/>
  <c r="AK561" i="3"/>
  <c r="AI561" i="3" s="1"/>
  <c r="AJ561" i="3" s="1"/>
  <c r="AK563" i="3"/>
  <c r="AI563" i="3" s="1"/>
  <c r="AJ563" i="3" s="1"/>
  <c r="AK564" i="3"/>
  <c r="AI564" i="3" s="1"/>
  <c r="AJ564" i="3" s="1"/>
  <c r="AK565" i="3"/>
  <c r="AI565" i="3" s="1"/>
  <c r="AJ565" i="3" s="1"/>
  <c r="AK567" i="3"/>
  <c r="AI567" i="3" s="1"/>
  <c r="AJ567" i="3" s="1"/>
  <c r="AK568" i="3"/>
  <c r="AI568" i="3" s="1"/>
  <c r="AJ568" i="3" s="1"/>
  <c r="AK569" i="3"/>
  <c r="AI569" i="3" s="1"/>
  <c r="AJ569" i="3" s="1"/>
  <c r="AK571" i="3"/>
  <c r="AI571" i="3" s="1"/>
  <c r="AJ571" i="3" s="1"/>
  <c r="AK572" i="3"/>
  <c r="AI572" i="3" s="1"/>
  <c r="AJ572" i="3" s="1"/>
  <c r="AK573" i="3"/>
  <c r="AI573" i="3" s="1"/>
  <c r="AJ573" i="3" s="1"/>
  <c r="AK575" i="3"/>
  <c r="AI575" i="3" s="1"/>
  <c r="AJ575" i="3" s="1"/>
  <c r="AK576" i="3"/>
  <c r="AI576" i="3" s="1"/>
  <c r="AJ576" i="3" s="1"/>
  <c r="AK577" i="3"/>
  <c r="AI577" i="3" s="1"/>
  <c r="AJ577" i="3" s="1"/>
  <c r="AK579" i="3"/>
  <c r="AI579" i="3" s="1"/>
  <c r="AJ579" i="3" s="1"/>
  <c r="AK580" i="3"/>
  <c r="AI580" i="3" s="1"/>
  <c r="AJ580" i="3" s="1"/>
  <c r="AK581" i="3"/>
  <c r="AI581" i="3" s="1"/>
  <c r="AJ581" i="3" s="1"/>
  <c r="AK583" i="3"/>
  <c r="AI583" i="3" s="1"/>
  <c r="AJ583" i="3" s="1"/>
  <c r="AK584" i="3"/>
  <c r="AI584" i="3" s="1"/>
  <c r="AJ584" i="3" s="1"/>
  <c r="AK585" i="3"/>
  <c r="AI585" i="3" s="1"/>
  <c r="AJ585" i="3" s="1"/>
  <c r="AK587" i="3"/>
  <c r="AI587" i="3" s="1"/>
  <c r="AJ587" i="3" s="1"/>
  <c r="AK588" i="3"/>
  <c r="AI588" i="3" s="1"/>
  <c r="AJ588" i="3" s="1"/>
  <c r="AK589" i="3"/>
  <c r="AI589" i="3" s="1"/>
  <c r="AJ589" i="3" s="1"/>
  <c r="AK591" i="3"/>
  <c r="AI591" i="3" s="1"/>
  <c r="AJ591" i="3" s="1"/>
  <c r="AK592" i="3"/>
  <c r="AI592" i="3" s="1"/>
  <c r="AJ592" i="3" s="1"/>
  <c r="AK593" i="3"/>
  <c r="AI593" i="3" s="1"/>
  <c r="AJ593" i="3" s="1"/>
  <c r="AK595" i="3"/>
  <c r="AI595" i="3" s="1"/>
  <c r="AJ595" i="3" s="1"/>
  <c r="AK596" i="3"/>
  <c r="AI596" i="3" s="1"/>
  <c r="AJ596" i="3" s="1"/>
  <c r="AK597" i="3"/>
  <c r="AI597" i="3" s="1"/>
  <c r="AJ597" i="3" s="1"/>
  <c r="AK599" i="3"/>
  <c r="AI599" i="3" s="1"/>
  <c r="AJ599" i="3" s="1"/>
  <c r="AK600" i="3"/>
  <c r="AI600" i="3" s="1"/>
  <c r="AJ600" i="3" s="1"/>
  <c r="AK601" i="3"/>
  <c r="AI601" i="3" s="1"/>
  <c r="AJ601" i="3" s="1"/>
  <c r="AK603" i="3"/>
  <c r="AI603" i="3" s="1"/>
  <c r="AJ603" i="3" s="1"/>
  <c r="AK604" i="3"/>
  <c r="AI604" i="3" s="1"/>
  <c r="AJ604" i="3" s="1"/>
  <c r="AK605" i="3"/>
  <c r="AI605" i="3" s="1"/>
  <c r="AJ605" i="3" s="1"/>
  <c r="AK607" i="3"/>
  <c r="AI607" i="3" s="1"/>
  <c r="AJ607" i="3" s="1"/>
  <c r="AK608" i="3"/>
  <c r="AI608" i="3" s="1"/>
  <c r="AJ608" i="3" s="1"/>
  <c r="AK609" i="3"/>
  <c r="AI609" i="3" s="1"/>
  <c r="AJ609" i="3" s="1"/>
  <c r="AK611" i="3"/>
  <c r="AI611" i="3" s="1"/>
  <c r="AJ611" i="3" s="1"/>
  <c r="AK612" i="3"/>
  <c r="AI612" i="3" s="1"/>
  <c r="AJ612" i="3" s="1"/>
  <c r="AK613" i="3"/>
  <c r="AI613" i="3" s="1"/>
  <c r="AJ613" i="3" s="1"/>
  <c r="AK615" i="3"/>
  <c r="AI615" i="3" s="1"/>
  <c r="AJ615" i="3" s="1"/>
  <c r="AK616" i="3"/>
  <c r="AI616" i="3" s="1"/>
  <c r="AJ616" i="3" s="1"/>
  <c r="AK617" i="3"/>
  <c r="AI617" i="3" s="1"/>
  <c r="AJ617" i="3" s="1"/>
  <c r="AK619" i="3"/>
  <c r="AI619" i="3" s="1"/>
  <c r="AJ619" i="3" s="1"/>
  <c r="AK620" i="3"/>
  <c r="AI620" i="3" s="1"/>
  <c r="AJ620" i="3" s="1"/>
  <c r="AK621" i="3"/>
  <c r="AI621" i="3" s="1"/>
  <c r="AJ621" i="3" s="1"/>
  <c r="AK623" i="3"/>
  <c r="AI623" i="3" s="1"/>
  <c r="AJ623" i="3" s="1"/>
  <c r="AK624" i="3"/>
  <c r="AI624" i="3" s="1"/>
  <c r="AJ624" i="3" s="1"/>
  <c r="AK625" i="3"/>
  <c r="AI625" i="3" s="1"/>
  <c r="AJ625" i="3" s="1"/>
  <c r="AK627" i="3"/>
  <c r="AI627" i="3" s="1"/>
  <c r="AJ627" i="3" s="1"/>
  <c r="AK628" i="3"/>
  <c r="AI628" i="3" s="1"/>
  <c r="AJ628" i="3" s="1"/>
  <c r="AK629" i="3"/>
  <c r="AI629" i="3" s="1"/>
  <c r="AJ629" i="3" s="1"/>
  <c r="AK631" i="3"/>
  <c r="AI631" i="3" s="1"/>
  <c r="AJ631" i="3" s="1"/>
  <c r="AK632" i="3"/>
  <c r="AI632" i="3" s="1"/>
  <c r="AJ632" i="3" s="1"/>
  <c r="AK633" i="3"/>
  <c r="AI633" i="3" s="1"/>
  <c r="AJ633" i="3" s="1"/>
  <c r="D2" i="3"/>
  <c r="C2" i="3" s="1"/>
  <c r="F2" i="3" s="1"/>
  <c r="AL2" i="3" s="1"/>
  <c r="D3" i="3"/>
  <c r="C3" i="3" s="1"/>
  <c r="F3" i="3" s="1"/>
  <c r="AL3" i="3" s="1"/>
  <c r="D4" i="3"/>
  <c r="C4" i="3" s="1"/>
  <c r="F4" i="3" s="1"/>
  <c r="AL4" i="3" s="1"/>
  <c r="D5" i="3"/>
  <c r="C5" i="3" s="1"/>
  <c r="F5" i="3" s="1"/>
  <c r="AL5" i="3" s="1"/>
  <c r="D6" i="3"/>
  <c r="C6" i="3" s="1"/>
  <c r="F6" i="3" s="1"/>
  <c r="AL6" i="3" s="1"/>
  <c r="D7" i="3"/>
  <c r="C7" i="3" s="1"/>
  <c r="F7" i="3" s="1"/>
  <c r="AL7" i="3" s="1"/>
  <c r="D8" i="3"/>
  <c r="C8" i="3" s="1"/>
  <c r="F8" i="3" s="1"/>
  <c r="AL8" i="3" s="1"/>
  <c r="D9" i="3"/>
  <c r="C9" i="3" s="1"/>
  <c r="F9" i="3" s="1"/>
  <c r="AL9" i="3" s="1"/>
  <c r="D10" i="3"/>
  <c r="C10" i="3" s="1"/>
  <c r="F10" i="3" s="1"/>
  <c r="AL10" i="3" s="1"/>
  <c r="D11" i="3"/>
  <c r="C11" i="3" s="1"/>
  <c r="F11" i="3" s="1"/>
  <c r="AL11" i="3" s="1"/>
  <c r="D12" i="3"/>
  <c r="C12" i="3" s="1"/>
  <c r="F12" i="3" s="1"/>
  <c r="AL12" i="3" s="1"/>
  <c r="D13" i="3"/>
  <c r="C13" i="3" s="1"/>
  <c r="F13" i="3" s="1"/>
  <c r="AL13" i="3" s="1"/>
  <c r="D14" i="3"/>
  <c r="C14" i="3" s="1"/>
  <c r="F14" i="3" s="1"/>
  <c r="AL14" i="3" s="1"/>
  <c r="D15" i="3"/>
  <c r="C15" i="3" s="1"/>
  <c r="F15" i="3" s="1"/>
  <c r="AL15" i="3" s="1"/>
  <c r="D16" i="3"/>
  <c r="C16" i="3" s="1"/>
  <c r="F16" i="3" s="1"/>
  <c r="AL16" i="3" s="1"/>
  <c r="D17" i="3"/>
  <c r="C17" i="3" s="1"/>
  <c r="F17" i="3" s="1"/>
  <c r="AL17" i="3" s="1"/>
  <c r="D18" i="3"/>
  <c r="C18" i="3" s="1"/>
  <c r="F18" i="3" s="1"/>
  <c r="AL18" i="3" s="1"/>
  <c r="D19" i="3"/>
  <c r="C19" i="3" s="1"/>
  <c r="F19" i="3" s="1"/>
  <c r="AL19" i="3" s="1"/>
  <c r="D20" i="3"/>
  <c r="C20" i="3" s="1"/>
  <c r="F20" i="3" s="1"/>
  <c r="AL20" i="3" s="1"/>
  <c r="D21" i="3"/>
  <c r="C21" i="3" s="1"/>
  <c r="F21" i="3" s="1"/>
  <c r="AL21" i="3" s="1"/>
  <c r="D22" i="3"/>
  <c r="C22" i="3" s="1"/>
  <c r="F22" i="3" s="1"/>
  <c r="AL22" i="3" s="1"/>
  <c r="D23" i="3"/>
  <c r="C23" i="3" s="1"/>
  <c r="F23" i="3" s="1"/>
  <c r="AL23" i="3" s="1"/>
  <c r="D24" i="3"/>
  <c r="C24" i="3" s="1"/>
  <c r="F24" i="3" s="1"/>
  <c r="AL24" i="3" s="1"/>
  <c r="D25" i="3"/>
  <c r="C25" i="3" s="1"/>
  <c r="F25" i="3" s="1"/>
  <c r="AL25" i="3" s="1"/>
  <c r="D26" i="3"/>
  <c r="C26" i="3" s="1"/>
  <c r="F26" i="3" s="1"/>
  <c r="AL26" i="3" s="1"/>
  <c r="D27" i="3"/>
  <c r="C27" i="3" s="1"/>
  <c r="F27" i="3" s="1"/>
  <c r="AL27" i="3" s="1"/>
  <c r="D28" i="3"/>
  <c r="C28" i="3" s="1"/>
  <c r="F28" i="3" s="1"/>
  <c r="AL28" i="3" s="1"/>
  <c r="D29" i="3"/>
  <c r="C29" i="3" s="1"/>
  <c r="F29" i="3" s="1"/>
  <c r="AL29" i="3" s="1"/>
  <c r="D30" i="3"/>
  <c r="C30" i="3" s="1"/>
  <c r="F30" i="3" s="1"/>
  <c r="AL30" i="3" s="1"/>
  <c r="D31" i="3"/>
  <c r="C31" i="3" s="1"/>
  <c r="F31" i="3" s="1"/>
  <c r="AL31" i="3" s="1"/>
  <c r="D32" i="3"/>
  <c r="C32" i="3" s="1"/>
  <c r="F32" i="3" s="1"/>
  <c r="AL32" i="3" s="1"/>
  <c r="D33" i="3"/>
  <c r="C33" i="3" s="1"/>
  <c r="F33" i="3" s="1"/>
  <c r="AL33" i="3" s="1"/>
  <c r="D34" i="3"/>
  <c r="C34" i="3" s="1"/>
  <c r="F34" i="3" s="1"/>
  <c r="AL34" i="3" s="1"/>
  <c r="D35" i="3"/>
  <c r="C35" i="3" s="1"/>
  <c r="F35" i="3" s="1"/>
  <c r="AL35" i="3" s="1"/>
  <c r="D36" i="3"/>
  <c r="C36" i="3" s="1"/>
  <c r="F36" i="3" s="1"/>
  <c r="AL36" i="3" s="1"/>
  <c r="D37" i="3"/>
  <c r="C37" i="3" s="1"/>
  <c r="F37" i="3" s="1"/>
  <c r="AL37" i="3" s="1"/>
  <c r="D38" i="3"/>
  <c r="C38" i="3" s="1"/>
  <c r="F38" i="3" s="1"/>
  <c r="AL38" i="3" s="1"/>
  <c r="D39" i="3"/>
  <c r="C39" i="3" s="1"/>
  <c r="F39" i="3" s="1"/>
  <c r="AL39" i="3" s="1"/>
  <c r="D40" i="3"/>
  <c r="C40" i="3" s="1"/>
  <c r="F40" i="3" s="1"/>
  <c r="AL40" i="3" s="1"/>
  <c r="D41" i="3"/>
  <c r="C41" i="3" s="1"/>
  <c r="F41" i="3" s="1"/>
  <c r="AL41" i="3" s="1"/>
  <c r="D42" i="3"/>
  <c r="C42" i="3" s="1"/>
  <c r="F42" i="3" s="1"/>
  <c r="AL42" i="3" s="1"/>
  <c r="D43" i="3"/>
  <c r="C43" i="3" s="1"/>
  <c r="F43" i="3" s="1"/>
  <c r="AL43" i="3" s="1"/>
  <c r="D44" i="3"/>
  <c r="C44" i="3" s="1"/>
  <c r="F44" i="3" s="1"/>
  <c r="AL44" i="3" s="1"/>
  <c r="D45" i="3"/>
  <c r="C45" i="3" s="1"/>
  <c r="F45" i="3" s="1"/>
  <c r="AL45" i="3" s="1"/>
  <c r="D46" i="3"/>
  <c r="C46" i="3" s="1"/>
  <c r="F46" i="3" s="1"/>
  <c r="AL46" i="3" s="1"/>
  <c r="D47" i="3"/>
  <c r="C47" i="3" s="1"/>
  <c r="F47" i="3" s="1"/>
  <c r="AL47" i="3" s="1"/>
  <c r="D48" i="3"/>
  <c r="C48" i="3" s="1"/>
  <c r="F48" i="3" s="1"/>
  <c r="AL48" i="3" s="1"/>
  <c r="D49" i="3"/>
  <c r="C49" i="3" s="1"/>
  <c r="F49" i="3" s="1"/>
  <c r="AL49" i="3" s="1"/>
  <c r="D50" i="3"/>
  <c r="C50" i="3" s="1"/>
  <c r="F50" i="3" s="1"/>
  <c r="AL50" i="3" s="1"/>
  <c r="D51" i="3"/>
  <c r="C51" i="3" s="1"/>
  <c r="F51" i="3" s="1"/>
  <c r="AL51" i="3" s="1"/>
  <c r="D52" i="3"/>
  <c r="C52" i="3" s="1"/>
  <c r="F52" i="3" s="1"/>
  <c r="AL52" i="3" s="1"/>
  <c r="D53" i="3"/>
  <c r="C53" i="3" s="1"/>
  <c r="F53" i="3" s="1"/>
  <c r="AL53" i="3" s="1"/>
  <c r="D54" i="3"/>
  <c r="C54" i="3" s="1"/>
  <c r="F54" i="3" s="1"/>
  <c r="AL54" i="3" s="1"/>
  <c r="D55" i="3"/>
  <c r="C55" i="3" s="1"/>
  <c r="F55" i="3" s="1"/>
  <c r="AL55" i="3" s="1"/>
  <c r="D56" i="3"/>
  <c r="C56" i="3" s="1"/>
  <c r="F56" i="3" s="1"/>
  <c r="AL56" i="3" s="1"/>
  <c r="D57" i="3"/>
  <c r="C57" i="3" s="1"/>
  <c r="F57" i="3" s="1"/>
  <c r="AL57" i="3" s="1"/>
  <c r="D58" i="3"/>
  <c r="C58" i="3" s="1"/>
  <c r="F58" i="3" s="1"/>
  <c r="AL58" i="3" s="1"/>
  <c r="D59" i="3"/>
  <c r="C59" i="3" s="1"/>
  <c r="F59" i="3" s="1"/>
  <c r="AL59" i="3" s="1"/>
  <c r="D60" i="3"/>
  <c r="C60" i="3" s="1"/>
  <c r="F60" i="3" s="1"/>
  <c r="AL60" i="3" s="1"/>
  <c r="D61" i="3"/>
  <c r="C61" i="3" s="1"/>
  <c r="F61" i="3" s="1"/>
  <c r="AL61" i="3" s="1"/>
  <c r="D62" i="3"/>
  <c r="C62" i="3" s="1"/>
  <c r="F62" i="3" s="1"/>
  <c r="AL62" i="3" s="1"/>
  <c r="D63" i="3"/>
  <c r="C63" i="3" s="1"/>
  <c r="F63" i="3" s="1"/>
  <c r="AL63" i="3" s="1"/>
  <c r="D64" i="3"/>
  <c r="C64" i="3" s="1"/>
  <c r="F64" i="3" s="1"/>
  <c r="AL64" i="3" s="1"/>
  <c r="D65" i="3"/>
  <c r="C65" i="3" s="1"/>
  <c r="F65" i="3" s="1"/>
  <c r="AL65" i="3" s="1"/>
  <c r="D66" i="3"/>
  <c r="C66" i="3" s="1"/>
  <c r="F66" i="3" s="1"/>
  <c r="AL66" i="3" s="1"/>
  <c r="D67" i="3"/>
  <c r="C67" i="3" s="1"/>
  <c r="F67" i="3" s="1"/>
  <c r="AL67" i="3" s="1"/>
  <c r="D68" i="3"/>
  <c r="C68" i="3" s="1"/>
  <c r="F68" i="3" s="1"/>
  <c r="AL68" i="3" s="1"/>
  <c r="D69" i="3"/>
  <c r="C69" i="3" s="1"/>
  <c r="F69" i="3" s="1"/>
  <c r="AL69" i="3" s="1"/>
  <c r="D70" i="3"/>
  <c r="C70" i="3" s="1"/>
  <c r="F70" i="3" s="1"/>
  <c r="AL70" i="3" s="1"/>
  <c r="D71" i="3"/>
  <c r="C71" i="3" s="1"/>
  <c r="F71" i="3" s="1"/>
  <c r="AL71" i="3" s="1"/>
  <c r="D72" i="3"/>
  <c r="C72" i="3" s="1"/>
  <c r="F72" i="3" s="1"/>
  <c r="AL72" i="3" s="1"/>
  <c r="D73" i="3"/>
  <c r="C73" i="3" s="1"/>
  <c r="F73" i="3" s="1"/>
  <c r="AL73" i="3" s="1"/>
  <c r="D74" i="3"/>
  <c r="C74" i="3" s="1"/>
  <c r="F74" i="3" s="1"/>
  <c r="AL74" i="3" s="1"/>
  <c r="D75" i="3"/>
  <c r="C75" i="3" s="1"/>
  <c r="F75" i="3" s="1"/>
  <c r="AL75" i="3" s="1"/>
  <c r="D76" i="3"/>
  <c r="C76" i="3" s="1"/>
  <c r="F76" i="3" s="1"/>
  <c r="AL76" i="3" s="1"/>
  <c r="D77" i="3"/>
  <c r="C77" i="3" s="1"/>
  <c r="F77" i="3" s="1"/>
  <c r="AL77" i="3" s="1"/>
  <c r="D78" i="3"/>
  <c r="C78" i="3" s="1"/>
  <c r="F78" i="3" s="1"/>
  <c r="AL78" i="3" s="1"/>
  <c r="D79" i="3"/>
  <c r="C79" i="3" s="1"/>
  <c r="F79" i="3" s="1"/>
  <c r="AL79" i="3" s="1"/>
  <c r="D80" i="3"/>
  <c r="C80" i="3" s="1"/>
  <c r="F80" i="3" s="1"/>
  <c r="AL80" i="3" s="1"/>
  <c r="D81" i="3"/>
  <c r="C81" i="3" s="1"/>
  <c r="F81" i="3" s="1"/>
  <c r="AL81" i="3" s="1"/>
  <c r="D82" i="3"/>
  <c r="C82" i="3" s="1"/>
  <c r="F82" i="3" s="1"/>
  <c r="AL82" i="3" s="1"/>
  <c r="D83" i="3"/>
  <c r="C83" i="3" s="1"/>
  <c r="F83" i="3" s="1"/>
  <c r="AL83" i="3" s="1"/>
  <c r="D84" i="3"/>
  <c r="C84" i="3" s="1"/>
  <c r="F84" i="3" s="1"/>
  <c r="AL84" i="3" s="1"/>
  <c r="D85" i="3"/>
  <c r="C85" i="3" s="1"/>
  <c r="F85" i="3" s="1"/>
  <c r="AL85" i="3" s="1"/>
  <c r="D86" i="3"/>
  <c r="C86" i="3" s="1"/>
  <c r="F86" i="3" s="1"/>
  <c r="AL86" i="3" s="1"/>
  <c r="D87" i="3"/>
  <c r="C87" i="3" s="1"/>
  <c r="F87" i="3" s="1"/>
  <c r="AL87" i="3" s="1"/>
  <c r="D88" i="3"/>
  <c r="C88" i="3" s="1"/>
  <c r="F88" i="3" s="1"/>
  <c r="AL88" i="3" s="1"/>
  <c r="D89" i="3"/>
  <c r="C89" i="3" s="1"/>
  <c r="F89" i="3" s="1"/>
  <c r="AL89" i="3" s="1"/>
  <c r="D90" i="3"/>
  <c r="C90" i="3" s="1"/>
  <c r="F90" i="3" s="1"/>
  <c r="AL90" i="3" s="1"/>
  <c r="D91" i="3"/>
  <c r="C91" i="3" s="1"/>
  <c r="F91" i="3" s="1"/>
  <c r="AL91" i="3" s="1"/>
  <c r="D92" i="3"/>
  <c r="C92" i="3" s="1"/>
  <c r="F92" i="3" s="1"/>
  <c r="AL92" i="3" s="1"/>
  <c r="D93" i="3"/>
  <c r="C93" i="3" s="1"/>
  <c r="F93" i="3" s="1"/>
  <c r="AL93" i="3" s="1"/>
  <c r="D94" i="3"/>
  <c r="C94" i="3" s="1"/>
  <c r="F94" i="3" s="1"/>
  <c r="AL94" i="3" s="1"/>
  <c r="D95" i="3"/>
  <c r="C95" i="3" s="1"/>
  <c r="F95" i="3" s="1"/>
  <c r="AL95" i="3" s="1"/>
  <c r="D96" i="3"/>
  <c r="C96" i="3" s="1"/>
  <c r="F96" i="3" s="1"/>
  <c r="AL96" i="3" s="1"/>
  <c r="D97" i="3"/>
  <c r="C97" i="3" s="1"/>
  <c r="F97" i="3" s="1"/>
  <c r="AL97" i="3" s="1"/>
  <c r="D98" i="3"/>
  <c r="C98" i="3" s="1"/>
  <c r="F98" i="3" s="1"/>
  <c r="AL98" i="3" s="1"/>
  <c r="D99" i="3"/>
  <c r="C99" i="3" s="1"/>
  <c r="F99" i="3" s="1"/>
  <c r="AL99" i="3" s="1"/>
  <c r="D100" i="3"/>
  <c r="C100" i="3" s="1"/>
  <c r="F100" i="3" s="1"/>
  <c r="AL100" i="3" s="1"/>
  <c r="D101" i="3"/>
  <c r="C101" i="3" s="1"/>
  <c r="F101" i="3" s="1"/>
  <c r="AL101" i="3" s="1"/>
  <c r="D102" i="3"/>
  <c r="C102" i="3" s="1"/>
  <c r="F102" i="3" s="1"/>
  <c r="AL102" i="3" s="1"/>
  <c r="D103" i="3"/>
  <c r="C103" i="3" s="1"/>
  <c r="F103" i="3" s="1"/>
  <c r="AL103" i="3" s="1"/>
  <c r="D104" i="3"/>
  <c r="C104" i="3" s="1"/>
  <c r="F104" i="3" s="1"/>
  <c r="AL104" i="3" s="1"/>
  <c r="D105" i="3"/>
  <c r="C105" i="3" s="1"/>
  <c r="F105" i="3" s="1"/>
  <c r="AL105" i="3" s="1"/>
  <c r="D106" i="3"/>
  <c r="C106" i="3" s="1"/>
  <c r="F106" i="3" s="1"/>
  <c r="AL106" i="3" s="1"/>
  <c r="D107" i="3"/>
  <c r="C107" i="3" s="1"/>
  <c r="F107" i="3" s="1"/>
  <c r="AL107" i="3" s="1"/>
  <c r="D108" i="3"/>
  <c r="C108" i="3" s="1"/>
  <c r="F108" i="3" s="1"/>
  <c r="AL108" i="3" s="1"/>
  <c r="D109" i="3"/>
  <c r="C109" i="3" s="1"/>
  <c r="F109" i="3" s="1"/>
  <c r="AL109" i="3" s="1"/>
  <c r="D110" i="3"/>
  <c r="C110" i="3" s="1"/>
  <c r="F110" i="3" s="1"/>
  <c r="AL110" i="3" s="1"/>
  <c r="D111" i="3"/>
  <c r="C111" i="3" s="1"/>
  <c r="F111" i="3" s="1"/>
  <c r="AL111" i="3" s="1"/>
  <c r="D112" i="3"/>
  <c r="C112" i="3" s="1"/>
  <c r="F112" i="3" s="1"/>
  <c r="AL112" i="3" s="1"/>
  <c r="D113" i="3"/>
  <c r="C113" i="3" s="1"/>
  <c r="F113" i="3" s="1"/>
  <c r="AL113" i="3" s="1"/>
  <c r="D114" i="3"/>
  <c r="C114" i="3" s="1"/>
  <c r="F114" i="3" s="1"/>
  <c r="AL114" i="3" s="1"/>
  <c r="D115" i="3"/>
  <c r="C115" i="3" s="1"/>
  <c r="F115" i="3" s="1"/>
  <c r="AL115" i="3" s="1"/>
  <c r="D116" i="3"/>
  <c r="C116" i="3" s="1"/>
  <c r="F116" i="3" s="1"/>
  <c r="AL116" i="3" s="1"/>
  <c r="D117" i="3"/>
  <c r="C117" i="3" s="1"/>
  <c r="F117" i="3" s="1"/>
  <c r="AL117" i="3" s="1"/>
  <c r="D118" i="3"/>
  <c r="C118" i="3" s="1"/>
  <c r="F118" i="3" s="1"/>
  <c r="AL118" i="3" s="1"/>
  <c r="D119" i="3"/>
  <c r="C119" i="3" s="1"/>
  <c r="F119" i="3" s="1"/>
  <c r="AL119" i="3" s="1"/>
  <c r="D120" i="3"/>
  <c r="C120" i="3" s="1"/>
  <c r="F120" i="3" s="1"/>
  <c r="AL120" i="3" s="1"/>
  <c r="D121" i="3"/>
  <c r="C121" i="3" s="1"/>
  <c r="F121" i="3" s="1"/>
  <c r="AL121" i="3" s="1"/>
  <c r="D122" i="3"/>
  <c r="C122" i="3" s="1"/>
  <c r="F122" i="3" s="1"/>
  <c r="AL122" i="3" s="1"/>
  <c r="D123" i="3"/>
  <c r="C123" i="3" s="1"/>
  <c r="F123" i="3" s="1"/>
  <c r="AL123" i="3" s="1"/>
  <c r="D124" i="3"/>
  <c r="C124" i="3" s="1"/>
  <c r="F124" i="3" s="1"/>
  <c r="AL124" i="3" s="1"/>
  <c r="D125" i="3"/>
  <c r="C125" i="3" s="1"/>
  <c r="F125" i="3" s="1"/>
  <c r="AL125" i="3" s="1"/>
  <c r="D126" i="3"/>
  <c r="C126" i="3" s="1"/>
  <c r="F126" i="3" s="1"/>
  <c r="AL126" i="3" s="1"/>
  <c r="D127" i="3"/>
  <c r="C127" i="3" s="1"/>
  <c r="F127" i="3" s="1"/>
  <c r="AL127" i="3" s="1"/>
  <c r="D128" i="3"/>
  <c r="C128" i="3" s="1"/>
  <c r="F128" i="3" s="1"/>
  <c r="AL128" i="3" s="1"/>
  <c r="D129" i="3"/>
  <c r="C129" i="3" s="1"/>
  <c r="F129" i="3" s="1"/>
  <c r="AL129" i="3" s="1"/>
  <c r="D130" i="3"/>
  <c r="C130" i="3" s="1"/>
  <c r="F130" i="3" s="1"/>
  <c r="AL130" i="3" s="1"/>
  <c r="D131" i="3"/>
  <c r="C131" i="3" s="1"/>
  <c r="F131" i="3" s="1"/>
  <c r="AL131" i="3" s="1"/>
  <c r="D132" i="3"/>
  <c r="C132" i="3" s="1"/>
  <c r="F132" i="3" s="1"/>
  <c r="AL132" i="3" s="1"/>
  <c r="D133" i="3"/>
  <c r="C133" i="3" s="1"/>
  <c r="F133" i="3" s="1"/>
  <c r="AL133" i="3" s="1"/>
  <c r="D134" i="3"/>
  <c r="C134" i="3" s="1"/>
  <c r="F134" i="3" s="1"/>
  <c r="AL134" i="3" s="1"/>
  <c r="D135" i="3"/>
  <c r="C135" i="3" s="1"/>
  <c r="F135" i="3" s="1"/>
  <c r="AL135" i="3" s="1"/>
  <c r="D136" i="3"/>
  <c r="C136" i="3" s="1"/>
  <c r="F136" i="3" s="1"/>
  <c r="AL136" i="3" s="1"/>
  <c r="D137" i="3"/>
  <c r="C137" i="3" s="1"/>
  <c r="F137" i="3" s="1"/>
  <c r="AL137" i="3" s="1"/>
  <c r="D138" i="3"/>
  <c r="C138" i="3" s="1"/>
  <c r="F138" i="3" s="1"/>
  <c r="AL138" i="3" s="1"/>
  <c r="D139" i="3"/>
  <c r="C139" i="3" s="1"/>
  <c r="F139" i="3" s="1"/>
  <c r="AL139" i="3" s="1"/>
  <c r="D140" i="3"/>
  <c r="C140" i="3" s="1"/>
  <c r="F140" i="3" s="1"/>
  <c r="AL140" i="3" s="1"/>
  <c r="D141" i="3"/>
  <c r="C141" i="3" s="1"/>
  <c r="F141" i="3" s="1"/>
  <c r="AL141" i="3" s="1"/>
  <c r="D142" i="3"/>
  <c r="C142" i="3" s="1"/>
  <c r="F142" i="3" s="1"/>
  <c r="AL142" i="3" s="1"/>
  <c r="D143" i="3"/>
  <c r="C143" i="3" s="1"/>
  <c r="F143" i="3" s="1"/>
  <c r="AL143" i="3" s="1"/>
  <c r="D144" i="3"/>
  <c r="C144" i="3" s="1"/>
  <c r="F144" i="3" s="1"/>
  <c r="AL144" i="3" s="1"/>
  <c r="D145" i="3"/>
  <c r="C145" i="3" s="1"/>
  <c r="F145" i="3" s="1"/>
  <c r="AL145" i="3" s="1"/>
  <c r="D146" i="3"/>
  <c r="C146" i="3" s="1"/>
  <c r="F146" i="3" s="1"/>
  <c r="AL146" i="3" s="1"/>
  <c r="D147" i="3"/>
  <c r="C147" i="3" s="1"/>
  <c r="F147" i="3" s="1"/>
  <c r="AL147" i="3" s="1"/>
  <c r="D148" i="3"/>
  <c r="C148" i="3" s="1"/>
  <c r="F148" i="3" s="1"/>
  <c r="AL148" i="3" s="1"/>
  <c r="D149" i="3"/>
  <c r="C149" i="3" s="1"/>
  <c r="F149" i="3" s="1"/>
  <c r="AL149" i="3" s="1"/>
  <c r="D150" i="3"/>
  <c r="C150" i="3" s="1"/>
  <c r="F150" i="3" s="1"/>
  <c r="AL150" i="3" s="1"/>
  <c r="D151" i="3"/>
  <c r="C151" i="3" s="1"/>
  <c r="F151" i="3" s="1"/>
  <c r="AL151" i="3" s="1"/>
  <c r="D152" i="3"/>
  <c r="C152" i="3" s="1"/>
  <c r="F152" i="3" s="1"/>
  <c r="AL152" i="3" s="1"/>
  <c r="D153" i="3"/>
  <c r="C153" i="3" s="1"/>
  <c r="F153" i="3" s="1"/>
  <c r="AL153" i="3" s="1"/>
  <c r="D154" i="3"/>
  <c r="C154" i="3" s="1"/>
  <c r="F154" i="3" s="1"/>
  <c r="AL154" i="3" s="1"/>
  <c r="D155" i="3"/>
  <c r="C155" i="3" s="1"/>
  <c r="F155" i="3" s="1"/>
  <c r="AL155" i="3" s="1"/>
  <c r="D156" i="3"/>
  <c r="C156" i="3" s="1"/>
  <c r="F156" i="3" s="1"/>
  <c r="AL156" i="3" s="1"/>
  <c r="D157" i="3"/>
  <c r="C157" i="3" s="1"/>
  <c r="F157" i="3" s="1"/>
  <c r="AL157" i="3" s="1"/>
  <c r="D158" i="3"/>
  <c r="C158" i="3" s="1"/>
  <c r="F158" i="3" s="1"/>
  <c r="AL158" i="3" s="1"/>
  <c r="D159" i="3"/>
  <c r="C159" i="3" s="1"/>
  <c r="F159" i="3" s="1"/>
  <c r="AL159" i="3" s="1"/>
  <c r="D160" i="3"/>
  <c r="C160" i="3" s="1"/>
  <c r="F160" i="3" s="1"/>
  <c r="AL160" i="3" s="1"/>
  <c r="D161" i="3"/>
  <c r="C161" i="3" s="1"/>
  <c r="F161" i="3" s="1"/>
  <c r="AL161" i="3" s="1"/>
  <c r="D162" i="3"/>
  <c r="C162" i="3" s="1"/>
  <c r="F162" i="3" s="1"/>
  <c r="AL162" i="3" s="1"/>
  <c r="D163" i="3"/>
  <c r="C163" i="3" s="1"/>
  <c r="F163" i="3" s="1"/>
  <c r="AL163" i="3" s="1"/>
  <c r="D164" i="3"/>
  <c r="C164" i="3" s="1"/>
  <c r="F164" i="3" s="1"/>
  <c r="AL164" i="3" s="1"/>
  <c r="D165" i="3"/>
  <c r="C165" i="3" s="1"/>
  <c r="F165" i="3" s="1"/>
  <c r="AL165" i="3" s="1"/>
  <c r="D166" i="3"/>
  <c r="C166" i="3" s="1"/>
  <c r="F166" i="3" s="1"/>
  <c r="AL166" i="3" s="1"/>
  <c r="D167" i="3"/>
  <c r="C167" i="3" s="1"/>
  <c r="F167" i="3" s="1"/>
  <c r="AL167" i="3" s="1"/>
  <c r="D168" i="3"/>
  <c r="C168" i="3" s="1"/>
  <c r="F168" i="3" s="1"/>
  <c r="AL168" i="3" s="1"/>
  <c r="D169" i="3"/>
  <c r="C169" i="3" s="1"/>
  <c r="F169" i="3" s="1"/>
  <c r="AL169" i="3" s="1"/>
  <c r="D170" i="3"/>
  <c r="C170" i="3" s="1"/>
  <c r="F170" i="3" s="1"/>
  <c r="AL170" i="3" s="1"/>
  <c r="D171" i="3"/>
  <c r="C171" i="3" s="1"/>
  <c r="F171" i="3" s="1"/>
  <c r="AL171" i="3" s="1"/>
  <c r="D172" i="3"/>
  <c r="C172" i="3" s="1"/>
  <c r="F172" i="3" s="1"/>
  <c r="AL172" i="3" s="1"/>
  <c r="D173" i="3"/>
  <c r="C173" i="3" s="1"/>
  <c r="F173" i="3" s="1"/>
  <c r="AL173" i="3" s="1"/>
  <c r="D174" i="3"/>
  <c r="C174" i="3" s="1"/>
  <c r="F174" i="3" s="1"/>
  <c r="AL174" i="3" s="1"/>
  <c r="D175" i="3"/>
  <c r="C175" i="3" s="1"/>
  <c r="F175" i="3" s="1"/>
  <c r="AL175" i="3" s="1"/>
  <c r="D176" i="3"/>
  <c r="C176" i="3" s="1"/>
  <c r="F176" i="3" s="1"/>
  <c r="AL176" i="3" s="1"/>
  <c r="D177" i="3"/>
  <c r="C177" i="3" s="1"/>
  <c r="F177" i="3" s="1"/>
  <c r="AL177" i="3" s="1"/>
  <c r="D178" i="3"/>
  <c r="C178" i="3" s="1"/>
  <c r="F178" i="3" s="1"/>
  <c r="AL178" i="3" s="1"/>
  <c r="D179" i="3"/>
  <c r="C179" i="3" s="1"/>
  <c r="F179" i="3" s="1"/>
  <c r="AL179" i="3" s="1"/>
  <c r="D180" i="3"/>
  <c r="C180" i="3" s="1"/>
  <c r="F180" i="3" s="1"/>
  <c r="AL180" i="3" s="1"/>
  <c r="D181" i="3"/>
  <c r="C181" i="3" s="1"/>
  <c r="F181" i="3" s="1"/>
  <c r="AL181" i="3" s="1"/>
  <c r="D182" i="3"/>
  <c r="C182" i="3" s="1"/>
  <c r="F182" i="3" s="1"/>
  <c r="AL182" i="3" s="1"/>
  <c r="D183" i="3"/>
  <c r="C183" i="3" s="1"/>
  <c r="F183" i="3" s="1"/>
  <c r="AL183" i="3" s="1"/>
  <c r="D184" i="3"/>
  <c r="C184" i="3" s="1"/>
  <c r="F184" i="3" s="1"/>
  <c r="AL184" i="3" s="1"/>
  <c r="D185" i="3"/>
  <c r="C185" i="3" s="1"/>
  <c r="F185" i="3" s="1"/>
  <c r="AL185" i="3" s="1"/>
  <c r="D186" i="3"/>
  <c r="C186" i="3" s="1"/>
  <c r="F186" i="3" s="1"/>
  <c r="AL186" i="3" s="1"/>
  <c r="D187" i="3"/>
  <c r="C187" i="3" s="1"/>
  <c r="F187" i="3" s="1"/>
  <c r="AL187" i="3" s="1"/>
  <c r="D188" i="3"/>
  <c r="C188" i="3" s="1"/>
  <c r="F188" i="3" s="1"/>
  <c r="AL188" i="3" s="1"/>
  <c r="D189" i="3"/>
  <c r="C189" i="3" s="1"/>
  <c r="F189" i="3" s="1"/>
  <c r="AL189" i="3" s="1"/>
  <c r="D190" i="3"/>
  <c r="C190" i="3" s="1"/>
  <c r="F190" i="3" s="1"/>
  <c r="AL190" i="3" s="1"/>
  <c r="D191" i="3"/>
  <c r="C191" i="3" s="1"/>
  <c r="F191" i="3" s="1"/>
  <c r="AL191" i="3" s="1"/>
  <c r="D192" i="3"/>
  <c r="C192" i="3" s="1"/>
  <c r="F192" i="3" s="1"/>
  <c r="AL192" i="3" s="1"/>
  <c r="D193" i="3"/>
  <c r="C193" i="3" s="1"/>
  <c r="F193" i="3" s="1"/>
  <c r="AL193" i="3" s="1"/>
  <c r="D194" i="3"/>
  <c r="C194" i="3" s="1"/>
  <c r="F194" i="3" s="1"/>
  <c r="AL194" i="3" s="1"/>
  <c r="D195" i="3"/>
  <c r="C195" i="3" s="1"/>
  <c r="F195" i="3" s="1"/>
  <c r="AL195" i="3" s="1"/>
  <c r="D196" i="3"/>
  <c r="C196" i="3" s="1"/>
  <c r="F196" i="3" s="1"/>
  <c r="AL196" i="3" s="1"/>
  <c r="D197" i="3"/>
  <c r="C197" i="3" s="1"/>
  <c r="F197" i="3" s="1"/>
  <c r="AL197" i="3" s="1"/>
  <c r="D198" i="3"/>
  <c r="C198" i="3" s="1"/>
  <c r="F198" i="3" s="1"/>
  <c r="AL198" i="3" s="1"/>
  <c r="D199" i="3"/>
  <c r="C199" i="3" s="1"/>
  <c r="F199" i="3" s="1"/>
  <c r="AL199" i="3" s="1"/>
  <c r="D200" i="3"/>
  <c r="C200" i="3" s="1"/>
  <c r="F200" i="3" s="1"/>
  <c r="AL200" i="3" s="1"/>
  <c r="D201" i="3"/>
  <c r="C201" i="3" s="1"/>
  <c r="F201" i="3" s="1"/>
  <c r="AL201" i="3" s="1"/>
  <c r="D202" i="3"/>
  <c r="C202" i="3" s="1"/>
  <c r="F202" i="3" s="1"/>
  <c r="AL202" i="3" s="1"/>
  <c r="D203" i="3"/>
  <c r="C203" i="3" s="1"/>
  <c r="F203" i="3" s="1"/>
  <c r="AL203" i="3" s="1"/>
  <c r="D204" i="3"/>
  <c r="C204" i="3" s="1"/>
  <c r="F204" i="3" s="1"/>
  <c r="AL204" i="3" s="1"/>
  <c r="D205" i="3"/>
  <c r="C205" i="3" s="1"/>
  <c r="F205" i="3" s="1"/>
  <c r="AL205" i="3" s="1"/>
  <c r="D206" i="3"/>
  <c r="C206" i="3" s="1"/>
  <c r="F206" i="3" s="1"/>
  <c r="AL206" i="3" s="1"/>
  <c r="D207" i="3"/>
  <c r="C207" i="3" s="1"/>
  <c r="F207" i="3" s="1"/>
  <c r="AL207" i="3" s="1"/>
  <c r="D208" i="3"/>
  <c r="C208" i="3" s="1"/>
  <c r="F208" i="3" s="1"/>
  <c r="AL208" i="3" s="1"/>
  <c r="D209" i="3"/>
  <c r="C209" i="3" s="1"/>
  <c r="F209" i="3" s="1"/>
  <c r="AL209" i="3" s="1"/>
  <c r="D210" i="3"/>
  <c r="C210" i="3" s="1"/>
  <c r="F210" i="3" s="1"/>
  <c r="AL210" i="3" s="1"/>
  <c r="D211" i="3"/>
  <c r="C211" i="3" s="1"/>
  <c r="F211" i="3" s="1"/>
  <c r="AL211" i="3" s="1"/>
  <c r="D212" i="3"/>
  <c r="C212" i="3" s="1"/>
  <c r="F212" i="3" s="1"/>
  <c r="AL212" i="3" s="1"/>
  <c r="D213" i="3"/>
  <c r="C213" i="3" s="1"/>
  <c r="F213" i="3" s="1"/>
  <c r="AL213" i="3" s="1"/>
  <c r="D214" i="3"/>
  <c r="C214" i="3" s="1"/>
  <c r="F214" i="3" s="1"/>
  <c r="AL214" i="3" s="1"/>
  <c r="D215" i="3"/>
  <c r="C215" i="3" s="1"/>
  <c r="F215" i="3" s="1"/>
  <c r="AL215" i="3" s="1"/>
  <c r="D216" i="3"/>
  <c r="C216" i="3" s="1"/>
  <c r="F216" i="3" s="1"/>
  <c r="AL216" i="3" s="1"/>
  <c r="D217" i="3"/>
  <c r="C217" i="3" s="1"/>
  <c r="F217" i="3" s="1"/>
  <c r="AL217" i="3" s="1"/>
  <c r="D218" i="3"/>
  <c r="C218" i="3" s="1"/>
  <c r="F218" i="3" s="1"/>
  <c r="AL218" i="3" s="1"/>
  <c r="D219" i="3"/>
  <c r="C219" i="3" s="1"/>
  <c r="F219" i="3" s="1"/>
  <c r="AL219" i="3" s="1"/>
  <c r="D220" i="3"/>
  <c r="C220" i="3" s="1"/>
  <c r="F220" i="3" s="1"/>
  <c r="AL220" i="3" s="1"/>
  <c r="D221" i="3"/>
  <c r="C221" i="3" s="1"/>
  <c r="F221" i="3" s="1"/>
  <c r="AL221" i="3" s="1"/>
  <c r="D222" i="3"/>
  <c r="C222" i="3" s="1"/>
  <c r="F222" i="3" s="1"/>
  <c r="AL222" i="3" s="1"/>
  <c r="D223" i="3"/>
  <c r="C223" i="3" s="1"/>
  <c r="F223" i="3" s="1"/>
  <c r="AL223" i="3" s="1"/>
  <c r="D224" i="3"/>
  <c r="C224" i="3" s="1"/>
  <c r="F224" i="3" s="1"/>
  <c r="AL224" i="3" s="1"/>
  <c r="D225" i="3"/>
  <c r="C225" i="3" s="1"/>
  <c r="F225" i="3" s="1"/>
  <c r="AL225" i="3" s="1"/>
  <c r="D226" i="3"/>
  <c r="C226" i="3" s="1"/>
  <c r="F226" i="3" s="1"/>
  <c r="AL226" i="3" s="1"/>
  <c r="D227" i="3"/>
  <c r="C227" i="3" s="1"/>
  <c r="F227" i="3" s="1"/>
  <c r="AL227" i="3" s="1"/>
  <c r="D228" i="3"/>
  <c r="C228" i="3" s="1"/>
  <c r="F228" i="3" s="1"/>
  <c r="AL228" i="3" s="1"/>
  <c r="D229" i="3"/>
  <c r="C229" i="3" s="1"/>
  <c r="F229" i="3" s="1"/>
  <c r="AL229" i="3" s="1"/>
  <c r="D230" i="3"/>
  <c r="C230" i="3" s="1"/>
  <c r="F230" i="3" s="1"/>
  <c r="AL230" i="3" s="1"/>
  <c r="D231" i="3"/>
  <c r="C231" i="3" s="1"/>
  <c r="F231" i="3" s="1"/>
  <c r="AL231" i="3" s="1"/>
  <c r="D232" i="3"/>
  <c r="C232" i="3" s="1"/>
  <c r="F232" i="3" s="1"/>
  <c r="AL232" i="3" s="1"/>
  <c r="D233" i="3"/>
  <c r="C233" i="3" s="1"/>
  <c r="F233" i="3" s="1"/>
  <c r="AL233" i="3" s="1"/>
  <c r="D234" i="3"/>
  <c r="C234" i="3" s="1"/>
  <c r="F234" i="3" s="1"/>
  <c r="AL234" i="3" s="1"/>
  <c r="D235" i="3"/>
  <c r="C235" i="3" s="1"/>
  <c r="F235" i="3" s="1"/>
  <c r="AL235" i="3" s="1"/>
  <c r="D236" i="3"/>
  <c r="C236" i="3" s="1"/>
  <c r="F236" i="3" s="1"/>
  <c r="AL236" i="3" s="1"/>
  <c r="D237" i="3"/>
  <c r="C237" i="3" s="1"/>
  <c r="F237" i="3" s="1"/>
  <c r="AL237" i="3" s="1"/>
  <c r="D238" i="3"/>
  <c r="C238" i="3" s="1"/>
  <c r="F238" i="3" s="1"/>
  <c r="AL238" i="3" s="1"/>
  <c r="D239" i="3"/>
  <c r="C239" i="3" s="1"/>
  <c r="F239" i="3" s="1"/>
  <c r="AL239" i="3" s="1"/>
  <c r="D240" i="3"/>
  <c r="C240" i="3" s="1"/>
  <c r="F240" i="3" s="1"/>
  <c r="AL240" i="3" s="1"/>
  <c r="D241" i="3"/>
  <c r="C241" i="3" s="1"/>
  <c r="F241" i="3" s="1"/>
  <c r="AL241" i="3" s="1"/>
  <c r="D242" i="3"/>
  <c r="C242" i="3" s="1"/>
  <c r="F242" i="3" s="1"/>
  <c r="AL242" i="3" s="1"/>
  <c r="D243" i="3"/>
  <c r="C243" i="3" s="1"/>
  <c r="F243" i="3" s="1"/>
  <c r="AL243" i="3" s="1"/>
  <c r="D244" i="3"/>
  <c r="C244" i="3" s="1"/>
  <c r="F244" i="3" s="1"/>
  <c r="AL244" i="3" s="1"/>
  <c r="D245" i="3"/>
  <c r="C245" i="3" s="1"/>
  <c r="F245" i="3" s="1"/>
  <c r="AL245" i="3" s="1"/>
  <c r="D246" i="3"/>
  <c r="C246" i="3" s="1"/>
  <c r="F246" i="3" s="1"/>
  <c r="AL246" i="3" s="1"/>
  <c r="D247" i="3"/>
  <c r="C247" i="3" s="1"/>
  <c r="F247" i="3" s="1"/>
  <c r="AL247" i="3" s="1"/>
  <c r="D248" i="3"/>
  <c r="C248" i="3" s="1"/>
  <c r="F248" i="3" s="1"/>
  <c r="AL248" i="3" s="1"/>
  <c r="D249" i="3"/>
  <c r="C249" i="3" s="1"/>
  <c r="F249" i="3" s="1"/>
  <c r="AL249" i="3" s="1"/>
  <c r="D250" i="3"/>
  <c r="C250" i="3" s="1"/>
  <c r="F250" i="3" s="1"/>
  <c r="AL250" i="3" s="1"/>
  <c r="D251" i="3"/>
  <c r="C251" i="3" s="1"/>
  <c r="F251" i="3" s="1"/>
  <c r="AL251" i="3" s="1"/>
  <c r="D252" i="3"/>
  <c r="C252" i="3" s="1"/>
  <c r="F252" i="3" s="1"/>
  <c r="AL252" i="3" s="1"/>
  <c r="D253" i="3"/>
  <c r="C253" i="3" s="1"/>
  <c r="F253" i="3" s="1"/>
  <c r="AL253" i="3" s="1"/>
  <c r="D254" i="3"/>
  <c r="C254" i="3" s="1"/>
  <c r="F254" i="3" s="1"/>
  <c r="AL254" i="3" s="1"/>
  <c r="D255" i="3"/>
  <c r="C255" i="3" s="1"/>
  <c r="F255" i="3" s="1"/>
  <c r="AL255" i="3" s="1"/>
  <c r="D256" i="3"/>
  <c r="C256" i="3" s="1"/>
  <c r="F256" i="3" s="1"/>
  <c r="AL256" i="3" s="1"/>
  <c r="D257" i="3"/>
  <c r="C257" i="3" s="1"/>
  <c r="F257" i="3" s="1"/>
  <c r="AL257" i="3" s="1"/>
  <c r="D258" i="3"/>
  <c r="C258" i="3" s="1"/>
  <c r="F258" i="3" s="1"/>
  <c r="AL258" i="3" s="1"/>
  <c r="D259" i="3"/>
  <c r="C259" i="3" s="1"/>
  <c r="F259" i="3" s="1"/>
  <c r="AL259" i="3" s="1"/>
  <c r="D260" i="3"/>
  <c r="C260" i="3" s="1"/>
  <c r="F260" i="3" s="1"/>
  <c r="AL260" i="3" s="1"/>
  <c r="D261" i="3"/>
  <c r="C261" i="3" s="1"/>
  <c r="F261" i="3" s="1"/>
  <c r="AL261" i="3" s="1"/>
  <c r="D262" i="3"/>
  <c r="C262" i="3" s="1"/>
  <c r="F262" i="3" s="1"/>
  <c r="AL262" i="3" s="1"/>
  <c r="D263" i="3"/>
  <c r="C263" i="3" s="1"/>
  <c r="F263" i="3" s="1"/>
  <c r="AL263" i="3" s="1"/>
  <c r="D264" i="3"/>
  <c r="C264" i="3" s="1"/>
  <c r="F264" i="3" s="1"/>
  <c r="AL264" i="3" s="1"/>
  <c r="D265" i="3"/>
  <c r="C265" i="3" s="1"/>
  <c r="F265" i="3" s="1"/>
  <c r="AL265" i="3" s="1"/>
  <c r="D266" i="3"/>
  <c r="C266" i="3" s="1"/>
  <c r="F266" i="3" s="1"/>
  <c r="AL266" i="3" s="1"/>
  <c r="D267" i="3"/>
  <c r="C267" i="3" s="1"/>
  <c r="F267" i="3" s="1"/>
  <c r="AL267" i="3" s="1"/>
  <c r="D268" i="3"/>
  <c r="C268" i="3" s="1"/>
  <c r="F268" i="3" s="1"/>
  <c r="AL268" i="3" s="1"/>
  <c r="D269" i="3"/>
  <c r="C269" i="3" s="1"/>
  <c r="F269" i="3" s="1"/>
  <c r="AL269" i="3" s="1"/>
  <c r="D270" i="3"/>
  <c r="C270" i="3" s="1"/>
  <c r="F270" i="3" s="1"/>
  <c r="AL270" i="3" s="1"/>
  <c r="D271" i="3"/>
  <c r="C271" i="3" s="1"/>
  <c r="F271" i="3" s="1"/>
  <c r="AL271" i="3" s="1"/>
  <c r="D272" i="3"/>
  <c r="C272" i="3" s="1"/>
  <c r="F272" i="3" s="1"/>
  <c r="AL272" i="3" s="1"/>
  <c r="D273" i="3"/>
  <c r="C273" i="3" s="1"/>
  <c r="F273" i="3" s="1"/>
  <c r="AL273" i="3" s="1"/>
  <c r="D274" i="3"/>
  <c r="C274" i="3" s="1"/>
  <c r="F274" i="3" s="1"/>
  <c r="AL274" i="3" s="1"/>
  <c r="D275" i="3"/>
  <c r="C275" i="3" s="1"/>
  <c r="F275" i="3" s="1"/>
  <c r="AL275" i="3" s="1"/>
  <c r="D276" i="3"/>
  <c r="C276" i="3" s="1"/>
  <c r="F276" i="3" s="1"/>
  <c r="AL276" i="3" s="1"/>
  <c r="D277" i="3"/>
  <c r="C277" i="3" s="1"/>
  <c r="F277" i="3" s="1"/>
  <c r="AL277" i="3" s="1"/>
  <c r="D278" i="3"/>
  <c r="C278" i="3" s="1"/>
  <c r="F278" i="3" s="1"/>
  <c r="AL278" i="3" s="1"/>
  <c r="D279" i="3"/>
  <c r="C279" i="3" s="1"/>
  <c r="F279" i="3" s="1"/>
  <c r="AL279" i="3" s="1"/>
  <c r="D280" i="3"/>
  <c r="C280" i="3" s="1"/>
  <c r="F280" i="3" s="1"/>
  <c r="AL280" i="3" s="1"/>
  <c r="D281" i="3"/>
  <c r="C281" i="3" s="1"/>
  <c r="F281" i="3" s="1"/>
  <c r="AL281" i="3" s="1"/>
  <c r="D282" i="3"/>
  <c r="C282" i="3" s="1"/>
  <c r="F282" i="3" s="1"/>
  <c r="AL282" i="3" s="1"/>
  <c r="D283" i="3"/>
  <c r="C283" i="3" s="1"/>
  <c r="F283" i="3" s="1"/>
  <c r="AL283" i="3" s="1"/>
  <c r="D284" i="3"/>
  <c r="C284" i="3" s="1"/>
  <c r="F284" i="3" s="1"/>
  <c r="AL284" i="3" s="1"/>
  <c r="D285" i="3"/>
  <c r="C285" i="3" s="1"/>
  <c r="F285" i="3" s="1"/>
  <c r="AL285" i="3" s="1"/>
  <c r="D286" i="3"/>
  <c r="C286" i="3" s="1"/>
  <c r="F286" i="3" s="1"/>
  <c r="AL286" i="3" s="1"/>
  <c r="D287" i="3"/>
  <c r="C287" i="3" s="1"/>
  <c r="F287" i="3" s="1"/>
  <c r="AL287" i="3" s="1"/>
  <c r="D288" i="3"/>
  <c r="C288" i="3" s="1"/>
  <c r="F288" i="3" s="1"/>
  <c r="AL288" i="3" s="1"/>
  <c r="D289" i="3"/>
  <c r="C289" i="3" s="1"/>
  <c r="F289" i="3" s="1"/>
  <c r="AL289" i="3" s="1"/>
  <c r="D290" i="3"/>
  <c r="C290" i="3" s="1"/>
  <c r="F290" i="3" s="1"/>
  <c r="AL290" i="3" s="1"/>
  <c r="D291" i="3"/>
  <c r="C291" i="3" s="1"/>
  <c r="F291" i="3" s="1"/>
  <c r="AL291" i="3" s="1"/>
  <c r="D292" i="3"/>
  <c r="C292" i="3" s="1"/>
  <c r="F292" i="3" s="1"/>
  <c r="AL292" i="3" s="1"/>
  <c r="D293" i="3"/>
  <c r="C293" i="3" s="1"/>
  <c r="F293" i="3" s="1"/>
  <c r="AL293" i="3" s="1"/>
  <c r="D294" i="3"/>
  <c r="C294" i="3" s="1"/>
  <c r="F294" i="3" s="1"/>
  <c r="AL294" i="3" s="1"/>
  <c r="D295" i="3"/>
  <c r="C295" i="3" s="1"/>
  <c r="F295" i="3" s="1"/>
  <c r="AL295" i="3" s="1"/>
  <c r="D296" i="3"/>
  <c r="C296" i="3" s="1"/>
  <c r="F296" i="3" s="1"/>
  <c r="AL296" i="3" s="1"/>
  <c r="D297" i="3"/>
  <c r="C297" i="3" s="1"/>
  <c r="F297" i="3" s="1"/>
  <c r="AL297" i="3" s="1"/>
  <c r="D298" i="3"/>
  <c r="C298" i="3" s="1"/>
  <c r="F298" i="3" s="1"/>
  <c r="AL298" i="3" s="1"/>
  <c r="D299" i="3"/>
  <c r="C299" i="3" s="1"/>
  <c r="F299" i="3" s="1"/>
  <c r="AL299" i="3" s="1"/>
  <c r="D300" i="3"/>
  <c r="C300" i="3" s="1"/>
  <c r="F300" i="3" s="1"/>
  <c r="AL300" i="3" s="1"/>
  <c r="D301" i="3"/>
  <c r="C301" i="3" s="1"/>
  <c r="F301" i="3" s="1"/>
  <c r="AL301" i="3" s="1"/>
  <c r="D302" i="3"/>
  <c r="C302" i="3" s="1"/>
  <c r="F302" i="3" s="1"/>
  <c r="AL302" i="3" s="1"/>
  <c r="D303" i="3"/>
  <c r="C303" i="3" s="1"/>
  <c r="F303" i="3" s="1"/>
  <c r="AL303" i="3" s="1"/>
  <c r="D304" i="3"/>
  <c r="C304" i="3" s="1"/>
  <c r="F304" i="3" s="1"/>
  <c r="AL304" i="3" s="1"/>
  <c r="D305" i="3"/>
  <c r="C305" i="3" s="1"/>
  <c r="F305" i="3" s="1"/>
  <c r="AL305" i="3" s="1"/>
  <c r="D306" i="3"/>
  <c r="C306" i="3" s="1"/>
  <c r="F306" i="3" s="1"/>
  <c r="AL306" i="3" s="1"/>
  <c r="D307" i="3"/>
  <c r="C307" i="3" s="1"/>
  <c r="F307" i="3" s="1"/>
  <c r="AL307" i="3" s="1"/>
  <c r="D308" i="3"/>
  <c r="C308" i="3" s="1"/>
  <c r="F308" i="3" s="1"/>
  <c r="AL308" i="3" s="1"/>
  <c r="D309" i="3"/>
  <c r="C309" i="3" s="1"/>
  <c r="F309" i="3" s="1"/>
  <c r="AL309" i="3" s="1"/>
  <c r="D310" i="3"/>
  <c r="C310" i="3" s="1"/>
  <c r="F310" i="3" s="1"/>
  <c r="AL310" i="3" s="1"/>
  <c r="D311" i="3"/>
  <c r="C311" i="3" s="1"/>
  <c r="F311" i="3" s="1"/>
  <c r="AL311" i="3" s="1"/>
  <c r="D312" i="3"/>
  <c r="C312" i="3" s="1"/>
  <c r="F312" i="3" s="1"/>
  <c r="AL312" i="3" s="1"/>
  <c r="D313" i="3"/>
  <c r="C313" i="3" s="1"/>
  <c r="F313" i="3" s="1"/>
  <c r="AL313" i="3" s="1"/>
  <c r="D314" i="3"/>
  <c r="C314" i="3" s="1"/>
  <c r="F314" i="3" s="1"/>
  <c r="AL314" i="3" s="1"/>
  <c r="D315" i="3"/>
  <c r="C315" i="3" s="1"/>
  <c r="F315" i="3" s="1"/>
  <c r="AL315" i="3" s="1"/>
  <c r="D316" i="3"/>
  <c r="C316" i="3" s="1"/>
  <c r="F316" i="3" s="1"/>
  <c r="AL316" i="3" s="1"/>
  <c r="D317" i="3"/>
  <c r="C317" i="3" s="1"/>
  <c r="F317" i="3" s="1"/>
  <c r="AL317" i="3" s="1"/>
  <c r="D318" i="3"/>
  <c r="C318" i="3" s="1"/>
  <c r="F318" i="3" s="1"/>
  <c r="AL318" i="3" s="1"/>
  <c r="D319" i="3"/>
  <c r="C319" i="3" s="1"/>
  <c r="F319" i="3" s="1"/>
  <c r="AL319" i="3" s="1"/>
  <c r="D320" i="3"/>
  <c r="C320" i="3" s="1"/>
  <c r="F320" i="3" s="1"/>
  <c r="AL320" i="3" s="1"/>
  <c r="D321" i="3"/>
  <c r="C321" i="3" s="1"/>
  <c r="F321" i="3" s="1"/>
  <c r="AL321" i="3" s="1"/>
  <c r="D322" i="3"/>
  <c r="C322" i="3" s="1"/>
  <c r="F322" i="3" s="1"/>
  <c r="AL322" i="3" s="1"/>
  <c r="D323" i="3"/>
  <c r="C323" i="3" s="1"/>
  <c r="F323" i="3" s="1"/>
  <c r="AL323" i="3" s="1"/>
  <c r="D324" i="3"/>
  <c r="C324" i="3" s="1"/>
  <c r="F324" i="3" s="1"/>
  <c r="AL324" i="3" s="1"/>
  <c r="D325" i="3"/>
  <c r="C325" i="3" s="1"/>
  <c r="F325" i="3" s="1"/>
  <c r="AL325" i="3" s="1"/>
  <c r="D326" i="3"/>
  <c r="C326" i="3" s="1"/>
  <c r="F326" i="3" s="1"/>
  <c r="AL326" i="3" s="1"/>
  <c r="D327" i="3"/>
  <c r="C327" i="3" s="1"/>
  <c r="F327" i="3" s="1"/>
  <c r="AL327" i="3" s="1"/>
  <c r="D328" i="3"/>
  <c r="C328" i="3" s="1"/>
  <c r="F328" i="3" s="1"/>
  <c r="AL328" i="3" s="1"/>
  <c r="D329" i="3"/>
  <c r="C329" i="3" s="1"/>
  <c r="F329" i="3" s="1"/>
  <c r="AL329" i="3" s="1"/>
  <c r="D330" i="3"/>
  <c r="C330" i="3" s="1"/>
  <c r="F330" i="3" s="1"/>
  <c r="AL330" i="3" s="1"/>
  <c r="D331" i="3"/>
  <c r="C331" i="3" s="1"/>
  <c r="F331" i="3" s="1"/>
  <c r="AL331" i="3" s="1"/>
  <c r="D332" i="3"/>
  <c r="C332" i="3" s="1"/>
  <c r="F332" i="3" s="1"/>
  <c r="AL332" i="3" s="1"/>
  <c r="D333" i="3"/>
  <c r="C333" i="3" s="1"/>
  <c r="F333" i="3" s="1"/>
  <c r="AL333" i="3" s="1"/>
  <c r="D334" i="3"/>
  <c r="C334" i="3" s="1"/>
  <c r="F334" i="3" s="1"/>
  <c r="AL334" i="3" s="1"/>
  <c r="D335" i="3"/>
  <c r="C335" i="3" s="1"/>
  <c r="F335" i="3" s="1"/>
  <c r="AL335" i="3" s="1"/>
  <c r="D336" i="3"/>
  <c r="C336" i="3" s="1"/>
  <c r="F336" i="3" s="1"/>
  <c r="AL336" i="3" s="1"/>
  <c r="D337" i="3"/>
  <c r="C337" i="3" s="1"/>
  <c r="F337" i="3" s="1"/>
  <c r="AL337" i="3" s="1"/>
  <c r="D338" i="3"/>
  <c r="C338" i="3" s="1"/>
  <c r="F338" i="3" s="1"/>
  <c r="AL338" i="3" s="1"/>
  <c r="D339" i="3"/>
  <c r="C339" i="3" s="1"/>
  <c r="F339" i="3" s="1"/>
  <c r="AL339" i="3" s="1"/>
  <c r="D340" i="3"/>
  <c r="C340" i="3" s="1"/>
  <c r="F340" i="3" s="1"/>
  <c r="AL340" i="3" s="1"/>
  <c r="D341" i="3"/>
  <c r="C341" i="3" s="1"/>
  <c r="F341" i="3" s="1"/>
  <c r="AL341" i="3" s="1"/>
  <c r="D342" i="3"/>
  <c r="C342" i="3" s="1"/>
  <c r="F342" i="3" s="1"/>
  <c r="AL342" i="3" s="1"/>
  <c r="D343" i="3"/>
  <c r="C343" i="3" s="1"/>
  <c r="F343" i="3" s="1"/>
  <c r="AL343" i="3" s="1"/>
  <c r="D344" i="3"/>
  <c r="C344" i="3" s="1"/>
  <c r="F344" i="3" s="1"/>
  <c r="AL344" i="3" s="1"/>
  <c r="D345" i="3"/>
  <c r="C345" i="3" s="1"/>
  <c r="F345" i="3" s="1"/>
  <c r="AL345" i="3" s="1"/>
  <c r="D346" i="3"/>
  <c r="C346" i="3" s="1"/>
  <c r="F346" i="3" s="1"/>
  <c r="AL346" i="3" s="1"/>
  <c r="D347" i="3"/>
  <c r="C347" i="3" s="1"/>
  <c r="F347" i="3" s="1"/>
  <c r="AL347" i="3" s="1"/>
  <c r="D348" i="3"/>
  <c r="C348" i="3" s="1"/>
  <c r="F348" i="3" s="1"/>
  <c r="AL348" i="3" s="1"/>
  <c r="D349" i="3"/>
  <c r="C349" i="3" s="1"/>
  <c r="F349" i="3" s="1"/>
  <c r="AL349" i="3" s="1"/>
  <c r="D350" i="3"/>
  <c r="C350" i="3" s="1"/>
  <c r="F350" i="3" s="1"/>
  <c r="AL350" i="3" s="1"/>
  <c r="D351" i="3"/>
  <c r="C351" i="3" s="1"/>
  <c r="F351" i="3" s="1"/>
  <c r="AL351" i="3" s="1"/>
  <c r="D352" i="3"/>
  <c r="C352" i="3" s="1"/>
  <c r="F352" i="3" s="1"/>
  <c r="AL352" i="3" s="1"/>
  <c r="D353" i="3"/>
  <c r="C353" i="3" s="1"/>
  <c r="F353" i="3" s="1"/>
  <c r="AL353" i="3" s="1"/>
  <c r="D354" i="3"/>
  <c r="C354" i="3" s="1"/>
  <c r="F354" i="3" s="1"/>
  <c r="AL354" i="3" s="1"/>
  <c r="D355" i="3"/>
  <c r="C355" i="3" s="1"/>
  <c r="F355" i="3" s="1"/>
  <c r="AL355" i="3" s="1"/>
  <c r="D356" i="3"/>
  <c r="C356" i="3" s="1"/>
  <c r="F356" i="3" s="1"/>
  <c r="AL356" i="3" s="1"/>
  <c r="D357" i="3"/>
  <c r="C357" i="3" s="1"/>
  <c r="F357" i="3" s="1"/>
  <c r="AL357" i="3" s="1"/>
  <c r="D358" i="3"/>
  <c r="C358" i="3" s="1"/>
  <c r="F358" i="3" s="1"/>
  <c r="AL358" i="3" s="1"/>
  <c r="D359" i="3"/>
  <c r="C359" i="3" s="1"/>
  <c r="F359" i="3" s="1"/>
  <c r="AL359" i="3" s="1"/>
  <c r="D360" i="3"/>
  <c r="C360" i="3" s="1"/>
  <c r="F360" i="3" s="1"/>
  <c r="AL360" i="3" s="1"/>
  <c r="D361" i="3"/>
  <c r="C361" i="3" s="1"/>
  <c r="F361" i="3" s="1"/>
  <c r="AL361" i="3" s="1"/>
  <c r="D362" i="3"/>
  <c r="C362" i="3" s="1"/>
  <c r="F362" i="3" s="1"/>
  <c r="AL362" i="3" s="1"/>
  <c r="D363" i="3"/>
  <c r="C363" i="3" s="1"/>
  <c r="F363" i="3" s="1"/>
  <c r="AL363" i="3" s="1"/>
  <c r="D364" i="3"/>
  <c r="C364" i="3" s="1"/>
  <c r="F364" i="3" s="1"/>
  <c r="AL364" i="3" s="1"/>
  <c r="D365" i="3"/>
  <c r="C365" i="3" s="1"/>
  <c r="F365" i="3" s="1"/>
  <c r="AL365" i="3" s="1"/>
  <c r="D366" i="3"/>
  <c r="C366" i="3" s="1"/>
  <c r="F366" i="3" s="1"/>
  <c r="AL366" i="3" s="1"/>
  <c r="D367" i="3"/>
  <c r="C367" i="3" s="1"/>
  <c r="F367" i="3" s="1"/>
  <c r="AL367" i="3" s="1"/>
  <c r="D368" i="3"/>
  <c r="C368" i="3" s="1"/>
  <c r="F368" i="3" s="1"/>
  <c r="AL368" i="3" s="1"/>
  <c r="D369" i="3"/>
  <c r="C369" i="3" s="1"/>
  <c r="F369" i="3" s="1"/>
  <c r="AL369" i="3" s="1"/>
  <c r="D370" i="3"/>
  <c r="C370" i="3" s="1"/>
  <c r="F370" i="3" s="1"/>
  <c r="AL370" i="3" s="1"/>
  <c r="D371" i="3"/>
  <c r="C371" i="3" s="1"/>
  <c r="F371" i="3" s="1"/>
  <c r="AL371" i="3" s="1"/>
  <c r="D372" i="3"/>
  <c r="C372" i="3" s="1"/>
  <c r="F372" i="3" s="1"/>
  <c r="AL372" i="3" s="1"/>
  <c r="D373" i="3"/>
  <c r="C373" i="3" s="1"/>
  <c r="F373" i="3" s="1"/>
  <c r="AL373" i="3" s="1"/>
  <c r="D374" i="3"/>
  <c r="C374" i="3" s="1"/>
  <c r="F374" i="3" s="1"/>
  <c r="AL374" i="3" s="1"/>
  <c r="D375" i="3"/>
  <c r="C375" i="3" s="1"/>
  <c r="F375" i="3" s="1"/>
  <c r="AL375" i="3" s="1"/>
  <c r="D376" i="3"/>
  <c r="C376" i="3" s="1"/>
  <c r="F376" i="3" s="1"/>
  <c r="AL376" i="3" s="1"/>
  <c r="D377" i="3"/>
  <c r="C377" i="3" s="1"/>
  <c r="F377" i="3" s="1"/>
  <c r="AL377" i="3" s="1"/>
  <c r="D378" i="3"/>
  <c r="C378" i="3" s="1"/>
  <c r="F378" i="3" s="1"/>
  <c r="AL378" i="3" s="1"/>
  <c r="D379" i="3"/>
  <c r="C379" i="3" s="1"/>
  <c r="F379" i="3" s="1"/>
  <c r="AL379" i="3" s="1"/>
  <c r="D380" i="3"/>
  <c r="C380" i="3" s="1"/>
  <c r="F380" i="3" s="1"/>
  <c r="AL380" i="3" s="1"/>
  <c r="D381" i="3"/>
  <c r="C381" i="3" s="1"/>
  <c r="F381" i="3" s="1"/>
  <c r="AL381" i="3" s="1"/>
  <c r="D382" i="3"/>
  <c r="C382" i="3" s="1"/>
  <c r="F382" i="3" s="1"/>
  <c r="AL382" i="3" s="1"/>
  <c r="D383" i="3"/>
  <c r="C383" i="3" s="1"/>
  <c r="F383" i="3" s="1"/>
  <c r="AL383" i="3" s="1"/>
  <c r="D384" i="3"/>
  <c r="C384" i="3" s="1"/>
  <c r="F384" i="3" s="1"/>
  <c r="AL384" i="3" s="1"/>
  <c r="D385" i="3"/>
  <c r="C385" i="3" s="1"/>
  <c r="F385" i="3" s="1"/>
  <c r="AL385" i="3" s="1"/>
  <c r="D386" i="3"/>
  <c r="C386" i="3" s="1"/>
  <c r="F386" i="3" s="1"/>
  <c r="AL386" i="3" s="1"/>
  <c r="D387" i="3"/>
  <c r="C387" i="3" s="1"/>
  <c r="F387" i="3" s="1"/>
  <c r="AL387" i="3" s="1"/>
  <c r="D388" i="3"/>
  <c r="C388" i="3" s="1"/>
  <c r="F388" i="3" s="1"/>
  <c r="AL388" i="3" s="1"/>
  <c r="D389" i="3"/>
  <c r="C389" i="3" s="1"/>
  <c r="F389" i="3" s="1"/>
  <c r="AL389" i="3" s="1"/>
  <c r="D390" i="3"/>
  <c r="C390" i="3" s="1"/>
  <c r="F390" i="3" s="1"/>
  <c r="AL390" i="3" s="1"/>
  <c r="D391" i="3"/>
  <c r="C391" i="3" s="1"/>
  <c r="F391" i="3" s="1"/>
  <c r="AL391" i="3" s="1"/>
  <c r="D392" i="3"/>
  <c r="C392" i="3" s="1"/>
  <c r="F392" i="3" s="1"/>
  <c r="AL392" i="3" s="1"/>
  <c r="D393" i="3"/>
  <c r="C393" i="3" s="1"/>
  <c r="F393" i="3" s="1"/>
  <c r="AL393" i="3" s="1"/>
  <c r="D394" i="3"/>
  <c r="C394" i="3" s="1"/>
  <c r="F394" i="3" s="1"/>
  <c r="AL394" i="3" s="1"/>
  <c r="D395" i="3"/>
  <c r="C395" i="3" s="1"/>
  <c r="F395" i="3" s="1"/>
  <c r="AL395" i="3" s="1"/>
  <c r="D396" i="3"/>
  <c r="C396" i="3" s="1"/>
  <c r="F396" i="3" s="1"/>
  <c r="AL396" i="3" s="1"/>
  <c r="D397" i="3"/>
  <c r="C397" i="3" s="1"/>
  <c r="F397" i="3" s="1"/>
  <c r="AL397" i="3" s="1"/>
  <c r="D398" i="3"/>
  <c r="C398" i="3" s="1"/>
  <c r="F398" i="3" s="1"/>
  <c r="AL398" i="3" s="1"/>
  <c r="D399" i="3"/>
  <c r="C399" i="3" s="1"/>
  <c r="F399" i="3" s="1"/>
  <c r="AL399" i="3" s="1"/>
  <c r="D400" i="3"/>
  <c r="C400" i="3" s="1"/>
  <c r="F400" i="3" s="1"/>
  <c r="AL400" i="3" s="1"/>
  <c r="D401" i="3"/>
  <c r="C401" i="3" s="1"/>
  <c r="F401" i="3" s="1"/>
  <c r="AL401" i="3" s="1"/>
  <c r="D402" i="3"/>
  <c r="C402" i="3" s="1"/>
  <c r="F402" i="3" s="1"/>
  <c r="AL402" i="3" s="1"/>
  <c r="D403" i="3"/>
  <c r="C403" i="3" s="1"/>
  <c r="F403" i="3" s="1"/>
  <c r="AL403" i="3" s="1"/>
  <c r="D404" i="3"/>
  <c r="C404" i="3" s="1"/>
  <c r="F404" i="3" s="1"/>
  <c r="AL404" i="3" s="1"/>
  <c r="D405" i="3"/>
  <c r="C405" i="3" s="1"/>
  <c r="F405" i="3" s="1"/>
  <c r="AL405" i="3" s="1"/>
  <c r="D406" i="3"/>
  <c r="C406" i="3" s="1"/>
  <c r="F406" i="3" s="1"/>
  <c r="AL406" i="3" s="1"/>
  <c r="D407" i="3"/>
  <c r="C407" i="3" s="1"/>
  <c r="F407" i="3" s="1"/>
  <c r="AL407" i="3" s="1"/>
  <c r="D408" i="3"/>
  <c r="C408" i="3" s="1"/>
  <c r="F408" i="3" s="1"/>
  <c r="AL408" i="3" s="1"/>
  <c r="D409" i="3"/>
  <c r="C409" i="3" s="1"/>
  <c r="F409" i="3" s="1"/>
  <c r="AL409" i="3" s="1"/>
  <c r="D410" i="3"/>
  <c r="C410" i="3" s="1"/>
  <c r="F410" i="3" s="1"/>
  <c r="AL410" i="3" s="1"/>
  <c r="D411" i="3"/>
  <c r="C411" i="3" s="1"/>
  <c r="F411" i="3" s="1"/>
  <c r="AL411" i="3" s="1"/>
  <c r="D412" i="3"/>
  <c r="C412" i="3" s="1"/>
  <c r="F412" i="3" s="1"/>
  <c r="AL412" i="3" s="1"/>
  <c r="D413" i="3"/>
  <c r="C413" i="3" s="1"/>
  <c r="F413" i="3" s="1"/>
  <c r="AL413" i="3" s="1"/>
  <c r="D414" i="3"/>
  <c r="C414" i="3" s="1"/>
  <c r="F414" i="3" s="1"/>
  <c r="AL414" i="3" s="1"/>
  <c r="D415" i="3"/>
  <c r="C415" i="3" s="1"/>
  <c r="F415" i="3" s="1"/>
  <c r="AL415" i="3" s="1"/>
  <c r="D416" i="3"/>
  <c r="C416" i="3" s="1"/>
  <c r="F416" i="3" s="1"/>
  <c r="AL416" i="3" s="1"/>
  <c r="D417" i="3"/>
  <c r="C417" i="3" s="1"/>
  <c r="F417" i="3" s="1"/>
  <c r="AL417" i="3" s="1"/>
  <c r="D418" i="3"/>
  <c r="C418" i="3" s="1"/>
  <c r="F418" i="3" s="1"/>
  <c r="AL418" i="3" s="1"/>
  <c r="D419" i="3"/>
  <c r="C419" i="3" s="1"/>
  <c r="F419" i="3" s="1"/>
  <c r="AL419" i="3" s="1"/>
  <c r="D420" i="3"/>
  <c r="C420" i="3" s="1"/>
  <c r="F420" i="3" s="1"/>
  <c r="AL420" i="3" s="1"/>
  <c r="D421" i="3"/>
  <c r="C421" i="3" s="1"/>
  <c r="F421" i="3" s="1"/>
  <c r="AL421" i="3" s="1"/>
  <c r="D422" i="3"/>
  <c r="C422" i="3" s="1"/>
  <c r="F422" i="3" s="1"/>
  <c r="AL422" i="3" s="1"/>
  <c r="D423" i="3"/>
  <c r="C423" i="3" s="1"/>
  <c r="F423" i="3" s="1"/>
  <c r="AL423" i="3" s="1"/>
  <c r="D424" i="3"/>
  <c r="C424" i="3" s="1"/>
  <c r="F424" i="3" s="1"/>
  <c r="AL424" i="3" s="1"/>
  <c r="D425" i="3"/>
  <c r="C425" i="3" s="1"/>
  <c r="F425" i="3" s="1"/>
  <c r="AL425" i="3" s="1"/>
  <c r="D426" i="3"/>
  <c r="C426" i="3" s="1"/>
  <c r="F426" i="3" s="1"/>
  <c r="AL426" i="3" s="1"/>
  <c r="D427" i="3"/>
  <c r="C427" i="3" s="1"/>
  <c r="F427" i="3" s="1"/>
  <c r="AL427" i="3" s="1"/>
  <c r="D428" i="3"/>
  <c r="C428" i="3" s="1"/>
  <c r="F428" i="3" s="1"/>
  <c r="AL428" i="3" s="1"/>
  <c r="D429" i="3"/>
  <c r="C429" i="3" s="1"/>
  <c r="F429" i="3" s="1"/>
  <c r="AL429" i="3" s="1"/>
  <c r="D430" i="3"/>
  <c r="C430" i="3" s="1"/>
  <c r="F430" i="3" s="1"/>
  <c r="AL430" i="3" s="1"/>
  <c r="D431" i="3"/>
  <c r="C431" i="3" s="1"/>
  <c r="F431" i="3" s="1"/>
  <c r="AL431" i="3" s="1"/>
  <c r="D432" i="3"/>
  <c r="C432" i="3" s="1"/>
  <c r="F432" i="3" s="1"/>
  <c r="AL432" i="3" s="1"/>
  <c r="D433" i="3"/>
  <c r="C433" i="3" s="1"/>
  <c r="F433" i="3" s="1"/>
  <c r="AL433" i="3" s="1"/>
  <c r="D434" i="3"/>
  <c r="C434" i="3" s="1"/>
  <c r="F434" i="3" s="1"/>
  <c r="AL434" i="3" s="1"/>
  <c r="D435" i="3"/>
  <c r="C435" i="3" s="1"/>
  <c r="F435" i="3" s="1"/>
  <c r="AL435" i="3" s="1"/>
  <c r="D436" i="3"/>
  <c r="C436" i="3" s="1"/>
  <c r="F436" i="3" s="1"/>
  <c r="AL436" i="3" s="1"/>
  <c r="D437" i="3"/>
  <c r="C437" i="3" s="1"/>
  <c r="F437" i="3" s="1"/>
  <c r="AL437" i="3" s="1"/>
  <c r="D438" i="3"/>
  <c r="C438" i="3" s="1"/>
  <c r="F438" i="3" s="1"/>
  <c r="AL438" i="3" s="1"/>
  <c r="D439" i="3"/>
  <c r="C439" i="3" s="1"/>
  <c r="F439" i="3" s="1"/>
  <c r="AL439" i="3" s="1"/>
  <c r="D440" i="3"/>
  <c r="C440" i="3" s="1"/>
  <c r="F440" i="3" s="1"/>
  <c r="AL440" i="3" s="1"/>
  <c r="D441" i="3"/>
  <c r="C441" i="3" s="1"/>
  <c r="F441" i="3" s="1"/>
  <c r="AL441" i="3" s="1"/>
  <c r="D442" i="3"/>
  <c r="C442" i="3" s="1"/>
  <c r="F442" i="3" s="1"/>
  <c r="AL442" i="3" s="1"/>
  <c r="D443" i="3"/>
  <c r="C443" i="3" s="1"/>
  <c r="F443" i="3" s="1"/>
  <c r="AL443" i="3" s="1"/>
  <c r="D444" i="3"/>
  <c r="C444" i="3" s="1"/>
  <c r="F444" i="3" s="1"/>
  <c r="AL444" i="3" s="1"/>
  <c r="D445" i="3"/>
  <c r="C445" i="3" s="1"/>
  <c r="F445" i="3" s="1"/>
  <c r="AL445" i="3" s="1"/>
  <c r="D446" i="3"/>
  <c r="C446" i="3" s="1"/>
  <c r="F446" i="3" s="1"/>
  <c r="AL446" i="3" s="1"/>
  <c r="D447" i="3"/>
  <c r="C447" i="3" s="1"/>
  <c r="F447" i="3" s="1"/>
  <c r="AL447" i="3" s="1"/>
  <c r="D448" i="3"/>
  <c r="C448" i="3" s="1"/>
  <c r="F448" i="3" s="1"/>
  <c r="AL448" i="3" s="1"/>
  <c r="D449" i="3"/>
  <c r="C449" i="3" s="1"/>
  <c r="F449" i="3" s="1"/>
  <c r="AL449" i="3" s="1"/>
  <c r="D450" i="3"/>
  <c r="C450" i="3" s="1"/>
  <c r="F450" i="3" s="1"/>
  <c r="AL450" i="3" s="1"/>
  <c r="D451" i="3"/>
  <c r="C451" i="3" s="1"/>
  <c r="F451" i="3" s="1"/>
  <c r="AL451" i="3" s="1"/>
  <c r="D452" i="3"/>
  <c r="C452" i="3" s="1"/>
  <c r="F452" i="3" s="1"/>
  <c r="AL452" i="3" s="1"/>
  <c r="D453" i="3"/>
  <c r="C453" i="3" s="1"/>
  <c r="F453" i="3" s="1"/>
  <c r="AL453" i="3" s="1"/>
  <c r="D454" i="3"/>
  <c r="C454" i="3" s="1"/>
  <c r="F454" i="3" s="1"/>
  <c r="AL454" i="3" s="1"/>
  <c r="D455" i="3"/>
  <c r="C455" i="3" s="1"/>
  <c r="F455" i="3" s="1"/>
  <c r="AL455" i="3" s="1"/>
  <c r="D456" i="3"/>
  <c r="C456" i="3" s="1"/>
  <c r="F456" i="3" s="1"/>
  <c r="AL456" i="3" s="1"/>
  <c r="D457" i="3"/>
  <c r="C457" i="3" s="1"/>
  <c r="F457" i="3" s="1"/>
  <c r="AL457" i="3" s="1"/>
  <c r="D458" i="3"/>
  <c r="C458" i="3" s="1"/>
  <c r="F458" i="3" s="1"/>
  <c r="AL458" i="3" s="1"/>
  <c r="D459" i="3"/>
  <c r="C459" i="3" s="1"/>
  <c r="F459" i="3" s="1"/>
  <c r="AL459" i="3" s="1"/>
  <c r="D460" i="3"/>
  <c r="C460" i="3" s="1"/>
  <c r="F460" i="3" s="1"/>
  <c r="AL460" i="3" s="1"/>
  <c r="D461" i="3"/>
  <c r="C461" i="3" s="1"/>
  <c r="F461" i="3" s="1"/>
  <c r="AL461" i="3" s="1"/>
  <c r="D462" i="3"/>
  <c r="C462" i="3" s="1"/>
  <c r="F462" i="3" s="1"/>
  <c r="AL462" i="3" s="1"/>
  <c r="D463" i="3"/>
  <c r="C463" i="3" s="1"/>
  <c r="F463" i="3" s="1"/>
  <c r="AL463" i="3" s="1"/>
  <c r="D464" i="3"/>
  <c r="C464" i="3" s="1"/>
  <c r="F464" i="3" s="1"/>
  <c r="AL464" i="3" s="1"/>
  <c r="D465" i="3"/>
  <c r="C465" i="3" s="1"/>
  <c r="F465" i="3" s="1"/>
  <c r="AL465" i="3" s="1"/>
  <c r="D466" i="3"/>
  <c r="C466" i="3" s="1"/>
  <c r="F466" i="3" s="1"/>
  <c r="AL466" i="3" s="1"/>
  <c r="D467" i="3"/>
  <c r="C467" i="3" s="1"/>
  <c r="F467" i="3" s="1"/>
  <c r="AL467" i="3" s="1"/>
  <c r="D468" i="3"/>
  <c r="C468" i="3" s="1"/>
  <c r="F468" i="3" s="1"/>
  <c r="AL468" i="3" s="1"/>
  <c r="D469" i="3"/>
  <c r="C469" i="3" s="1"/>
  <c r="F469" i="3" s="1"/>
  <c r="AL469" i="3" s="1"/>
  <c r="D470" i="3"/>
  <c r="C470" i="3" s="1"/>
  <c r="F470" i="3" s="1"/>
  <c r="AL470" i="3" s="1"/>
  <c r="D471" i="3"/>
  <c r="C471" i="3" s="1"/>
  <c r="F471" i="3" s="1"/>
  <c r="AL471" i="3" s="1"/>
  <c r="D472" i="3"/>
  <c r="C472" i="3" s="1"/>
  <c r="F472" i="3" s="1"/>
  <c r="AL472" i="3" s="1"/>
  <c r="D473" i="3"/>
  <c r="C473" i="3" s="1"/>
  <c r="F473" i="3" s="1"/>
  <c r="AL473" i="3" s="1"/>
  <c r="D474" i="3"/>
  <c r="C474" i="3" s="1"/>
  <c r="F474" i="3" s="1"/>
  <c r="AL474" i="3" s="1"/>
  <c r="D475" i="3"/>
  <c r="C475" i="3" s="1"/>
  <c r="F475" i="3" s="1"/>
  <c r="AL475" i="3" s="1"/>
  <c r="D476" i="3"/>
  <c r="C476" i="3" s="1"/>
  <c r="F476" i="3" s="1"/>
  <c r="AL476" i="3" s="1"/>
  <c r="D477" i="3"/>
  <c r="C477" i="3" s="1"/>
  <c r="F477" i="3" s="1"/>
  <c r="AL477" i="3" s="1"/>
  <c r="D478" i="3"/>
  <c r="C478" i="3" s="1"/>
  <c r="F478" i="3" s="1"/>
  <c r="AL478" i="3" s="1"/>
  <c r="D479" i="3"/>
  <c r="C479" i="3" s="1"/>
  <c r="F479" i="3" s="1"/>
  <c r="AL479" i="3" s="1"/>
  <c r="D480" i="3"/>
  <c r="C480" i="3" s="1"/>
  <c r="F480" i="3" s="1"/>
  <c r="AL480" i="3" s="1"/>
  <c r="D481" i="3"/>
  <c r="C481" i="3" s="1"/>
  <c r="F481" i="3" s="1"/>
  <c r="AL481" i="3" s="1"/>
  <c r="D482" i="3"/>
  <c r="C482" i="3" s="1"/>
  <c r="F482" i="3" s="1"/>
  <c r="AL482" i="3" s="1"/>
  <c r="D483" i="3"/>
  <c r="C483" i="3" s="1"/>
  <c r="F483" i="3" s="1"/>
  <c r="AL483" i="3" s="1"/>
  <c r="D484" i="3"/>
  <c r="C484" i="3" s="1"/>
  <c r="F484" i="3" s="1"/>
  <c r="AL484" i="3" s="1"/>
  <c r="D485" i="3"/>
  <c r="C485" i="3" s="1"/>
  <c r="F485" i="3" s="1"/>
  <c r="AL485" i="3" s="1"/>
  <c r="D486" i="3"/>
  <c r="C486" i="3" s="1"/>
  <c r="F486" i="3" s="1"/>
  <c r="AL486" i="3" s="1"/>
  <c r="D487" i="3"/>
  <c r="C487" i="3" s="1"/>
  <c r="F487" i="3" s="1"/>
  <c r="AL487" i="3" s="1"/>
  <c r="D488" i="3"/>
  <c r="C488" i="3" s="1"/>
  <c r="F488" i="3" s="1"/>
  <c r="AL488" i="3" s="1"/>
  <c r="D489" i="3"/>
  <c r="C489" i="3" s="1"/>
  <c r="F489" i="3" s="1"/>
  <c r="AL489" i="3" s="1"/>
  <c r="D490" i="3"/>
  <c r="C490" i="3" s="1"/>
  <c r="F490" i="3" s="1"/>
  <c r="AL490" i="3" s="1"/>
  <c r="D491" i="3"/>
  <c r="C491" i="3" s="1"/>
  <c r="F491" i="3" s="1"/>
  <c r="AL491" i="3" s="1"/>
  <c r="D492" i="3"/>
  <c r="C492" i="3" s="1"/>
  <c r="F492" i="3" s="1"/>
  <c r="AL492" i="3" s="1"/>
  <c r="D493" i="3"/>
  <c r="C493" i="3" s="1"/>
  <c r="F493" i="3" s="1"/>
  <c r="AL493" i="3" s="1"/>
  <c r="D494" i="3"/>
  <c r="C494" i="3" s="1"/>
  <c r="F494" i="3" s="1"/>
  <c r="AL494" i="3" s="1"/>
  <c r="D495" i="3"/>
  <c r="C495" i="3" s="1"/>
  <c r="F495" i="3" s="1"/>
  <c r="AL495" i="3" s="1"/>
  <c r="D496" i="3"/>
  <c r="C496" i="3" s="1"/>
  <c r="F496" i="3" s="1"/>
  <c r="AL496" i="3" s="1"/>
  <c r="D497" i="3"/>
  <c r="C497" i="3" s="1"/>
  <c r="F497" i="3" s="1"/>
  <c r="AL497" i="3" s="1"/>
  <c r="D498" i="3"/>
  <c r="C498" i="3" s="1"/>
  <c r="F498" i="3" s="1"/>
  <c r="AL498" i="3" s="1"/>
  <c r="D499" i="3"/>
  <c r="C499" i="3" s="1"/>
  <c r="F499" i="3" s="1"/>
  <c r="AL499" i="3" s="1"/>
  <c r="D500" i="3"/>
  <c r="C500" i="3" s="1"/>
  <c r="F500" i="3" s="1"/>
  <c r="AL500" i="3" s="1"/>
  <c r="D501" i="3"/>
  <c r="C501" i="3" s="1"/>
  <c r="F501" i="3" s="1"/>
  <c r="AL501" i="3" s="1"/>
  <c r="D502" i="3"/>
  <c r="C502" i="3" s="1"/>
  <c r="F502" i="3" s="1"/>
  <c r="AL502" i="3" s="1"/>
  <c r="D503" i="3"/>
  <c r="C503" i="3" s="1"/>
  <c r="F503" i="3" s="1"/>
  <c r="AL503" i="3" s="1"/>
  <c r="D504" i="3"/>
  <c r="C504" i="3" s="1"/>
  <c r="F504" i="3" s="1"/>
  <c r="AL504" i="3" s="1"/>
  <c r="D505" i="3"/>
  <c r="C505" i="3" s="1"/>
  <c r="F505" i="3" s="1"/>
  <c r="AL505" i="3" s="1"/>
  <c r="D506" i="3"/>
  <c r="C506" i="3" s="1"/>
  <c r="F506" i="3" s="1"/>
  <c r="AL506" i="3" s="1"/>
  <c r="D507" i="3"/>
  <c r="C507" i="3" s="1"/>
  <c r="F507" i="3" s="1"/>
  <c r="AL507" i="3" s="1"/>
  <c r="D508" i="3"/>
  <c r="C508" i="3" s="1"/>
  <c r="F508" i="3" s="1"/>
  <c r="AL508" i="3" s="1"/>
  <c r="D509" i="3"/>
  <c r="C509" i="3" s="1"/>
  <c r="F509" i="3" s="1"/>
  <c r="AL509" i="3" s="1"/>
  <c r="D510" i="3"/>
  <c r="C510" i="3" s="1"/>
  <c r="F510" i="3" s="1"/>
  <c r="AL510" i="3" s="1"/>
  <c r="D511" i="3"/>
  <c r="C511" i="3" s="1"/>
  <c r="F511" i="3" s="1"/>
  <c r="AL511" i="3" s="1"/>
  <c r="D512" i="3"/>
  <c r="C512" i="3" s="1"/>
  <c r="F512" i="3" s="1"/>
  <c r="AL512" i="3" s="1"/>
  <c r="D513" i="3"/>
  <c r="C513" i="3" s="1"/>
  <c r="F513" i="3" s="1"/>
  <c r="AL513" i="3" s="1"/>
  <c r="D514" i="3"/>
  <c r="C514" i="3" s="1"/>
  <c r="F514" i="3" s="1"/>
  <c r="AL514" i="3" s="1"/>
  <c r="D515" i="3"/>
  <c r="C515" i="3" s="1"/>
  <c r="F515" i="3" s="1"/>
  <c r="AL515" i="3" s="1"/>
  <c r="D516" i="3"/>
  <c r="C516" i="3" s="1"/>
  <c r="F516" i="3" s="1"/>
  <c r="AL516" i="3" s="1"/>
  <c r="D517" i="3"/>
  <c r="C517" i="3" s="1"/>
  <c r="F517" i="3" s="1"/>
  <c r="AL517" i="3" s="1"/>
  <c r="D518" i="3"/>
  <c r="C518" i="3" s="1"/>
  <c r="F518" i="3" s="1"/>
  <c r="AL518" i="3" s="1"/>
  <c r="D519" i="3"/>
  <c r="C519" i="3" s="1"/>
  <c r="F519" i="3" s="1"/>
  <c r="AL519" i="3" s="1"/>
  <c r="D520" i="3"/>
  <c r="C520" i="3" s="1"/>
  <c r="F520" i="3" s="1"/>
  <c r="AL520" i="3" s="1"/>
  <c r="D521" i="3"/>
  <c r="C521" i="3" s="1"/>
  <c r="F521" i="3" s="1"/>
  <c r="AL521" i="3" s="1"/>
  <c r="D522" i="3"/>
  <c r="C522" i="3" s="1"/>
  <c r="F522" i="3" s="1"/>
  <c r="AL522" i="3" s="1"/>
  <c r="D523" i="3"/>
  <c r="C523" i="3" s="1"/>
  <c r="F523" i="3" s="1"/>
  <c r="AL523" i="3" s="1"/>
  <c r="D524" i="3"/>
  <c r="C524" i="3" s="1"/>
  <c r="F524" i="3" s="1"/>
  <c r="AL524" i="3" s="1"/>
  <c r="D525" i="3"/>
  <c r="C525" i="3" s="1"/>
  <c r="F525" i="3" s="1"/>
  <c r="AL525" i="3" s="1"/>
  <c r="D526" i="3"/>
  <c r="C526" i="3" s="1"/>
  <c r="F526" i="3" s="1"/>
  <c r="AL526" i="3" s="1"/>
  <c r="D527" i="3"/>
  <c r="C527" i="3" s="1"/>
  <c r="F527" i="3" s="1"/>
  <c r="AL527" i="3" s="1"/>
  <c r="D528" i="3"/>
  <c r="C528" i="3" s="1"/>
  <c r="F528" i="3" s="1"/>
  <c r="AL528" i="3" s="1"/>
  <c r="D529" i="3"/>
  <c r="C529" i="3" s="1"/>
  <c r="F529" i="3" s="1"/>
  <c r="AL529" i="3" s="1"/>
  <c r="D530" i="3"/>
  <c r="C530" i="3" s="1"/>
  <c r="F530" i="3" s="1"/>
  <c r="AL530" i="3" s="1"/>
  <c r="D531" i="3"/>
  <c r="C531" i="3" s="1"/>
  <c r="F531" i="3" s="1"/>
  <c r="AL531" i="3" s="1"/>
  <c r="D532" i="3"/>
  <c r="C532" i="3" s="1"/>
  <c r="F532" i="3" s="1"/>
  <c r="AL532" i="3" s="1"/>
  <c r="D533" i="3"/>
  <c r="C533" i="3" s="1"/>
  <c r="F533" i="3" s="1"/>
  <c r="AL533" i="3" s="1"/>
  <c r="D534" i="3"/>
  <c r="C534" i="3" s="1"/>
  <c r="F534" i="3" s="1"/>
  <c r="AL534" i="3" s="1"/>
  <c r="D535" i="3"/>
  <c r="C535" i="3" s="1"/>
  <c r="F535" i="3" s="1"/>
  <c r="AL535" i="3" s="1"/>
  <c r="D536" i="3"/>
  <c r="C536" i="3" s="1"/>
  <c r="F536" i="3" s="1"/>
  <c r="AL536" i="3" s="1"/>
  <c r="D537" i="3"/>
  <c r="C537" i="3" s="1"/>
  <c r="F537" i="3" s="1"/>
  <c r="AL537" i="3" s="1"/>
  <c r="D538" i="3"/>
  <c r="C538" i="3" s="1"/>
  <c r="F538" i="3" s="1"/>
  <c r="AL538" i="3" s="1"/>
  <c r="D539" i="3"/>
  <c r="C539" i="3" s="1"/>
  <c r="F539" i="3" s="1"/>
  <c r="AL539" i="3" s="1"/>
  <c r="D540" i="3"/>
  <c r="C540" i="3" s="1"/>
  <c r="F540" i="3" s="1"/>
  <c r="AL540" i="3" s="1"/>
  <c r="D541" i="3"/>
  <c r="C541" i="3" s="1"/>
  <c r="F541" i="3" s="1"/>
  <c r="AL541" i="3" s="1"/>
  <c r="D542" i="3"/>
  <c r="C542" i="3" s="1"/>
  <c r="F542" i="3" s="1"/>
  <c r="AL542" i="3" s="1"/>
  <c r="D543" i="3"/>
  <c r="C543" i="3" s="1"/>
  <c r="F543" i="3" s="1"/>
  <c r="AL543" i="3" s="1"/>
  <c r="D544" i="3"/>
  <c r="C544" i="3" s="1"/>
  <c r="F544" i="3" s="1"/>
  <c r="AL544" i="3" s="1"/>
  <c r="D545" i="3"/>
  <c r="C545" i="3" s="1"/>
  <c r="F545" i="3" s="1"/>
  <c r="AL545" i="3" s="1"/>
  <c r="D546" i="3"/>
  <c r="C546" i="3" s="1"/>
  <c r="F546" i="3" s="1"/>
  <c r="AL546" i="3" s="1"/>
  <c r="D547" i="3"/>
  <c r="C547" i="3" s="1"/>
  <c r="F547" i="3" s="1"/>
  <c r="AL547" i="3" s="1"/>
  <c r="D548" i="3"/>
  <c r="C548" i="3" s="1"/>
  <c r="F548" i="3" s="1"/>
  <c r="AL548" i="3" s="1"/>
  <c r="D549" i="3"/>
  <c r="C549" i="3" s="1"/>
  <c r="F549" i="3" s="1"/>
  <c r="AL549" i="3" s="1"/>
  <c r="D550" i="3"/>
  <c r="C550" i="3" s="1"/>
  <c r="F550" i="3" s="1"/>
  <c r="AL550" i="3" s="1"/>
  <c r="D551" i="3"/>
  <c r="C551" i="3" s="1"/>
  <c r="F551" i="3" s="1"/>
  <c r="AL551" i="3" s="1"/>
  <c r="D552" i="3"/>
  <c r="C552" i="3" s="1"/>
  <c r="F552" i="3" s="1"/>
  <c r="AL552" i="3" s="1"/>
  <c r="D553" i="3"/>
  <c r="C553" i="3" s="1"/>
  <c r="F553" i="3" s="1"/>
  <c r="AL553" i="3" s="1"/>
  <c r="D554" i="3"/>
  <c r="C554" i="3" s="1"/>
  <c r="F554" i="3" s="1"/>
  <c r="AL554" i="3" s="1"/>
  <c r="D555" i="3"/>
  <c r="C555" i="3" s="1"/>
  <c r="F555" i="3" s="1"/>
  <c r="AL555" i="3" s="1"/>
  <c r="D556" i="3"/>
  <c r="C556" i="3" s="1"/>
  <c r="F556" i="3" s="1"/>
  <c r="AL556" i="3" s="1"/>
  <c r="D557" i="3"/>
  <c r="C557" i="3" s="1"/>
  <c r="F557" i="3" s="1"/>
  <c r="AL557" i="3" s="1"/>
  <c r="D558" i="3"/>
  <c r="C558" i="3" s="1"/>
  <c r="F558" i="3" s="1"/>
  <c r="AL558" i="3" s="1"/>
  <c r="D559" i="3"/>
  <c r="C559" i="3" s="1"/>
  <c r="F559" i="3" s="1"/>
  <c r="AL559" i="3" s="1"/>
  <c r="D560" i="3"/>
  <c r="C560" i="3" s="1"/>
  <c r="F560" i="3" s="1"/>
  <c r="AL560" i="3" s="1"/>
  <c r="D561" i="3"/>
  <c r="C561" i="3" s="1"/>
  <c r="F561" i="3" s="1"/>
  <c r="AL561" i="3" s="1"/>
  <c r="D562" i="3"/>
  <c r="C562" i="3" s="1"/>
  <c r="F562" i="3" s="1"/>
  <c r="AL562" i="3" s="1"/>
  <c r="D563" i="3"/>
  <c r="C563" i="3" s="1"/>
  <c r="F563" i="3" s="1"/>
  <c r="AL563" i="3" s="1"/>
  <c r="D564" i="3"/>
  <c r="C564" i="3" s="1"/>
  <c r="F564" i="3" s="1"/>
  <c r="AL564" i="3" s="1"/>
  <c r="D565" i="3"/>
  <c r="C565" i="3" s="1"/>
  <c r="F565" i="3" s="1"/>
  <c r="AL565" i="3" s="1"/>
  <c r="D566" i="3"/>
  <c r="C566" i="3" s="1"/>
  <c r="F566" i="3" s="1"/>
  <c r="AL566" i="3" s="1"/>
  <c r="D567" i="3"/>
  <c r="C567" i="3" s="1"/>
  <c r="F567" i="3" s="1"/>
  <c r="AL567" i="3" s="1"/>
  <c r="D568" i="3"/>
  <c r="C568" i="3" s="1"/>
  <c r="F568" i="3" s="1"/>
  <c r="AL568" i="3" s="1"/>
  <c r="D569" i="3"/>
  <c r="C569" i="3" s="1"/>
  <c r="F569" i="3" s="1"/>
  <c r="AL569" i="3" s="1"/>
  <c r="D570" i="3"/>
  <c r="C570" i="3" s="1"/>
  <c r="F570" i="3" s="1"/>
  <c r="AL570" i="3" s="1"/>
  <c r="D571" i="3"/>
  <c r="C571" i="3" s="1"/>
  <c r="F571" i="3" s="1"/>
  <c r="AL571" i="3" s="1"/>
  <c r="D572" i="3"/>
  <c r="C572" i="3" s="1"/>
  <c r="F572" i="3" s="1"/>
  <c r="AL572" i="3" s="1"/>
  <c r="D573" i="3"/>
  <c r="C573" i="3" s="1"/>
  <c r="F573" i="3" s="1"/>
  <c r="AL573" i="3" s="1"/>
  <c r="D574" i="3"/>
  <c r="C574" i="3" s="1"/>
  <c r="F574" i="3" s="1"/>
  <c r="AL574" i="3" s="1"/>
  <c r="D575" i="3"/>
  <c r="C575" i="3" s="1"/>
  <c r="F575" i="3" s="1"/>
  <c r="AL575" i="3" s="1"/>
  <c r="D576" i="3"/>
  <c r="C576" i="3" s="1"/>
  <c r="F576" i="3" s="1"/>
  <c r="AL576" i="3" s="1"/>
  <c r="D577" i="3"/>
  <c r="C577" i="3" s="1"/>
  <c r="F577" i="3" s="1"/>
  <c r="AL577" i="3" s="1"/>
  <c r="D578" i="3"/>
  <c r="C578" i="3" s="1"/>
  <c r="F578" i="3" s="1"/>
  <c r="AL578" i="3" s="1"/>
  <c r="D579" i="3"/>
  <c r="C579" i="3" s="1"/>
  <c r="F579" i="3" s="1"/>
  <c r="AL579" i="3" s="1"/>
  <c r="D580" i="3"/>
  <c r="C580" i="3" s="1"/>
  <c r="F580" i="3" s="1"/>
  <c r="AL580" i="3" s="1"/>
  <c r="D581" i="3"/>
  <c r="C581" i="3" s="1"/>
  <c r="F581" i="3" s="1"/>
  <c r="AL581" i="3" s="1"/>
  <c r="D582" i="3"/>
  <c r="C582" i="3" s="1"/>
  <c r="F582" i="3" s="1"/>
  <c r="AL582" i="3" s="1"/>
  <c r="D583" i="3"/>
  <c r="C583" i="3" s="1"/>
  <c r="F583" i="3" s="1"/>
  <c r="AL583" i="3" s="1"/>
  <c r="D584" i="3"/>
  <c r="C584" i="3" s="1"/>
  <c r="F584" i="3" s="1"/>
  <c r="AL584" i="3" s="1"/>
  <c r="D585" i="3"/>
  <c r="C585" i="3" s="1"/>
  <c r="F585" i="3" s="1"/>
  <c r="AL585" i="3" s="1"/>
  <c r="D586" i="3"/>
  <c r="C586" i="3" s="1"/>
  <c r="F586" i="3" s="1"/>
  <c r="AL586" i="3" s="1"/>
  <c r="D587" i="3"/>
  <c r="C587" i="3" s="1"/>
  <c r="F587" i="3" s="1"/>
  <c r="AL587" i="3" s="1"/>
  <c r="D588" i="3"/>
  <c r="C588" i="3" s="1"/>
  <c r="F588" i="3" s="1"/>
  <c r="AL588" i="3" s="1"/>
  <c r="D589" i="3"/>
  <c r="C589" i="3" s="1"/>
  <c r="F589" i="3" s="1"/>
  <c r="AL589" i="3" s="1"/>
  <c r="D590" i="3"/>
  <c r="C590" i="3" s="1"/>
  <c r="F590" i="3" s="1"/>
  <c r="AL590" i="3" s="1"/>
  <c r="D591" i="3"/>
  <c r="C591" i="3" s="1"/>
  <c r="F591" i="3" s="1"/>
  <c r="AL591" i="3" s="1"/>
  <c r="D592" i="3"/>
  <c r="C592" i="3" s="1"/>
  <c r="F592" i="3" s="1"/>
  <c r="AL592" i="3" s="1"/>
  <c r="D593" i="3"/>
  <c r="C593" i="3" s="1"/>
  <c r="F593" i="3" s="1"/>
  <c r="AL593" i="3" s="1"/>
  <c r="D594" i="3"/>
  <c r="C594" i="3" s="1"/>
  <c r="F594" i="3" s="1"/>
  <c r="AL594" i="3" s="1"/>
  <c r="D595" i="3"/>
  <c r="C595" i="3" s="1"/>
  <c r="F595" i="3" s="1"/>
  <c r="AL595" i="3" s="1"/>
  <c r="D596" i="3"/>
  <c r="C596" i="3" s="1"/>
  <c r="F596" i="3" s="1"/>
  <c r="AL596" i="3" s="1"/>
  <c r="D597" i="3"/>
  <c r="C597" i="3" s="1"/>
  <c r="F597" i="3" s="1"/>
  <c r="AL597" i="3" s="1"/>
  <c r="D598" i="3"/>
  <c r="C598" i="3" s="1"/>
  <c r="F598" i="3" s="1"/>
  <c r="AL598" i="3" s="1"/>
  <c r="D599" i="3"/>
  <c r="C599" i="3" s="1"/>
  <c r="F599" i="3" s="1"/>
  <c r="AL599" i="3" s="1"/>
  <c r="D600" i="3"/>
  <c r="C600" i="3" s="1"/>
  <c r="F600" i="3" s="1"/>
  <c r="AL600" i="3" s="1"/>
  <c r="D601" i="3"/>
  <c r="C601" i="3" s="1"/>
  <c r="F601" i="3" s="1"/>
  <c r="AL601" i="3" s="1"/>
  <c r="D602" i="3"/>
  <c r="C602" i="3" s="1"/>
  <c r="F602" i="3" s="1"/>
  <c r="AL602" i="3" s="1"/>
  <c r="D603" i="3"/>
  <c r="C603" i="3" s="1"/>
  <c r="F603" i="3" s="1"/>
  <c r="AL603" i="3" s="1"/>
  <c r="D604" i="3"/>
  <c r="C604" i="3" s="1"/>
  <c r="F604" i="3" s="1"/>
  <c r="AL604" i="3" s="1"/>
  <c r="D605" i="3"/>
  <c r="C605" i="3" s="1"/>
  <c r="F605" i="3" s="1"/>
  <c r="AL605" i="3" s="1"/>
  <c r="D606" i="3"/>
  <c r="C606" i="3" s="1"/>
  <c r="F606" i="3" s="1"/>
  <c r="AL606" i="3" s="1"/>
  <c r="D607" i="3"/>
  <c r="C607" i="3" s="1"/>
  <c r="F607" i="3" s="1"/>
  <c r="AL607" i="3" s="1"/>
  <c r="D608" i="3"/>
  <c r="C608" i="3" s="1"/>
  <c r="F608" i="3" s="1"/>
  <c r="AL608" i="3" s="1"/>
  <c r="D609" i="3"/>
  <c r="C609" i="3" s="1"/>
  <c r="F609" i="3" s="1"/>
  <c r="AL609" i="3" s="1"/>
  <c r="D610" i="3"/>
  <c r="C610" i="3" s="1"/>
  <c r="F610" i="3" s="1"/>
  <c r="AL610" i="3" s="1"/>
  <c r="D611" i="3"/>
  <c r="C611" i="3" s="1"/>
  <c r="F611" i="3" s="1"/>
  <c r="AL611" i="3" s="1"/>
  <c r="D612" i="3"/>
  <c r="C612" i="3" s="1"/>
  <c r="F612" i="3" s="1"/>
  <c r="AL612" i="3" s="1"/>
  <c r="D613" i="3"/>
  <c r="C613" i="3" s="1"/>
  <c r="F613" i="3" s="1"/>
  <c r="AL613" i="3" s="1"/>
  <c r="D614" i="3"/>
  <c r="C614" i="3" s="1"/>
  <c r="F614" i="3" s="1"/>
  <c r="AL614" i="3" s="1"/>
  <c r="D615" i="3"/>
  <c r="C615" i="3" s="1"/>
  <c r="F615" i="3" s="1"/>
  <c r="AL615" i="3" s="1"/>
  <c r="D616" i="3"/>
  <c r="C616" i="3" s="1"/>
  <c r="F616" i="3" s="1"/>
  <c r="AL616" i="3" s="1"/>
  <c r="D617" i="3"/>
  <c r="C617" i="3" s="1"/>
  <c r="F617" i="3" s="1"/>
  <c r="AL617" i="3" s="1"/>
  <c r="D618" i="3"/>
  <c r="C618" i="3" s="1"/>
  <c r="F618" i="3" s="1"/>
  <c r="AL618" i="3" s="1"/>
  <c r="D619" i="3"/>
  <c r="C619" i="3" s="1"/>
  <c r="F619" i="3" s="1"/>
  <c r="AL619" i="3" s="1"/>
  <c r="D620" i="3"/>
  <c r="C620" i="3" s="1"/>
  <c r="F620" i="3" s="1"/>
  <c r="AL620" i="3" s="1"/>
  <c r="D621" i="3"/>
  <c r="C621" i="3" s="1"/>
  <c r="F621" i="3" s="1"/>
  <c r="AL621" i="3" s="1"/>
  <c r="D622" i="3"/>
  <c r="C622" i="3" s="1"/>
  <c r="F622" i="3" s="1"/>
  <c r="AL622" i="3" s="1"/>
  <c r="D623" i="3"/>
  <c r="C623" i="3" s="1"/>
  <c r="F623" i="3" s="1"/>
  <c r="AL623" i="3" s="1"/>
  <c r="D624" i="3"/>
  <c r="C624" i="3" s="1"/>
  <c r="F624" i="3" s="1"/>
  <c r="AL624" i="3" s="1"/>
  <c r="D625" i="3"/>
  <c r="C625" i="3" s="1"/>
  <c r="F625" i="3" s="1"/>
  <c r="AL625" i="3" s="1"/>
  <c r="D626" i="3"/>
  <c r="C626" i="3" s="1"/>
  <c r="F626" i="3" s="1"/>
  <c r="AL626" i="3" s="1"/>
  <c r="D627" i="3"/>
  <c r="C627" i="3" s="1"/>
  <c r="F627" i="3" s="1"/>
  <c r="AL627" i="3" s="1"/>
  <c r="D628" i="3"/>
  <c r="C628" i="3" s="1"/>
  <c r="F628" i="3" s="1"/>
  <c r="AL628" i="3" s="1"/>
  <c r="D629" i="3"/>
  <c r="C629" i="3" s="1"/>
  <c r="F629" i="3" s="1"/>
  <c r="AL629" i="3" s="1"/>
  <c r="D630" i="3"/>
  <c r="C630" i="3" s="1"/>
  <c r="F630" i="3" s="1"/>
  <c r="AL630" i="3" s="1"/>
  <c r="D631" i="3"/>
  <c r="C631" i="3" s="1"/>
  <c r="F631" i="3" s="1"/>
  <c r="AL631" i="3" s="1"/>
  <c r="D632" i="3"/>
  <c r="C632" i="3" s="1"/>
  <c r="F632" i="3" s="1"/>
  <c r="AL632" i="3" s="1"/>
  <c r="D633" i="3"/>
  <c r="C633" i="3" s="1"/>
  <c r="F633" i="3" s="1"/>
  <c r="AL633" i="3" s="1"/>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T11" i="3"/>
  <c r="S11" i="3" s="1"/>
  <c r="T27" i="3"/>
  <c r="S27" i="3" s="1"/>
  <c r="T43" i="3"/>
  <c r="S43" i="3" s="1"/>
  <c r="T59" i="3"/>
  <c r="S59" i="3" s="1"/>
  <c r="T75" i="3"/>
  <c r="S75" i="3" s="1"/>
  <c r="T91" i="3"/>
  <c r="S91" i="3" s="1"/>
  <c r="T107" i="3"/>
  <c r="S107" i="3" s="1"/>
  <c r="T123" i="3"/>
  <c r="S123" i="3" s="1"/>
  <c r="T139" i="3"/>
  <c r="S139" i="3" s="1"/>
  <c r="T155" i="3"/>
  <c r="S155" i="3" s="1"/>
  <c r="T171" i="3"/>
  <c r="S171" i="3" s="1"/>
  <c r="T187" i="3"/>
  <c r="S187" i="3" s="1"/>
  <c r="T203" i="3"/>
  <c r="S203" i="3" s="1"/>
  <c r="T219" i="3"/>
  <c r="S219" i="3" s="1"/>
  <c r="T235" i="3"/>
  <c r="S235" i="3" s="1"/>
  <c r="T251" i="3"/>
  <c r="S251" i="3" s="1"/>
  <c r="T267" i="3"/>
  <c r="S267" i="3" s="1"/>
  <c r="T283" i="3"/>
  <c r="S283" i="3" s="1"/>
  <c r="T314" i="3"/>
  <c r="S314" i="3" s="1"/>
  <c r="T378" i="3"/>
  <c r="S378" i="3" s="1"/>
  <c r="T442" i="3"/>
  <c r="S442" i="3" s="1"/>
  <c r="T506" i="3"/>
  <c r="S506" i="3" s="1"/>
  <c r="T570" i="3"/>
  <c r="S570" i="3" s="1"/>
  <c r="T12" i="3"/>
  <c r="S12" i="3" s="1"/>
  <c r="T28" i="3"/>
  <c r="S28" i="3" s="1"/>
  <c r="T44" i="3"/>
  <c r="S44" i="3" s="1"/>
  <c r="T60" i="3"/>
  <c r="S60" i="3" s="1"/>
  <c r="T76" i="3"/>
  <c r="S76" i="3" s="1"/>
  <c r="T92" i="3"/>
  <c r="S92" i="3" s="1"/>
  <c r="T108" i="3"/>
  <c r="S108" i="3" s="1"/>
  <c r="T124" i="3"/>
  <c r="S124" i="3" s="1"/>
  <c r="T140" i="3"/>
  <c r="S140" i="3" s="1"/>
  <c r="T156" i="3"/>
  <c r="S156" i="3" s="1"/>
  <c r="T172" i="3"/>
  <c r="S172" i="3" s="1"/>
  <c r="T188" i="3"/>
  <c r="S188" i="3" s="1"/>
  <c r="T204" i="3"/>
  <c r="S204" i="3" s="1"/>
  <c r="T220" i="3"/>
  <c r="S220" i="3" s="1"/>
  <c r="T236" i="3"/>
  <c r="S236" i="3" s="1"/>
  <c r="T252" i="3"/>
  <c r="S252" i="3" s="1"/>
  <c r="T268" i="3"/>
  <c r="S268" i="3" s="1"/>
  <c r="T284" i="3"/>
  <c r="S284" i="3" s="1"/>
  <c r="T318" i="3"/>
  <c r="S318" i="3" s="1"/>
  <c r="T382" i="3"/>
  <c r="S382" i="3" s="1"/>
  <c r="T446" i="3"/>
  <c r="S446" i="3" s="1"/>
  <c r="T510" i="3"/>
  <c r="S510" i="3" s="1"/>
  <c r="T574" i="3"/>
  <c r="S574" i="3" s="1"/>
  <c r="T3" i="3"/>
  <c r="S3" i="3" s="1"/>
  <c r="T19" i="3"/>
  <c r="S19" i="3" s="1"/>
  <c r="T35" i="3"/>
  <c r="S35" i="3" s="1"/>
  <c r="T51" i="3"/>
  <c r="S51" i="3" s="1"/>
  <c r="T67" i="3"/>
  <c r="S67" i="3" s="1"/>
  <c r="T83" i="3"/>
  <c r="S83" i="3" s="1"/>
  <c r="T99" i="3"/>
  <c r="S99" i="3" s="1"/>
  <c r="T115" i="3"/>
  <c r="S115" i="3" s="1"/>
  <c r="T131" i="3"/>
  <c r="S131" i="3" s="1"/>
  <c r="T147" i="3"/>
  <c r="S147" i="3" s="1"/>
  <c r="T163" i="3"/>
  <c r="S163" i="3" s="1"/>
  <c r="T179" i="3"/>
  <c r="S179" i="3" s="1"/>
  <c r="T195" i="3"/>
  <c r="S195" i="3" s="1"/>
  <c r="T211" i="3"/>
  <c r="S211" i="3" s="1"/>
  <c r="T227" i="3"/>
  <c r="S227" i="3" s="1"/>
  <c r="T243" i="3"/>
  <c r="S243" i="3" s="1"/>
  <c r="T259" i="3"/>
  <c r="S259" i="3" s="1"/>
  <c r="T275" i="3"/>
  <c r="S275" i="3" s="1"/>
  <c r="T291" i="3"/>
  <c r="S291" i="3" s="1"/>
  <c r="T346" i="3"/>
  <c r="S346" i="3" s="1"/>
  <c r="T410" i="3"/>
  <c r="S410" i="3" s="1"/>
  <c r="T474" i="3"/>
  <c r="S474" i="3" s="1"/>
  <c r="T538" i="3"/>
  <c r="S538" i="3" s="1"/>
  <c r="T602" i="3"/>
  <c r="S602" i="3" s="1"/>
  <c r="T4" i="3"/>
  <c r="S4" i="3" s="1"/>
  <c r="T20" i="3"/>
  <c r="S20" i="3" s="1"/>
  <c r="T36" i="3"/>
  <c r="S36" i="3" s="1"/>
  <c r="T52" i="3"/>
  <c r="S52" i="3" s="1"/>
  <c r="T68" i="3"/>
  <c r="S68" i="3" s="1"/>
  <c r="T84" i="3"/>
  <c r="S84" i="3" s="1"/>
  <c r="T100" i="3"/>
  <c r="S100" i="3" s="1"/>
  <c r="T116" i="3"/>
  <c r="S116" i="3" s="1"/>
  <c r="T132" i="3"/>
  <c r="S132" i="3" s="1"/>
  <c r="T148" i="3"/>
  <c r="S148" i="3" s="1"/>
  <c r="T164" i="3"/>
  <c r="S164" i="3" s="1"/>
  <c r="T180" i="3"/>
  <c r="S180" i="3" s="1"/>
  <c r="T196" i="3"/>
  <c r="S196" i="3" s="1"/>
  <c r="T212" i="3"/>
  <c r="S212" i="3" s="1"/>
  <c r="T228" i="3"/>
  <c r="S228" i="3" s="1"/>
  <c r="T244" i="3"/>
  <c r="S244" i="3" s="1"/>
  <c r="T260" i="3"/>
  <c r="S260" i="3" s="1"/>
  <c r="T276" i="3"/>
  <c r="S276" i="3" s="1"/>
  <c r="T292" i="3"/>
  <c r="S292" i="3" s="1"/>
  <c r="T350" i="3"/>
  <c r="S350" i="3" s="1"/>
  <c r="T414" i="3"/>
  <c r="S414" i="3" s="1"/>
  <c r="T478" i="3"/>
  <c r="S478" i="3" s="1"/>
  <c r="T542" i="3"/>
  <c r="S542" i="3" s="1"/>
  <c r="T606" i="3"/>
  <c r="S606" i="3" s="1"/>
  <c r="T7" i="3"/>
  <c r="S7" i="3" s="1"/>
  <c r="T15" i="3"/>
  <c r="S15" i="3" s="1"/>
  <c r="T23" i="3"/>
  <c r="S23" i="3" s="1"/>
  <c r="T31" i="3"/>
  <c r="S31" i="3" s="1"/>
  <c r="T39" i="3"/>
  <c r="S39" i="3" s="1"/>
  <c r="T47" i="3"/>
  <c r="S47" i="3" s="1"/>
  <c r="T55" i="3"/>
  <c r="S55" i="3" s="1"/>
  <c r="T63" i="3"/>
  <c r="S63" i="3" s="1"/>
  <c r="T71" i="3"/>
  <c r="S71" i="3" s="1"/>
  <c r="T79" i="3"/>
  <c r="S79" i="3" s="1"/>
  <c r="T87" i="3"/>
  <c r="S87" i="3" s="1"/>
  <c r="T95" i="3"/>
  <c r="S95" i="3" s="1"/>
  <c r="T103" i="3"/>
  <c r="S103" i="3" s="1"/>
  <c r="T111" i="3"/>
  <c r="S111" i="3" s="1"/>
  <c r="T119" i="3"/>
  <c r="S119" i="3" s="1"/>
  <c r="T127" i="3"/>
  <c r="S127" i="3" s="1"/>
  <c r="T135" i="3"/>
  <c r="S135" i="3" s="1"/>
  <c r="T143" i="3"/>
  <c r="S143" i="3" s="1"/>
  <c r="T151" i="3"/>
  <c r="S151" i="3" s="1"/>
  <c r="T159" i="3"/>
  <c r="S159" i="3" s="1"/>
  <c r="T167" i="3"/>
  <c r="S167" i="3" s="1"/>
  <c r="T175" i="3"/>
  <c r="S175" i="3" s="1"/>
  <c r="T183" i="3"/>
  <c r="S183" i="3" s="1"/>
  <c r="T191" i="3"/>
  <c r="S191" i="3" s="1"/>
  <c r="T199" i="3"/>
  <c r="S199" i="3" s="1"/>
  <c r="T207" i="3"/>
  <c r="S207" i="3" s="1"/>
  <c r="T215" i="3"/>
  <c r="S215" i="3" s="1"/>
  <c r="T223" i="3"/>
  <c r="S223" i="3" s="1"/>
  <c r="T231" i="3"/>
  <c r="S231" i="3" s="1"/>
  <c r="T239" i="3"/>
  <c r="S239" i="3" s="1"/>
  <c r="T247" i="3"/>
  <c r="S247" i="3" s="1"/>
  <c r="T255" i="3"/>
  <c r="S255" i="3" s="1"/>
  <c r="T263" i="3"/>
  <c r="S263" i="3" s="1"/>
  <c r="T271" i="3"/>
  <c r="S271" i="3" s="1"/>
  <c r="T279" i="3"/>
  <c r="S279" i="3" s="1"/>
  <c r="T287" i="3"/>
  <c r="S287" i="3" s="1"/>
  <c r="T298" i="3"/>
  <c r="S298" i="3" s="1"/>
  <c r="T330" i="3"/>
  <c r="S330" i="3" s="1"/>
  <c r="T362" i="3"/>
  <c r="S362" i="3" s="1"/>
  <c r="T394" i="3"/>
  <c r="S394" i="3" s="1"/>
  <c r="T426" i="3"/>
  <c r="S426" i="3" s="1"/>
  <c r="T458" i="3"/>
  <c r="S458" i="3" s="1"/>
  <c r="T490" i="3"/>
  <c r="S490" i="3" s="1"/>
  <c r="T522" i="3"/>
  <c r="S522" i="3" s="1"/>
  <c r="T554" i="3"/>
  <c r="S554" i="3" s="1"/>
  <c r="T586" i="3"/>
  <c r="S586" i="3" s="1"/>
  <c r="T618" i="3"/>
  <c r="S618" i="3" s="1"/>
  <c r="T8" i="3"/>
  <c r="S8" i="3" s="1"/>
  <c r="T16" i="3"/>
  <c r="S16" i="3" s="1"/>
  <c r="T24" i="3"/>
  <c r="S24" i="3" s="1"/>
  <c r="T32" i="3"/>
  <c r="S32" i="3" s="1"/>
  <c r="T40" i="3"/>
  <c r="S40" i="3" s="1"/>
  <c r="T48" i="3"/>
  <c r="S48" i="3" s="1"/>
  <c r="T56" i="3"/>
  <c r="S56" i="3" s="1"/>
  <c r="T64" i="3"/>
  <c r="S64" i="3" s="1"/>
  <c r="T72" i="3"/>
  <c r="S72" i="3" s="1"/>
  <c r="T80" i="3"/>
  <c r="S80" i="3" s="1"/>
  <c r="T88" i="3"/>
  <c r="S88" i="3" s="1"/>
  <c r="T96" i="3"/>
  <c r="S96" i="3" s="1"/>
  <c r="T104" i="3"/>
  <c r="S104" i="3" s="1"/>
  <c r="T112" i="3"/>
  <c r="S112" i="3" s="1"/>
  <c r="T120" i="3"/>
  <c r="S120" i="3" s="1"/>
  <c r="T128" i="3"/>
  <c r="S128" i="3" s="1"/>
  <c r="T136" i="3"/>
  <c r="S136" i="3" s="1"/>
  <c r="T144" i="3"/>
  <c r="S144" i="3" s="1"/>
  <c r="T152" i="3"/>
  <c r="S152" i="3" s="1"/>
  <c r="T160" i="3"/>
  <c r="S160" i="3" s="1"/>
  <c r="T168" i="3"/>
  <c r="S168" i="3" s="1"/>
  <c r="T176" i="3"/>
  <c r="S176" i="3" s="1"/>
  <c r="T184" i="3"/>
  <c r="S184" i="3" s="1"/>
  <c r="T192" i="3"/>
  <c r="S192" i="3" s="1"/>
  <c r="T200" i="3"/>
  <c r="S200" i="3" s="1"/>
  <c r="T208" i="3"/>
  <c r="S208" i="3" s="1"/>
  <c r="T216" i="3"/>
  <c r="S216" i="3" s="1"/>
  <c r="T224" i="3"/>
  <c r="S224" i="3" s="1"/>
  <c r="T232" i="3"/>
  <c r="S232" i="3" s="1"/>
  <c r="T240" i="3"/>
  <c r="S240" i="3" s="1"/>
  <c r="T248" i="3"/>
  <c r="S248" i="3" s="1"/>
  <c r="T256" i="3"/>
  <c r="S256" i="3" s="1"/>
  <c r="T264" i="3"/>
  <c r="S264" i="3" s="1"/>
  <c r="T272" i="3"/>
  <c r="S272" i="3" s="1"/>
  <c r="T280" i="3"/>
  <c r="S280" i="3" s="1"/>
  <c r="T288" i="3"/>
  <c r="S288" i="3" s="1"/>
  <c r="T302" i="3"/>
  <c r="S302" i="3" s="1"/>
  <c r="T334" i="3"/>
  <c r="S334" i="3" s="1"/>
  <c r="T366" i="3"/>
  <c r="S366" i="3" s="1"/>
  <c r="T398" i="3"/>
  <c r="S398" i="3" s="1"/>
  <c r="T430" i="3"/>
  <c r="S430" i="3" s="1"/>
  <c r="T462" i="3"/>
  <c r="S462" i="3" s="1"/>
  <c r="T494" i="3"/>
  <c r="S494" i="3" s="1"/>
  <c r="T526" i="3"/>
  <c r="S526" i="3" s="1"/>
  <c r="T558" i="3"/>
  <c r="S558" i="3" s="1"/>
  <c r="T590" i="3"/>
  <c r="S590" i="3" s="1"/>
  <c r="T622" i="3"/>
  <c r="S622" i="3" s="1"/>
  <c r="T5" i="3"/>
  <c r="S5" i="3" s="1"/>
  <c r="T9" i="3"/>
  <c r="S9" i="3" s="1"/>
  <c r="T13" i="3"/>
  <c r="S13" i="3" s="1"/>
  <c r="T17" i="3"/>
  <c r="S17" i="3" s="1"/>
  <c r="T21" i="3"/>
  <c r="S21" i="3" s="1"/>
  <c r="T25" i="3"/>
  <c r="S25" i="3" s="1"/>
  <c r="T29" i="3"/>
  <c r="S29" i="3" s="1"/>
  <c r="T33" i="3"/>
  <c r="S33" i="3" s="1"/>
  <c r="Z33" i="3" s="1"/>
  <c r="T37" i="3"/>
  <c r="S37" i="3" s="1"/>
  <c r="T41" i="3"/>
  <c r="S41" i="3" s="1"/>
  <c r="T45" i="3"/>
  <c r="S45" i="3" s="1"/>
  <c r="T49" i="3"/>
  <c r="S49" i="3" s="1"/>
  <c r="T53" i="3"/>
  <c r="S53" i="3" s="1"/>
  <c r="T57" i="3"/>
  <c r="S57" i="3" s="1"/>
  <c r="T61" i="3"/>
  <c r="S61" i="3" s="1"/>
  <c r="T65" i="3"/>
  <c r="S65" i="3" s="1"/>
  <c r="T69" i="3"/>
  <c r="S69" i="3" s="1"/>
  <c r="T73" i="3"/>
  <c r="S73" i="3" s="1"/>
  <c r="T77" i="3"/>
  <c r="S77" i="3" s="1"/>
  <c r="T81" i="3"/>
  <c r="S81" i="3" s="1"/>
  <c r="T85" i="3"/>
  <c r="S85" i="3" s="1"/>
  <c r="T89" i="3"/>
  <c r="S89" i="3" s="1"/>
  <c r="T93" i="3"/>
  <c r="S93" i="3" s="1"/>
  <c r="T97" i="3"/>
  <c r="S97" i="3" s="1"/>
  <c r="Z97" i="3" s="1"/>
  <c r="T101" i="3"/>
  <c r="S101" i="3" s="1"/>
  <c r="T105" i="3"/>
  <c r="S105" i="3" s="1"/>
  <c r="T109" i="3"/>
  <c r="S109" i="3" s="1"/>
  <c r="T113" i="3"/>
  <c r="S113" i="3" s="1"/>
  <c r="T117" i="3"/>
  <c r="S117" i="3" s="1"/>
  <c r="T121" i="3"/>
  <c r="S121" i="3" s="1"/>
  <c r="T125" i="3"/>
  <c r="S125" i="3" s="1"/>
  <c r="T129" i="3"/>
  <c r="S129" i="3" s="1"/>
  <c r="T133" i="3"/>
  <c r="S133" i="3" s="1"/>
  <c r="T137" i="3"/>
  <c r="S137" i="3" s="1"/>
  <c r="T141" i="3"/>
  <c r="S141" i="3" s="1"/>
  <c r="T145" i="3"/>
  <c r="S145" i="3" s="1"/>
  <c r="T149" i="3"/>
  <c r="S149" i="3" s="1"/>
  <c r="T153" i="3"/>
  <c r="S153" i="3" s="1"/>
  <c r="T157" i="3"/>
  <c r="S157" i="3" s="1"/>
  <c r="T161" i="3"/>
  <c r="S161" i="3" s="1"/>
  <c r="T165" i="3"/>
  <c r="S165" i="3" s="1"/>
  <c r="T169" i="3"/>
  <c r="S169" i="3" s="1"/>
  <c r="T173" i="3"/>
  <c r="S173" i="3" s="1"/>
  <c r="T177" i="3"/>
  <c r="S177" i="3" s="1"/>
  <c r="T181" i="3"/>
  <c r="S181" i="3" s="1"/>
  <c r="T185" i="3"/>
  <c r="S185" i="3" s="1"/>
  <c r="T189" i="3"/>
  <c r="S189" i="3" s="1"/>
  <c r="T193" i="3"/>
  <c r="S193" i="3" s="1"/>
  <c r="T197" i="3"/>
  <c r="S197" i="3" s="1"/>
  <c r="T201" i="3"/>
  <c r="S201" i="3" s="1"/>
  <c r="T205" i="3"/>
  <c r="S205" i="3" s="1"/>
  <c r="T209" i="3"/>
  <c r="S209" i="3" s="1"/>
  <c r="T213" i="3"/>
  <c r="S213" i="3" s="1"/>
  <c r="T217" i="3"/>
  <c r="S217" i="3" s="1"/>
  <c r="T221" i="3"/>
  <c r="S221" i="3" s="1"/>
  <c r="T225" i="3"/>
  <c r="S225" i="3" s="1"/>
  <c r="T229" i="3"/>
  <c r="S229" i="3" s="1"/>
  <c r="T233" i="3"/>
  <c r="S233" i="3" s="1"/>
  <c r="T237" i="3"/>
  <c r="S237" i="3" s="1"/>
  <c r="T241" i="3"/>
  <c r="S241" i="3" s="1"/>
  <c r="T245" i="3"/>
  <c r="S245" i="3" s="1"/>
  <c r="T249" i="3"/>
  <c r="S249" i="3" s="1"/>
  <c r="T253" i="3"/>
  <c r="S253" i="3" s="1"/>
  <c r="T257" i="3"/>
  <c r="S257" i="3" s="1"/>
  <c r="T261" i="3"/>
  <c r="S261" i="3" s="1"/>
  <c r="T265" i="3"/>
  <c r="S265" i="3" s="1"/>
  <c r="T269" i="3"/>
  <c r="S269" i="3" s="1"/>
  <c r="T273" i="3"/>
  <c r="S273" i="3" s="1"/>
  <c r="T277" i="3"/>
  <c r="S277" i="3" s="1"/>
  <c r="T281" i="3"/>
  <c r="S281" i="3" s="1"/>
  <c r="T285" i="3"/>
  <c r="S285" i="3" s="1"/>
  <c r="T289" i="3"/>
  <c r="S289" i="3" s="1"/>
  <c r="T293" i="3"/>
  <c r="S293" i="3" s="1"/>
  <c r="T306" i="3"/>
  <c r="S306" i="3" s="1"/>
  <c r="T322" i="3"/>
  <c r="S322" i="3" s="1"/>
  <c r="T338" i="3"/>
  <c r="S338" i="3" s="1"/>
  <c r="T354" i="3"/>
  <c r="S354" i="3" s="1"/>
  <c r="T370" i="3"/>
  <c r="S370" i="3" s="1"/>
  <c r="T386" i="3"/>
  <c r="S386" i="3" s="1"/>
  <c r="T402" i="3"/>
  <c r="S402" i="3" s="1"/>
  <c r="T418" i="3"/>
  <c r="S418" i="3" s="1"/>
  <c r="T434" i="3"/>
  <c r="S434" i="3" s="1"/>
  <c r="T450" i="3"/>
  <c r="S450" i="3" s="1"/>
  <c r="T466" i="3"/>
  <c r="S466" i="3" s="1"/>
  <c r="T482" i="3"/>
  <c r="S482" i="3" s="1"/>
  <c r="T498" i="3"/>
  <c r="S498" i="3" s="1"/>
  <c r="T514" i="3"/>
  <c r="S514" i="3" s="1"/>
  <c r="T530" i="3"/>
  <c r="S530" i="3" s="1"/>
  <c r="T546" i="3"/>
  <c r="S546" i="3" s="1"/>
  <c r="T562" i="3"/>
  <c r="S562" i="3" s="1"/>
  <c r="T578" i="3"/>
  <c r="S578" i="3" s="1"/>
  <c r="T594" i="3"/>
  <c r="S594" i="3" s="1"/>
  <c r="T610" i="3"/>
  <c r="S610" i="3" s="1"/>
  <c r="T626" i="3"/>
  <c r="S626" i="3" s="1"/>
  <c r="T2" i="3"/>
  <c r="S2" i="3" s="1"/>
  <c r="T6" i="3"/>
  <c r="S6" i="3" s="1"/>
  <c r="T10" i="3"/>
  <c r="S10" i="3" s="1"/>
  <c r="T14" i="3"/>
  <c r="S14" i="3" s="1"/>
  <c r="T18" i="3"/>
  <c r="S18" i="3" s="1"/>
  <c r="T22" i="3"/>
  <c r="S22" i="3" s="1"/>
  <c r="T26" i="3"/>
  <c r="S26" i="3" s="1"/>
  <c r="T30" i="3"/>
  <c r="S30" i="3" s="1"/>
  <c r="T34" i="3"/>
  <c r="S34" i="3" s="1"/>
  <c r="T38" i="3"/>
  <c r="S38" i="3" s="1"/>
  <c r="T42" i="3"/>
  <c r="S42" i="3" s="1"/>
  <c r="T46" i="3"/>
  <c r="S46" i="3" s="1"/>
  <c r="T50" i="3"/>
  <c r="S50" i="3" s="1"/>
  <c r="T54" i="3"/>
  <c r="S54" i="3" s="1"/>
  <c r="T58" i="3"/>
  <c r="S58" i="3" s="1"/>
  <c r="T62" i="3"/>
  <c r="S62" i="3" s="1"/>
  <c r="T66" i="3"/>
  <c r="S66" i="3" s="1"/>
  <c r="T70" i="3"/>
  <c r="S70" i="3" s="1"/>
  <c r="T74" i="3"/>
  <c r="S74" i="3" s="1"/>
  <c r="T78" i="3"/>
  <c r="S78" i="3" s="1"/>
  <c r="T82" i="3"/>
  <c r="S82" i="3" s="1"/>
  <c r="T86" i="3"/>
  <c r="S86" i="3" s="1"/>
  <c r="T90" i="3"/>
  <c r="S90" i="3" s="1"/>
  <c r="T94" i="3"/>
  <c r="S94" i="3" s="1"/>
  <c r="T98" i="3"/>
  <c r="S98" i="3" s="1"/>
  <c r="T102" i="3"/>
  <c r="S102" i="3" s="1"/>
  <c r="T106" i="3"/>
  <c r="S106" i="3" s="1"/>
  <c r="T110" i="3"/>
  <c r="S110" i="3" s="1"/>
  <c r="T114" i="3"/>
  <c r="S114" i="3" s="1"/>
  <c r="T118" i="3"/>
  <c r="S118" i="3" s="1"/>
  <c r="T122" i="3"/>
  <c r="S122" i="3" s="1"/>
  <c r="T126" i="3"/>
  <c r="S126" i="3" s="1"/>
  <c r="T130" i="3"/>
  <c r="S130" i="3" s="1"/>
  <c r="T134" i="3"/>
  <c r="S134" i="3" s="1"/>
  <c r="T138" i="3"/>
  <c r="S138" i="3" s="1"/>
  <c r="T142" i="3"/>
  <c r="S142" i="3" s="1"/>
  <c r="T146" i="3"/>
  <c r="S146" i="3" s="1"/>
  <c r="T150" i="3"/>
  <c r="S150" i="3" s="1"/>
  <c r="T154" i="3"/>
  <c r="S154" i="3" s="1"/>
  <c r="T158" i="3"/>
  <c r="S158" i="3" s="1"/>
  <c r="T162" i="3"/>
  <c r="S162" i="3" s="1"/>
  <c r="T166" i="3"/>
  <c r="S166" i="3" s="1"/>
  <c r="T170" i="3"/>
  <c r="S170" i="3" s="1"/>
  <c r="T174" i="3"/>
  <c r="S174" i="3" s="1"/>
  <c r="T178" i="3"/>
  <c r="S178" i="3" s="1"/>
  <c r="T182" i="3"/>
  <c r="S182" i="3" s="1"/>
  <c r="T186" i="3"/>
  <c r="S186" i="3" s="1"/>
  <c r="T190" i="3"/>
  <c r="S190" i="3" s="1"/>
  <c r="T194" i="3"/>
  <c r="S194" i="3" s="1"/>
  <c r="T198" i="3"/>
  <c r="S198" i="3" s="1"/>
  <c r="T202" i="3"/>
  <c r="S202" i="3" s="1"/>
  <c r="T206" i="3"/>
  <c r="S206" i="3" s="1"/>
  <c r="T210" i="3"/>
  <c r="S210" i="3" s="1"/>
  <c r="T214" i="3"/>
  <c r="S214" i="3" s="1"/>
  <c r="T218" i="3"/>
  <c r="S218" i="3" s="1"/>
  <c r="T222" i="3"/>
  <c r="S222" i="3" s="1"/>
  <c r="T226" i="3"/>
  <c r="S226" i="3" s="1"/>
  <c r="T230" i="3"/>
  <c r="S230" i="3" s="1"/>
  <c r="T234" i="3"/>
  <c r="S234" i="3" s="1"/>
  <c r="T238" i="3"/>
  <c r="S238" i="3" s="1"/>
  <c r="T242" i="3"/>
  <c r="S242" i="3" s="1"/>
  <c r="T246" i="3"/>
  <c r="S246" i="3" s="1"/>
  <c r="T250" i="3"/>
  <c r="S250" i="3" s="1"/>
  <c r="T254" i="3"/>
  <c r="S254" i="3" s="1"/>
  <c r="T258" i="3"/>
  <c r="S258" i="3" s="1"/>
  <c r="T262" i="3"/>
  <c r="S262" i="3" s="1"/>
  <c r="T266" i="3"/>
  <c r="S266" i="3" s="1"/>
  <c r="T270" i="3"/>
  <c r="S270" i="3" s="1"/>
  <c r="T274" i="3"/>
  <c r="S274" i="3" s="1"/>
  <c r="T278" i="3"/>
  <c r="S278" i="3" s="1"/>
  <c r="T282" i="3"/>
  <c r="S282" i="3" s="1"/>
  <c r="T286" i="3"/>
  <c r="S286" i="3" s="1"/>
  <c r="T290" i="3"/>
  <c r="S290" i="3" s="1"/>
  <c r="T294" i="3"/>
  <c r="S294" i="3" s="1"/>
  <c r="T310" i="3"/>
  <c r="S310" i="3" s="1"/>
  <c r="T326" i="3"/>
  <c r="S326" i="3" s="1"/>
  <c r="T342" i="3"/>
  <c r="S342" i="3" s="1"/>
  <c r="T358" i="3"/>
  <c r="S358" i="3" s="1"/>
  <c r="T374" i="3"/>
  <c r="S374" i="3" s="1"/>
  <c r="T390" i="3"/>
  <c r="S390" i="3" s="1"/>
  <c r="T406" i="3"/>
  <c r="S406" i="3" s="1"/>
  <c r="T422" i="3"/>
  <c r="S422" i="3" s="1"/>
  <c r="T438" i="3"/>
  <c r="S438" i="3" s="1"/>
  <c r="T454" i="3"/>
  <c r="S454" i="3" s="1"/>
  <c r="T470" i="3"/>
  <c r="S470" i="3" s="1"/>
  <c r="T486" i="3"/>
  <c r="S486" i="3" s="1"/>
  <c r="T502" i="3"/>
  <c r="S502" i="3" s="1"/>
  <c r="T518" i="3"/>
  <c r="S518" i="3" s="1"/>
  <c r="T534" i="3"/>
  <c r="S534" i="3" s="1"/>
  <c r="T550" i="3"/>
  <c r="S550" i="3" s="1"/>
  <c r="T566" i="3"/>
  <c r="S566" i="3" s="1"/>
  <c r="T582" i="3"/>
  <c r="S582" i="3" s="1"/>
  <c r="T598" i="3"/>
  <c r="S598" i="3" s="1"/>
  <c r="T614" i="3"/>
  <c r="S614" i="3" s="1"/>
  <c r="T630" i="3"/>
  <c r="S630" i="3" s="1"/>
  <c r="T295" i="3"/>
  <c r="S295" i="3" s="1"/>
  <c r="T299" i="3"/>
  <c r="S299" i="3" s="1"/>
  <c r="T303" i="3"/>
  <c r="S303" i="3" s="1"/>
  <c r="T307" i="3"/>
  <c r="S307" i="3" s="1"/>
  <c r="T311" i="3"/>
  <c r="S311" i="3" s="1"/>
  <c r="T315" i="3"/>
  <c r="S315" i="3" s="1"/>
  <c r="T319" i="3"/>
  <c r="S319" i="3" s="1"/>
  <c r="T323" i="3"/>
  <c r="S323" i="3" s="1"/>
  <c r="T327" i="3"/>
  <c r="S327" i="3" s="1"/>
  <c r="T331" i="3"/>
  <c r="S331" i="3" s="1"/>
  <c r="T335" i="3"/>
  <c r="S335" i="3" s="1"/>
  <c r="T339" i="3"/>
  <c r="S339" i="3" s="1"/>
  <c r="T343" i="3"/>
  <c r="S343" i="3" s="1"/>
  <c r="T347" i="3"/>
  <c r="S347" i="3" s="1"/>
  <c r="T351" i="3"/>
  <c r="S351" i="3" s="1"/>
  <c r="T355" i="3"/>
  <c r="S355" i="3" s="1"/>
  <c r="T359" i="3"/>
  <c r="S359" i="3" s="1"/>
  <c r="T363" i="3"/>
  <c r="S363" i="3" s="1"/>
  <c r="T367" i="3"/>
  <c r="S367" i="3" s="1"/>
  <c r="T371" i="3"/>
  <c r="S371" i="3" s="1"/>
  <c r="T375" i="3"/>
  <c r="S375" i="3" s="1"/>
  <c r="T379" i="3"/>
  <c r="S379" i="3" s="1"/>
  <c r="T383" i="3"/>
  <c r="S383" i="3" s="1"/>
  <c r="T387" i="3"/>
  <c r="S387" i="3" s="1"/>
  <c r="T391" i="3"/>
  <c r="S391" i="3" s="1"/>
  <c r="T395" i="3"/>
  <c r="S395" i="3" s="1"/>
  <c r="T399" i="3"/>
  <c r="S399" i="3" s="1"/>
  <c r="T403" i="3"/>
  <c r="S403" i="3" s="1"/>
  <c r="T407" i="3"/>
  <c r="S407" i="3" s="1"/>
  <c r="T411" i="3"/>
  <c r="S411" i="3" s="1"/>
  <c r="T415" i="3"/>
  <c r="S415" i="3" s="1"/>
  <c r="T419" i="3"/>
  <c r="S419" i="3" s="1"/>
  <c r="T423" i="3"/>
  <c r="S423" i="3" s="1"/>
  <c r="T427" i="3"/>
  <c r="S427" i="3" s="1"/>
  <c r="T431" i="3"/>
  <c r="S431" i="3" s="1"/>
  <c r="T435" i="3"/>
  <c r="S435" i="3" s="1"/>
  <c r="T439" i="3"/>
  <c r="S439" i="3" s="1"/>
  <c r="T443" i="3"/>
  <c r="S443" i="3" s="1"/>
  <c r="T447" i="3"/>
  <c r="S447" i="3" s="1"/>
  <c r="T451" i="3"/>
  <c r="S451" i="3" s="1"/>
  <c r="T455" i="3"/>
  <c r="S455" i="3" s="1"/>
  <c r="T459" i="3"/>
  <c r="S459" i="3" s="1"/>
  <c r="T463" i="3"/>
  <c r="S463" i="3" s="1"/>
  <c r="T467" i="3"/>
  <c r="S467" i="3" s="1"/>
  <c r="T471" i="3"/>
  <c r="S471" i="3" s="1"/>
  <c r="T475" i="3"/>
  <c r="S475" i="3" s="1"/>
  <c r="T479" i="3"/>
  <c r="S479" i="3" s="1"/>
  <c r="T483" i="3"/>
  <c r="S483" i="3" s="1"/>
  <c r="T487" i="3"/>
  <c r="S487" i="3" s="1"/>
  <c r="T491" i="3"/>
  <c r="S491" i="3" s="1"/>
  <c r="T495" i="3"/>
  <c r="S495" i="3" s="1"/>
  <c r="T499" i="3"/>
  <c r="S499" i="3" s="1"/>
  <c r="T503" i="3"/>
  <c r="S503" i="3" s="1"/>
  <c r="T507" i="3"/>
  <c r="S507" i="3" s="1"/>
  <c r="T511" i="3"/>
  <c r="S511" i="3" s="1"/>
  <c r="T515" i="3"/>
  <c r="S515" i="3" s="1"/>
  <c r="T519" i="3"/>
  <c r="S519" i="3" s="1"/>
  <c r="T523" i="3"/>
  <c r="S523" i="3" s="1"/>
  <c r="T527" i="3"/>
  <c r="S527" i="3" s="1"/>
  <c r="T531" i="3"/>
  <c r="S531" i="3" s="1"/>
  <c r="T535" i="3"/>
  <c r="S535" i="3" s="1"/>
  <c r="T539" i="3"/>
  <c r="S539" i="3" s="1"/>
  <c r="T543" i="3"/>
  <c r="S543" i="3" s="1"/>
  <c r="T547" i="3"/>
  <c r="S547" i="3" s="1"/>
  <c r="T551" i="3"/>
  <c r="S551" i="3" s="1"/>
  <c r="T555" i="3"/>
  <c r="S555" i="3" s="1"/>
  <c r="T559" i="3"/>
  <c r="S559" i="3" s="1"/>
  <c r="T563" i="3"/>
  <c r="S563" i="3" s="1"/>
  <c r="T567" i="3"/>
  <c r="S567" i="3" s="1"/>
  <c r="T571" i="3"/>
  <c r="S571" i="3" s="1"/>
  <c r="T575" i="3"/>
  <c r="S575" i="3" s="1"/>
  <c r="T579" i="3"/>
  <c r="S579" i="3" s="1"/>
  <c r="T583" i="3"/>
  <c r="S583" i="3" s="1"/>
  <c r="T587" i="3"/>
  <c r="S587" i="3" s="1"/>
  <c r="T591" i="3"/>
  <c r="S591" i="3" s="1"/>
  <c r="T595" i="3"/>
  <c r="S595" i="3" s="1"/>
  <c r="T599" i="3"/>
  <c r="S599" i="3" s="1"/>
  <c r="T603" i="3"/>
  <c r="S603" i="3" s="1"/>
  <c r="T607" i="3"/>
  <c r="S607" i="3" s="1"/>
  <c r="T611" i="3"/>
  <c r="S611" i="3" s="1"/>
  <c r="T615" i="3"/>
  <c r="S615" i="3" s="1"/>
  <c r="T619" i="3"/>
  <c r="S619" i="3" s="1"/>
  <c r="T623" i="3"/>
  <c r="S623" i="3" s="1"/>
  <c r="T627" i="3"/>
  <c r="S627" i="3" s="1"/>
  <c r="T631" i="3"/>
  <c r="S631" i="3" s="1"/>
  <c r="T296" i="3"/>
  <c r="S296" i="3" s="1"/>
  <c r="T300" i="3"/>
  <c r="S300" i="3" s="1"/>
  <c r="T304" i="3"/>
  <c r="S304" i="3" s="1"/>
  <c r="T308" i="3"/>
  <c r="S308" i="3" s="1"/>
  <c r="T312" i="3"/>
  <c r="S312" i="3" s="1"/>
  <c r="T316" i="3"/>
  <c r="S316" i="3" s="1"/>
  <c r="T320" i="3"/>
  <c r="S320" i="3" s="1"/>
  <c r="T324" i="3"/>
  <c r="S324" i="3" s="1"/>
  <c r="T328" i="3"/>
  <c r="S328" i="3" s="1"/>
  <c r="T332" i="3"/>
  <c r="S332" i="3" s="1"/>
  <c r="T336" i="3"/>
  <c r="S336" i="3" s="1"/>
  <c r="T340" i="3"/>
  <c r="S340" i="3" s="1"/>
  <c r="T344" i="3"/>
  <c r="S344" i="3" s="1"/>
  <c r="T348" i="3"/>
  <c r="S348" i="3" s="1"/>
  <c r="T352" i="3"/>
  <c r="S352" i="3" s="1"/>
  <c r="T356" i="3"/>
  <c r="S356" i="3" s="1"/>
  <c r="T360" i="3"/>
  <c r="S360" i="3" s="1"/>
  <c r="T364" i="3"/>
  <c r="S364" i="3" s="1"/>
  <c r="T368" i="3"/>
  <c r="S368" i="3" s="1"/>
  <c r="T372" i="3"/>
  <c r="S372" i="3" s="1"/>
  <c r="T376" i="3"/>
  <c r="S376" i="3" s="1"/>
  <c r="T380" i="3"/>
  <c r="S380" i="3" s="1"/>
  <c r="T384" i="3"/>
  <c r="S384" i="3" s="1"/>
  <c r="T388" i="3"/>
  <c r="S388" i="3" s="1"/>
  <c r="T392" i="3"/>
  <c r="S392" i="3" s="1"/>
  <c r="T396" i="3"/>
  <c r="S396" i="3" s="1"/>
  <c r="T400" i="3"/>
  <c r="S400" i="3" s="1"/>
  <c r="T404" i="3"/>
  <c r="S404" i="3" s="1"/>
  <c r="T408" i="3"/>
  <c r="S408" i="3" s="1"/>
  <c r="T412" i="3"/>
  <c r="S412" i="3" s="1"/>
  <c r="T416" i="3"/>
  <c r="S416" i="3" s="1"/>
  <c r="T420" i="3"/>
  <c r="S420" i="3" s="1"/>
  <c r="T424" i="3"/>
  <c r="S424" i="3" s="1"/>
  <c r="T428" i="3"/>
  <c r="S428" i="3" s="1"/>
  <c r="T432" i="3"/>
  <c r="S432" i="3" s="1"/>
  <c r="T436" i="3"/>
  <c r="S436" i="3" s="1"/>
  <c r="T440" i="3"/>
  <c r="S440" i="3" s="1"/>
  <c r="T444" i="3"/>
  <c r="S444" i="3" s="1"/>
  <c r="T448" i="3"/>
  <c r="S448" i="3" s="1"/>
  <c r="T452" i="3"/>
  <c r="S452" i="3" s="1"/>
  <c r="T456" i="3"/>
  <c r="S456" i="3" s="1"/>
  <c r="T460" i="3"/>
  <c r="S460" i="3" s="1"/>
  <c r="T464" i="3"/>
  <c r="S464" i="3" s="1"/>
  <c r="T468" i="3"/>
  <c r="S468" i="3" s="1"/>
  <c r="T472" i="3"/>
  <c r="S472" i="3" s="1"/>
  <c r="T476" i="3"/>
  <c r="S476" i="3" s="1"/>
  <c r="T480" i="3"/>
  <c r="S480" i="3" s="1"/>
  <c r="T484" i="3"/>
  <c r="S484" i="3" s="1"/>
  <c r="T488" i="3"/>
  <c r="S488" i="3" s="1"/>
  <c r="T492" i="3"/>
  <c r="S492" i="3" s="1"/>
  <c r="T496" i="3"/>
  <c r="S496" i="3" s="1"/>
  <c r="T500" i="3"/>
  <c r="S500" i="3" s="1"/>
  <c r="T504" i="3"/>
  <c r="S504" i="3" s="1"/>
  <c r="T508" i="3"/>
  <c r="S508" i="3" s="1"/>
  <c r="T512" i="3"/>
  <c r="S512" i="3" s="1"/>
  <c r="T516" i="3"/>
  <c r="S516" i="3" s="1"/>
  <c r="T520" i="3"/>
  <c r="S520" i="3" s="1"/>
  <c r="T524" i="3"/>
  <c r="S524" i="3" s="1"/>
  <c r="T528" i="3"/>
  <c r="S528" i="3" s="1"/>
  <c r="T532" i="3"/>
  <c r="S532" i="3" s="1"/>
  <c r="T536" i="3"/>
  <c r="S536" i="3" s="1"/>
  <c r="T540" i="3"/>
  <c r="S540" i="3" s="1"/>
  <c r="T544" i="3"/>
  <c r="S544" i="3" s="1"/>
  <c r="T548" i="3"/>
  <c r="S548" i="3" s="1"/>
  <c r="T552" i="3"/>
  <c r="S552" i="3" s="1"/>
  <c r="T556" i="3"/>
  <c r="S556" i="3" s="1"/>
  <c r="T560" i="3"/>
  <c r="S560" i="3" s="1"/>
  <c r="T564" i="3"/>
  <c r="S564" i="3" s="1"/>
  <c r="T568" i="3"/>
  <c r="S568" i="3" s="1"/>
  <c r="T572" i="3"/>
  <c r="S572" i="3" s="1"/>
  <c r="T576" i="3"/>
  <c r="S576" i="3" s="1"/>
  <c r="T580" i="3"/>
  <c r="S580" i="3" s="1"/>
  <c r="T584" i="3"/>
  <c r="S584" i="3" s="1"/>
  <c r="T588" i="3"/>
  <c r="S588" i="3" s="1"/>
  <c r="T592" i="3"/>
  <c r="S592" i="3" s="1"/>
  <c r="T596" i="3"/>
  <c r="S596" i="3" s="1"/>
  <c r="T600" i="3"/>
  <c r="S600" i="3" s="1"/>
  <c r="T604" i="3"/>
  <c r="S604" i="3" s="1"/>
  <c r="T608" i="3"/>
  <c r="S608" i="3" s="1"/>
  <c r="T612" i="3"/>
  <c r="S612" i="3" s="1"/>
  <c r="T616" i="3"/>
  <c r="S616" i="3" s="1"/>
  <c r="T620" i="3"/>
  <c r="S620" i="3" s="1"/>
  <c r="T624" i="3"/>
  <c r="S624" i="3" s="1"/>
  <c r="T628" i="3"/>
  <c r="S628" i="3" s="1"/>
  <c r="T632" i="3"/>
  <c r="S632" i="3" s="1"/>
  <c r="T297" i="3"/>
  <c r="S297" i="3" s="1"/>
  <c r="T301" i="3"/>
  <c r="S301" i="3" s="1"/>
  <c r="T305" i="3"/>
  <c r="S305" i="3" s="1"/>
  <c r="T309" i="3"/>
  <c r="S309" i="3" s="1"/>
  <c r="T313" i="3"/>
  <c r="S313" i="3" s="1"/>
  <c r="T317" i="3"/>
  <c r="S317" i="3" s="1"/>
  <c r="T321" i="3"/>
  <c r="S321" i="3" s="1"/>
  <c r="T325" i="3"/>
  <c r="S325" i="3" s="1"/>
  <c r="T329" i="3"/>
  <c r="S329" i="3" s="1"/>
  <c r="T333" i="3"/>
  <c r="S333" i="3" s="1"/>
  <c r="T337" i="3"/>
  <c r="S337" i="3" s="1"/>
  <c r="T341" i="3"/>
  <c r="S341" i="3" s="1"/>
  <c r="T345" i="3"/>
  <c r="S345" i="3" s="1"/>
  <c r="T349" i="3"/>
  <c r="S349" i="3" s="1"/>
  <c r="T353" i="3"/>
  <c r="S353" i="3" s="1"/>
  <c r="T357" i="3"/>
  <c r="S357" i="3" s="1"/>
  <c r="T361" i="3"/>
  <c r="S361" i="3" s="1"/>
  <c r="T365" i="3"/>
  <c r="S365" i="3" s="1"/>
  <c r="T369" i="3"/>
  <c r="S369" i="3" s="1"/>
  <c r="T373" i="3"/>
  <c r="S373" i="3" s="1"/>
  <c r="T377" i="3"/>
  <c r="S377" i="3" s="1"/>
  <c r="T381" i="3"/>
  <c r="S381" i="3" s="1"/>
  <c r="T385" i="3"/>
  <c r="S385" i="3" s="1"/>
  <c r="T389" i="3"/>
  <c r="S389" i="3" s="1"/>
  <c r="T393" i="3"/>
  <c r="S393" i="3" s="1"/>
  <c r="T397" i="3"/>
  <c r="S397" i="3" s="1"/>
  <c r="T401" i="3"/>
  <c r="S401" i="3" s="1"/>
  <c r="T405" i="3"/>
  <c r="S405" i="3" s="1"/>
  <c r="T409" i="3"/>
  <c r="S409" i="3" s="1"/>
  <c r="T413" i="3"/>
  <c r="S413" i="3" s="1"/>
  <c r="T417" i="3"/>
  <c r="S417" i="3" s="1"/>
  <c r="T421" i="3"/>
  <c r="S421" i="3" s="1"/>
  <c r="T425" i="3"/>
  <c r="S425" i="3" s="1"/>
  <c r="T429" i="3"/>
  <c r="S429" i="3" s="1"/>
  <c r="T433" i="3"/>
  <c r="S433" i="3" s="1"/>
  <c r="T437" i="3"/>
  <c r="S437" i="3" s="1"/>
  <c r="T441" i="3"/>
  <c r="S441" i="3" s="1"/>
  <c r="T445" i="3"/>
  <c r="S445" i="3" s="1"/>
  <c r="T449" i="3"/>
  <c r="S449" i="3" s="1"/>
  <c r="T453" i="3"/>
  <c r="S453" i="3" s="1"/>
  <c r="T457" i="3"/>
  <c r="S457" i="3" s="1"/>
  <c r="T461" i="3"/>
  <c r="S461" i="3" s="1"/>
  <c r="T465" i="3"/>
  <c r="S465" i="3" s="1"/>
  <c r="T469" i="3"/>
  <c r="S469" i="3" s="1"/>
  <c r="T473" i="3"/>
  <c r="S473" i="3" s="1"/>
  <c r="T477" i="3"/>
  <c r="S477" i="3" s="1"/>
  <c r="T481" i="3"/>
  <c r="S481" i="3" s="1"/>
  <c r="T485" i="3"/>
  <c r="S485" i="3" s="1"/>
  <c r="T489" i="3"/>
  <c r="S489" i="3" s="1"/>
  <c r="T493" i="3"/>
  <c r="S493" i="3" s="1"/>
  <c r="T497" i="3"/>
  <c r="S497" i="3" s="1"/>
  <c r="T501" i="3"/>
  <c r="S501" i="3" s="1"/>
  <c r="T505" i="3"/>
  <c r="S505" i="3" s="1"/>
  <c r="T509" i="3"/>
  <c r="S509" i="3" s="1"/>
  <c r="T513" i="3"/>
  <c r="S513" i="3" s="1"/>
  <c r="T517" i="3"/>
  <c r="S517" i="3" s="1"/>
  <c r="T521" i="3"/>
  <c r="S521" i="3" s="1"/>
  <c r="T525" i="3"/>
  <c r="S525" i="3" s="1"/>
  <c r="T529" i="3"/>
  <c r="S529" i="3" s="1"/>
  <c r="T533" i="3"/>
  <c r="S533" i="3" s="1"/>
  <c r="T537" i="3"/>
  <c r="S537" i="3" s="1"/>
  <c r="T541" i="3"/>
  <c r="S541" i="3" s="1"/>
  <c r="T545" i="3"/>
  <c r="S545" i="3" s="1"/>
  <c r="T549" i="3"/>
  <c r="S549" i="3" s="1"/>
  <c r="T553" i="3"/>
  <c r="S553" i="3" s="1"/>
  <c r="T557" i="3"/>
  <c r="S557" i="3" s="1"/>
  <c r="T561" i="3"/>
  <c r="S561" i="3" s="1"/>
  <c r="T565" i="3"/>
  <c r="S565" i="3" s="1"/>
  <c r="T569" i="3"/>
  <c r="S569" i="3" s="1"/>
  <c r="T573" i="3"/>
  <c r="S573" i="3" s="1"/>
  <c r="T577" i="3"/>
  <c r="S577" i="3" s="1"/>
  <c r="T581" i="3"/>
  <c r="S581" i="3" s="1"/>
  <c r="T585" i="3"/>
  <c r="S585" i="3" s="1"/>
  <c r="T589" i="3"/>
  <c r="S589" i="3" s="1"/>
  <c r="T593" i="3"/>
  <c r="S593" i="3" s="1"/>
  <c r="T597" i="3"/>
  <c r="S597" i="3" s="1"/>
  <c r="T601" i="3"/>
  <c r="S601" i="3" s="1"/>
  <c r="T605" i="3"/>
  <c r="S605" i="3" s="1"/>
  <c r="T609" i="3"/>
  <c r="S609" i="3" s="1"/>
  <c r="T613" i="3"/>
  <c r="S613" i="3" s="1"/>
  <c r="T617" i="3"/>
  <c r="S617" i="3" s="1"/>
  <c r="T621" i="3"/>
  <c r="S621" i="3" s="1"/>
  <c r="T625" i="3"/>
  <c r="S625" i="3" s="1"/>
  <c r="T629" i="3"/>
  <c r="S629" i="3" s="1"/>
  <c r="T633" i="3"/>
  <c r="S633" i="3" s="1"/>
  <c r="Z538" i="3" l="1"/>
  <c r="Y538" i="3" s="1"/>
  <c r="AJ2" i="3"/>
  <c r="G9" i="16" s="1"/>
  <c r="G8" i="16"/>
  <c r="AE572" i="3"/>
  <c r="AM572" i="3" s="1"/>
  <c r="AE588" i="3"/>
  <c r="AM588" i="3" s="1"/>
  <c r="AE620" i="3"/>
  <c r="AM620" i="3" s="1"/>
  <c r="AE536" i="3"/>
  <c r="AM536" i="3" s="1"/>
  <c r="AE568" i="3"/>
  <c r="AM568" i="3" s="1"/>
  <c r="AE552" i="3"/>
  <c r="AM552" i="3" s="1"/>
  <c r="AE378" i="3"/>
  <c r="AM378" i="3" s="1"/>
  <c r="AE311" i="3"/>
  <c r="AM311" i="3" s="1"/>
  <c r="AE386" i="3"/>
  <c r="AM386" i="3" s="1"/>
  <c r="AE479" i="3"/>
  <c r="AM479" i="3" s="1"/>
  <c r="AE442" i="3"/>
  <c r="AM442" i="3" s="1"/>
  <c r="AE584" i="3"/>
  <c r="AM584" i="3" s="1"/>
  <c r="AE604" i="3"/>
  <c r="AM604" i="3" s="1"/>
  <c r="AE90" i="3"/>
  <c r="AM90" i="3" s="1"/>
  <c r="AE98" i="3"/>
  <c r="AM98" i="3" s="1"/>
  <c r="AE142" i="3"/>
  <c r="AM142" i="3" s="1"/>
  <c r="AE162" i="3"/>
  <c r="AM162" i="3" s="1"/>
  <c r="AE170" i="3"/>
  <c r="AM170" i="3" s="1"/>
  <c r="AE218" i="3"/>
  <c r="AM218" i="3" s="1"/>
  <c r="AE242" i="3"/>
  <c r="AM242" i="3" s="1"/>
  <c r="AE258" i="3"/>
  <c r="AM258" i="3" s="1"/>
  <c r="AE47" i="3"/>
  <c r="AM47" i="3" s="1"/>
  <c r="AE8" i="3"/>
  <c r="AM8" i="3" s="1"/>
  <c r="AE32" i="3"/>
  <c r="AM32" i="3" s="1"/>
  <c r="AE240" i="3"/>
  <c r="AM240" i="3" s="1"/>
  <c r="AE328" i="3"/>
  <c r="AM328" i="3" s="1"/>
  <c r="AE336" i="3"/>
  <c r="AM336" i="3" s="1"/>
  <c r="AE37" i="3"/>
  <c r="AM37" i="3" s="1"/>
  <c r="AE53" i="3"/>
  <c r="AM53" i="3" s="1"/>
  <c r="AE65" i="3"/>
  <c r="AM65" i="3" s="1"/>
  <c r="AE273" i="3"/>
  <c r="AM273" i="3" s="1"/>
  <c r="AE281" i="3"/>
  <c r="AM281" i="3" s="1"/>
  <c r="AE289" i="3"/>
  <c r="AM289" i="3" s="1"/>
  <c r="AE334" i="3"/>
  <c r="AM334" i="3" s="1"/>
  <c r="AE388" i="3"/>
  <c r="AM388" i="3" s="1"/>
  <c r="AE408" i="3"/>
  <c r="AM408" i="3" s="1"/>
  <c r="AE416" i="3"/>
  <c r="AM416" i="3" s="1"/>
  <c r="AE345" i="3"/>
  <c r="AM345" i="3" s="1"/>
  <c r="AE369" i="3"/>
  <c r="AM369" i="3" s="1"/>
  <c r="AE425" i="3"/>
  <c r="AM425" i="3" s="1"/>
  <c r="AE429" i="3"/>
  <c r="AM429" i="3" s="1"/>
  <c r="AE469" i="3"/>
  <c r="AM469" i="3" s="1"/>
  <c r="AE77" i="3"/>
  <c r="AM77" i="3" s="1"/>
  <c r="AE93" i="3"/>
  <c r="AM93" i="3" s="1"/>
  <c r="AE189" i="3"/>
  <c r="AM189" i="3" s="1"/>
  <c r="AE285" i="3"/>
  <c r="AM285" i="3" s="1"/>
  <c r="AE103" i="3"/>
  <c r="AM103" i="3" s="1"/>
  <c r="AE387" i="3"/>
  <c r="AM387" i="3" s="1"/>
  <c r="AE419" i="3"/>
  <c r="AM419" i="3" s="1"/>
  <c r="AE427" i="3"/>
  <c r="AM427" i="3" s="1"/>
  <c r="AE438" i="3"/>
  <c r="AM438" i="3" s="1"/>
  <c r="AE443" i="3"/>
  <c r="AM443" i="3" s="1"/>
  <c r="AE454" i="3"/>
  <c r="AM454" i="3" s="1"/>
  <c r="AE496" i="3"/>
  <c r="AM496" i="3" s="1"/>
  <c r="AE502" i="3"/>
  <c r="AM502" i="3" s="1"/>
  <c r="AE512" i="3"/>
  <c r="AM512" i="3" s="1"/>
  <c r="AE517" i="3"/>
  <c r="AM517" i="3" s="1"/>
  <c r="AE573" i="3"/>
  <c r="AM573" i="3" s="1"/>
  <c r="AE523" i="3"/>
  <c r="AM523" i="3" s="1"/>
  <c r="AE444" i="3"/>
  <c r="AM444" i="3" s="1"/>
  <c r="AE558" i="3"/>
  <c r="AM558" i="3" s="1"/>
  <c r="AE562" i="3"/>
  <c r="AM562" i="3" s="1"/>
  <c r="AE574" i="3"/>
  <c r="AM574" i="3" s="1"/>
  <c r="AE631" i="3"/>
  <c r="AM631" i="3" s="1"/>
  <c r="AE524" i="3"/>
  <c r="AM524" i="3" s="1"/>
  <c r="AE463" i="3"/>
  <c r="AM463" i="3" s="1"/>
  <c r="AE333" i="3"/>
  <c r="AM333" i="3" s="1"/>
  <c r="AE547" i="3"/>
  <c r="AM547" i="3" s="1"/>
  <c r="AE571" i="3"/>
  <c r="AM571" i="3" s="1"/>
  <c r="AE563" i="3"/>
  <c r="AM563" i="3" s="1"/>
  <c r="AE423" i="3"/>
  <c r="AM423" i="3" s="1"/>
  <c r="AE456" i="3"/>
  <c r="AM456" i="3" s="1"/>
  <c r="AE539" i="3"/>
  <c r="AM539" i="3" s="1"/>
  <c r="AE462" i="3"/>
  <c r="AM462" i="3" s="1"/>
  <c r="AE483" i="3"/>
  <c r="AM483" i="3" s="1"/>
  <c r="AE494" i="3"/>
  <c r="AM494" i="3" s="1"/>
  <c r="AE347" i="3"/>
  <c r="AM347" i="3" s="1"/>
  <c r="AE399" i="3"/>
  <c r="AM399" i="3" s="1"/>
  <c r="AE595" i="3"/>
  <c r="AM595" i="3" s="1"/>
  <c r="AE63" i="3"/>
  <c r="AM63" i="3" s="1"/>
  <c r="AE14" i="3"/>
  <c r="AM14" i="3" s="1"/>
  <c r="AE26" i="3"/>
  <c r="AM26" i="3" s="1"/>
  <c r="AE58" i="3"/>
  <c r="AM58" i="3" s="1"/>
  <c r="AE78" i="3"/>
  <c r="AM78" i="3" s="1"/>
  <c r="AE94" i="3"/>
  <c r="AM94" i="3" s="1"/>
  <c r="AE146" i="3"/>
  <c r="AM146" i="3" s="1"/>
  <c r="AE182" i="3"/>
  <c r="AM182" i="3" s="1"/>
  <c r="AE190" i="3"/>
  <c r="AM190" i="3" s="1"/>
  <c r="AE246" i="3"/>
  <c r="AM246" i="3" s="1"/>
  <c r="AE270" i="3"/>
  <c r="AM270" i="3" s="1"/>
  <c r="AE11" i="3"/>
  <c r="AM11" i="3" s="1"/>
  <c r="AE27" i="3"/>
  <c r="AM27" i="3" s="1"/>
  <c r="AE16" i="3"/>
  <c r="AM16" i="3" s="1"/>
  <c r="AE20" i="3"/>
  <c r="AM20" i="3" s="1"/>
  <c r="AE132" i="3"/>
  <c r="AM132" i="3" s="1"/>
  <c r="AE164" i="3"/>
  <c r="AM164" i="3" s="1"/>
  <c r="AE216" i="3"/>
  <c r="AM216" i="3" s="1"/>
  <c r="AE264" i="3"/>
  <c r="AM264" i="3" s="1"/>
  <c r="AE272" i="3"/>
  <c r="AM272" i="3" s="1"/>
  <c r="AE304" i="3"/>
  <c r="AM304" i="3" s="1"/>
  <c r="AE73" i="3"/>
  <c r="AM73" i="3" s="1"/>
  <c r="AE233" i="3"/>
  <c r="AM233" i="3" s="1"/>
  <c r="AE313" i="3"/>
  <c r="AM313" i="3" s="1"/>
  <c r="AE339" i="3"/>
  <c r="AM339" i="3" s="1"/>
  <c r="AE356" i="3"/>
  <c r="AM356" i="3" s="1"/>
  <c r="AE57" i="3"/>
  <c r="AM57" i="3" s="1"/>
  <c r="AE67" i="3"/>
  <c r="AM67" i="3" s="1"/>
  <c r="AE227" i="3"/>
  <c r="AM227" i="3" s="1"/>
  <c r="AE319" i="3"/>
  <c r="AM319" i="3" s="1"/>
  <c r="AE325" i="3"/>
  <c r="AM325" i="3" s="1"/>
  <c r="AE330" i="3"/>
  <c r="AM330" i="3" s="1"/>
  <c r="AE381" i="3"/>
  <c r="AM381" i="3" s="1"/>
  <c r="AE477" i="3"/>
  <c r="AM477" i="3" s="1"/>
  <c r="AE501" i="3"/>
  <c r="AM501" i="3" s="1"/>
  <c r="AE117" i="3"/>
  <c r="AM117" i="3" s="1"/>
  <c r="AE125" i="3"/>
  <c r="AM125" i="3" s="1"/>
  <c r="AE197" i="3"/>
  <c r="AM197" i="3" s="1"/>
  <c r="AE221" i="3"/>
  <c r="AM221" i="3" s="1"/>
  <c r="AE261" i="3"/>
  <c r="AM261" i="3" s="1"/>
  <c r="AE277" i="3"/>
  <c r="AM277" i="3" s="1"/>
  <c r="AE293" i="3"/>
  <c r="AM293" i="3" s="1"/>
  <c r="AE326" i="3"/>
  <c r="AM326" i="3" s="1"/>
  <c r="AE358" i="3"/>
  <c r="AM358" i="3" s="1"/>
  <c r="AE486" i="3"/>
  <c r="AM486" i="3" s="1"/>
  <c r="AE537" i="3"/>
  <c r="AM537" i="3" s="1"/>
  <c r="AE553" i="3"/>
  <c r="AM553" i="3" s="1"/>
  <c r="AE601" i="3"/>
  <c r="AM601" i="3" s="1"/>
  <c r="AE587" i="3"/>
  <c r="AM587" i="3" s="1"/>
  <c r="AE79" i="3"/>
  <c r="AM79" i="3" s="1"/>
  <c r="AE359" i="3"/>
  <c r="AM359" i="3" s="1"/>
  <c r="AE406" i="3"/>
  <c r="AM406" i="3" s="1"/>
  <c r="AE498" i="3"/>
  <c r="AM498" i="3" s="1"/>
  <c r="AE551" i="3"/>
  <c r="AM551" i="3" s="1"/>
  <c r="AE583" i="3"/>
  <c r="AM583" i="3" s="1"/>
  <c r="AE607" i="3"/>
  <c r="AM607" i="3" s="1"/>
  <c r="AE623" i="3"/>
  <c r="AM623" i="3" s="1"/>
  <c r="AE10" i="3"/>
  <c r="AM10" i="3" s="1"/>
  <c r="AE50" i="3"/>
  <c r="AM50" i="3" s="1"/>
  <c r="AE186" i="3"/>
  <c r="AM186" i="3" s="1"/>
  <c r="AE234" i="3"/>
  <c r="AM234" i="3" s="1"/>
  <c r="AE262" i="3"/>
  <c r="AM262" i="3" s="1"/>
  <c r="AE266" i="3"/>
  <c r="AM266" i="3" s="1"/>
  <c r="AE3" i="3"/>
  <c r="AM3" i="3" s="1"/>
  <c r="AE24" i="3"/>
  <c r="AM24" i="3" s="1"/>
  <c r="AE40" i="3"/>
  <c r="AM40" i="3" s="1"/>
  <c r="AE48" i="3"/>
  <c r="AM48" i="3" s="1"/>
  <c r="AE292" i="3"/>
  <c r="AM292" i="3" s="1"/>
  <c r="AE308" i="3"/>
  <c r="AM308" i="3" s="1"/>
  <c r="AE340" i="3"/>
  <c r="AM340" i="3" s="1"/>
  <c r="AE5" i="3"/>
  <c r="AM5" i="3" s="1"/>
  <c r="AE185" i="3"/>
  <c r="AM185" i="3" s="1"/>
  <c r="AE364" i="3"/>
  <c r="AM364" i="3" s="1"/>
  <c r="AE424" i="3"/>
  <c r="AM424" i="3" s="1"/>
  <c r="AE9" i="3"/>
  <c r="AM9" i="3" s="1"/>
  <c r="AE99" i="3"/>
  <c r="AM99" i="3" s="1"/>
  <c r="AE211" i="3"/>
  <c r="AM211" i="3" s="1"/>
  <c r="AE349" i="3"/>
  <c r="AM349" i="3" s="1"/>
  <c r="AE389" i="3"/>
  <c r="AM389" i="3" s="1"/>
  <c r="AE409" i="3"/>
  <c r="AM409" i="3" s="1"/>
  <c r="AE133" i="3"/>
  <c r="AM133" i="3" s="1"/>
  <c r="AE269" i="3"/>
  <c r="AM269" i="3" s="1"/>
  <c r="AE350" i="3"/>
  <c r="AM350" i="3" s="1"/>
  <c r="AE354" i="3"/>
  <c r="AM354" i="3" s="1"/>
  <c r="AE507" i="3"/>
  <c r="AM507" i="3" s="1"/>
  <c r="AE521" i="3"/>
  <c r="AM521" i="3" s="1"/>
  <c r="AE545" i="3"/>
  <c r="AM545" i="3" s="1"/>
  <c r="AE569" i="3"/>
  <c r="AM569" i="3" s="1"/>
  <c r="AE589" i="3"/>
  <c r="AM589" i="3" s="1"/>
  <c r="AE435" i="3"/>
  <c r="AM435" i="3" s="1"/>
  <c r="AE451" i="3"/>
  <c r="AM451" i="3" s="1"/>
  <c r="AE519" i="3"/>
  <c r="AM519" i="3" s="1"/>
  <c r="AE374" i="3"/>
  <c r="AM374" i="3" s="1"/>
  <c r="AE428" i="3"/>
  <c r="AM428" i="3" s="1"/>
  <c r="AE492" i="3"/>
  <c r="AM492" i="3" s="1"/>
  <c r="AE618" i="3"/>
  <c r="AM618" i="3" s="1"/>
  <c r="AE247" i="3"/>
  <c r="AM247" i="3" s="1"/>
  <c r="AE415" i="3"/>
  <c r="AM415" i="3" s="1"/>
  <c r="AE95" i="3"/>
  <c r="AM95" i="3" s="1"/>
  <c r="AE628" i="3"/>
  <c r="AM628" i="3" s="1"/>
  <c r="AE616" i="3"/>
  <c r="AM616" i="3" s="1"/>
  <c r="AE520" i="3"/>
  <c r="AM520" i="3" s="1"/>
  <c r="AE500" i="3"/>
  <c r="AM500" i="3" s="1"/>
  <c r="AE458" i="3"/>
  <c r="AM458" i="3" s="1"/>
  <c r="AE436" i="3"/>
  <c r="AM436" i="3" s="1"/>
  <c r="AE410" i="3"/>
  <c r="AM410" i="3" s="1"/>
  <c r="AE191" i="3"/>
  <c r="AM191" i="3" s="1"/>
  <c r="AE535" i="3"/>
  <c r="AM535" i="3" s="1"/>
  <c r="AE599" i="3"/>
  <c r="AM599" i="3" s="1"/>
  <c r="AE611" i="3"/>
  <c r="AM611" i="3" s="1"/>
  <c r="AE531" i="3"/>
  <c r="AM531" i="3" s="1"/>
  <c r="AE87" i="3"/>
  <c r="AM87" i="3" s="1"/>
  <c r="AE327" i="3"/>
  <c r="AM327" i="3" s="1"/>
  <c r="AE391" i="3"/>
  <c r="AM391" i="3" s="1"/>
  <c r="AE38" i="3"/>
  <c r="AM38" i="3" s="1"/>
  <c r="AE42" i="3"/>
  <c r="AM42" i="3" s="1"/>
  <c r="AE274" i="3"/>
  <c r="AM274" i="3" s="1"/>
  <c r="AE286" i="3"/>
  <c r="AM286" i="3" s="1"/>
  <c r="AE59" i="3"/>
  <c r="AM59" i="3" s="1"/>
  <c r="AE12" i="3"/>
  <c r="AM12" i="3" s="1"/>
  <c r="AE56" i="3"/>
  <c r="AM56" i="3" s="1"/>
  <c r="AE72" i="3"/>
  <c r="AM72" i="3" s="1"/>
  <c r="AE128" i="3"/>
  <c r="AM128" i="3" s="1"/>
  <c r="AE160" i="3"/>
  <c r="AM160" i="3" s="1"/>
  <c r="AE200" i="3"/>
  <c r="AM200" i="3" s="1"/>
  <c r="AE260" i="3"/>
  <c r="AM260" i="3" s="1"/>
  <c r="AE288" i="3"/>
  <c r="AM288" i="3" s="1"/>
  <c r="AE201" i="3"/>
  <c r="AM201" i="3" s="1"/>
  <c r="AE249" i="3"/>
  <c r="AM249" i="3" s="1"/>
  <c r="AE257" i="3"/>
  <c r="AM257" i="3" s="1"/>
  <c r="AE297" i="3"/>
  <c r="AM297" i="3" s="1"/>
  <c r="AE179" i="3"/>
  <c r="AM179" i="3" s="1"/>
  <c r="AE219" i="3"/>
  <c r="AM219" i="3" s="1"/>
  <c r="AE353" i="3"/>
  <c r="AM353" i="3" s="1"/>
  <c r="AE421" i="3"/>
  <c r="AM421" i="3" s="1"/>
  <c r="AE445" i="3"/>
  <c r="AM445" i="3" s="1"/>
  <c r="AE481" i="3"/>
  <c r="AM481" i="3" s="1"/>
  <c r="AE485" i="3"/>
  <c r="AM485" i="3" s="1"/>
  <c r="AE45" i="3"/>
  <c r="AM45" i="3" s="1"/>
  <c r="AE101" i="3"/>
  <c r="AM101" i="3" s="1"/>
  <c r="AE149" i="3"/>
  <c r="AM149" i="3" s="1"/>
  <c r="AE245" i="3"/>
  <c r="AM245" i="3" s="1"/>
  <c r="AE167" i="3"/>
  <c r="AM167" i="3" s="1"/>
  <c r="AE263" i="3"/>
  <c r="AM263" i="3" s="1"/>
  <c r="AE432" i="3"/>
  <c r="AM432" i="3" s="1"/>
  <c r="AE464" i="3"/>
  <c r="AM464" i="3" s="1"/>
  <c r="AE470" i="3"/>
  <c r="AM470" i="3" s="1"/>
  <c r="AE533" i="3"/>
  <c r="AM533" i="3" s="1"/>
  <c r="AE143" i="3"/>
  <c r="AM143" i="3" s="1"/>
  <c r="AE207" i="3"/>
  <c r="AM207" i="3" s="1"/>
  <c r="AE322" i="3"/>
  <c r="AM322" i="3" s="1"/>
  <c r="AE398" i="3"/>
  <c r="AM398" i="3" s="1"/>
  <c r="AE414" i="3"/>
  <c r="AM414" i="3" s="1"/>
  <c r="AE460" i="3"/>
  <c r="AM460" i="3" s="1"/>
  <c r="AE471" i="3"/>
  <c r="AM471" i="3" s="1"/>
  <c r="AE542" i="3"/>
  <c r="AM542" i="3" s="1"/>
  <c r="AE546" i="3"/>
  <c r="AM546" i="3" s="1"/>
  <c r="AE550" i="3"/>
  <c r="AM550" i="3" s="1"/>
  <c r="AE119" i="3"/>
  <c r="AM119" i="3" s="1"/>
  <c r="AE555" i="3"/>
  <c r="AM555" i="3" s="1"/>
  <c r="AE279" i="3"/>
  <c r="AM279" i="3" s="1"/>
  <c r="AE515" i="3"/>
  <c r="AM515" i="3" s="1"/>
  <c r="AE472" i="3"/>
  <c r="AM472" i="3" s="1"/>
  <c r="AE615" i="3"/>
  <c r="AM615" i="3" s="1"/>
  <c r="AE467" i="3"/>
  <c r="AM467" i="3" s="1"/>
  <c r="AE543" i="3"/>
  <c r="AM543" i="3" s="1"/>
  <c r="AE215" i="3"/>
  <c r="AM215" i="3" s="1"/>
  <c r="AE306" i="3"/>
  <c r="AM306" i="3" s="1"/>
  <c r="AE527" i="3"/>
  <c r="AM527" i="3" s="1"/>
  <c r="AE556" i="3"/>
  <c r="AM556" i="3" s="1"/>
  <c r="AE506" i="3"/>
  <c r="AM506" i="3" s="1"/>
  <c r="AE418" i="3"/>
  <c r="AM418" i="3" s="1"/>
  <c r="AE223" i="3"/>
  <c r="AM223" i="3" s="1"/>
  <c r="AE619" i="3"/>
  <c r="AM619" i="3" s="1"/>
  <c r="AE49" i="3"/>
  <c r="AM49" i="3" s="1"/>
  <c r="AE363" i="3"/>
  <c r="AM363" i="3" s="1"/>
  <c r="AE375" i="3"/>
  <c r="AM375" i="3" s="1"/>
  <c r="AE478" i="3"/>
  <c r="AM478" i="3" s="1"/>
  <c r="AE499" i="3"/>
  <c r="AM499" i="3" s="1"/>
  <c r="AE567" i="3"/>
  <c r="AM567" i="3" s="1"/>
  <c r="AE102" i="3"/>
  <c r="AM102" i="3" s="1"/>
  <c r="AE106" i="3"/>
  <c r="AM106" i="3" s="1"/>
  <c r="AE138" i="3"/>
  <c r="AM138" i="3" s="1"/>
  <c r="AE166" i="3"/>
  <c r="AM166" i="3" s="1"/>
  <c r="AE214" i="3"/>
  <c r="AM214" i="3" s="1"/>
  <c r="AE23" i="3"/>
  <c r="AM23" i="3" s="1"/>
  <c r="AE39" i="3"/>
  <c r="AM39" i="3" s="1"/>
  <c r="AE88" i="3"/>
  <c r="AM88" i="3" s="1"/>
  <c r="AE100" i="3"/>
  <c r="AM100" i="3" s="1"/>
  <c r="AE112" i="3"/>
  <c r="AM112" i="3" s="1"/>
  <c r="AE120" i="3"/>
  <c r="AM120" i="3" s="1"/>
  <c r="AE168" i="3"/>
  <c r="AM168" i="3" s="1"/>
  <c r="AE192" i="3"/>
  <c r="AM192" i="3" s="1"/>
  <c r="AE220" i="3"/>
  <c r="AM220" i="3" s="1"/>
  <c r="AE232" i="3"/>
  <c r="AM232" i="3" s="1"/>
  <c r="AE161" i="3"/>
  <c r="AM161" i="3" s="1"/>
  <c r="AE360" i="3"/>
  <c r="AM360" i="3" s="1"/>
  <c r="AE420" i="3"/>
  <c r="AM420" i="3" s="1"/>
  <c r="AE75" i="3"/>
  <c r="AM75" i="3" s="1"/>
  <c r="AE163" i="3"/>
  <c r="AM163" i="3" s="1"/>
  <c r="AE195" i="3"/>
  <c r="AM195" i="3" s="1"/>
  <c r="AE243" i="3"/>
  <c r="AM243" i="3" s="1"/>
  <c r="AE303" i="3"/>
  <c r="AM303" i="3" s="1"/>
  <c r="AE365" i="3"/>
  <c r="AM365" i="3" s="1"/>
  <c r="AE377" i="3"/>
  <c r="AM377" i="3" s="1"/>
  <c r="AE433" i="3"/>
  <c r="AM433" i="3" s="1"/>
  <c r="AE505" i="3"/>
  <c r="AM505" i="3" s="1"/>
  <c r="AE509" i="3"/>
  <c r="AM509" i="3" s="1"/>
  <c r="AE141" i="3"/>
  <c r="AM141" i="3" s="1"/>
  <c r="AE181" i="3"/>
  <c r="AM181" i="3" s="1"/>
  <c r="AE71" i="3"/>
  <c r="AM71" i="3" s="1"/>
  <c r="AE135" i="3"/>
  <c r="AM135" i="3" s="1"/>
  <c r="AE338" i="3"/>
  <c r="AM338" i="3" s="1"/>
  <c r="AE411" i="3"/>
  <c r="AM411" i="3" s="1"/>
  <c r="AE459" i="3"/>
  <c r="AM459" i="3" s="1"/>
  <c r="AE529" i="3"/>
  <c r="AM529" i="3" s="1"/>
  <c r="AE629" i="3"/>
  <c r="AM629" i="3" s="1"/>
  <c r="AE504" i="3"/>
  <c r="AM504" i="3" s="1"/>
  <c r="AE390" i="3"/>
  <c r="AM390" i="3" s="1"/>
  <c r="AE626" i="3"/>
  <c r="AM626" i="3" s="1"/>
  <c r="AE183" i="3"/>
  <c r="AM183" i="3" s="1"/>
  <c r="AE407" i="3"/>
  <c r="AM407" i="3" s="1"/>
  <c r="AE18" i="3"/>
  <c r="AM18" i="3" s="1"/>
  <c r="AE62" i="3"/>
  <c r="AM62" i="3" s="1"/>
  <c r="AE150" i="3"/>
  <c r="AM150" i="3" s="1"/>
  <c r="AE158" i="3"/>
  <c r="AM158" i="3" s="1"/>
  <c r="AE15" i="3"/>
  <c r="AM15" i="3" s="1"/>
  <c r="AE31" i="3"/>
  <c r="AM31" i="3" s="1"/>
  <c r="AE51" i="3"/>
  <c r="AM51" i="3" s="1"/>
  <c r="AE55" i="3"/>
  <c r="AM55" i="3" s="1"/>
  <c r="AE28" i="3"/>
  <c r="AM28" i="3" s="1"/>
  <c r="AE60" i="3"/>
  <c r="AM60" i="3" s="1"/>
  <c r="AE64" i="3"/>
  <c r="AM64" i="3" s="1"/>
  <c r="AE84" i="3"/>
  <c r="AM84" i="3" s="1"/>
  <c r="AE140" i="3"/>
  <c r="AM140" i="3" s="1"/>
  <c r="AE188" i="3"/>
  <c r="AM188" i="3" s="1"/>
  <c r="AE276" i="3"/>
  <c r="AM276" i="3" s="1"/>
  <c r="AE324" i="3"/>
  <c r="AM324" i="3" s="1"/>
  <c r="AE81" i="3"/>
  <c r="AM81" i="3" s="1"/>
  <c r="AE137" i="3"/>
  <c r="AM137" i="3" s="1"/>
  <c r="AE169" i="3"/>
  <c r="AM169" i="3" s="1"/>
  <c r="AE307" i="3"/>
  <c r="AM307" i="3" s="1"/>
  <c r="AE372" i="3"/>
  <c r="AM372" i="3" s="1"/>
  <c r="AE123" i="3"/>
  <c r="AM123" i="3" s="1"/>
  <c r="AE187" i="3"/>
  <c r="AM187" i="3" s="1"/>
  <c r="AE393" i="3"/>
  <c r="AM393" i="3" s="1"/>
  <c r="AE405" i="3"/>
  <c r="AM405" i="3" s="1"/>
  <c r="AE413" i="3"/>
  <c r="AM413" i="3" s="1"/>
  <c r="AE461" i="3"/>
  <c r="AM461" i="3" s="1"/>
  <c r="AE473" i="3"/>
  <c r="AM473" i="3" s="1"/>
  <c r="AE493" i="3"/>
  <c r="AM493" i="3" s="1"/>
  <c r="AE337" i="3"/>
  <c r="AM337" i="3" s="1"/>
  <c r="AE317" i="3"/>
  <c r="AM317" i="3" s="1"/>
  <c r="AE577" i="3"/>
  <c r="AM577" i="3" s="1"/>
  <c r="AE593" i="3"/>
  <c r="AM593" i="3" s="1"/>
  <c r="AE621" i="3"/>
  <c r="AM621" i="3" s="1"/>
  <c r="AE488" i="3"/>
  <c r="AM488" i="3" s="1"/>
  <c r="AE271" i="3"/>
  <c r="AM271" i="3" s="1"/>
  <c r="AE301" i="3"/>
  <c r="AM301" i="3" s="1"/>
  <c r="AE476" i="3"/>
  <c r="AM476" i="3" s="1"/>
  <c r="AE487" i="3"/>
  <c r="AM487" i="3" s="1"/>
  <c r="AE522" i="3"/>
  <c r="AM522" i="3" s="1"/>
  <c r="AE534" i="3"/>
  <c r="AM534" i="3" s="1"/>
  <c r="AE538" i="3"/>
  <c r="AM538" i="3" s="1"/>
  <c r="AE570" i="3"/>
  <c r="AM570" i="3" s="1"/>
  <c r="AE430" i="3"/>
  <c r="AM430" i="3" s="1"/>
  <c r="AE510" i="3"/>
  <c r="AM510" i="3" s="1"/>
  <c r="AE591" i="3"/>
  <c r="AM591" i="3" s="1"/>
  <c r="AE440" i="3"/>
  <c r="AM440" i="3" s="1"/>
  <c r="AE46" i="3"/>
  <c r="AM46" i="3" s="1"/>
  <c r="AE118" i="3"/>
  <c r="AM118" i="3" s="1"/>
  <c r="AE126" i="3"/>
  <c r="AM126" i="3" s="1"/>
  <c r="AE254" i="3"/>
  <c r="AM254" i="3" s="1"/>
  <c r="AE7" i="3"/>
  <c r="AM7" i="3" s="1"/>
  <c r="AE52" i="3"/>
  <c r="AM52" i="3" s="1"/>
  <c r="AE152" i="3"/>
  <c r="AM152" i="3" s="1"/>
  <c r="AE180" i="3"/>
  <c r="AM180" i="3" s="1"/>
  <c r="AE248" i="3"/>
  <c r="AM248" i="3" s="1"/>
  <c r="AE105" i="3"/>
  <c r="AM105" i="3" s="1"/>
  <c r="AE121" i="3"/>
  <c r="AM121" i="3" s="1"/>
  <c r="AE145" i="3"/>
  <c r="AM145" i="3" s="1"/>
  <c r="AE302" i="3"/>
  <c r="AM302" i="3" s="1"/>
  <c r="AE348" i="3"/>
  <c r="AM348" i="3" s="1"/>
  <c r="AE404" i="3"/>
  <c r="AM404" i="3" s="1"/>
  <c r="AE83" i="3"/>
  <c r="AM83" i="3" s="1"/>
  <c r="AE267" i="3"/>
  <c r="AM267" i="3" s="1"/>
  <c r="AE275" i="3"/>
  <c r="AM275" i="3" s="1"/>
  <c r="AE298" i="3"/>
  <c r="AM298" i="3" s="1"/>
  <c r="AE314" i="3"/>
  <c r="AM314" i="3" s="1"/>
  <c r="AE417" i="3"/>
  <c r="AM417" i="3" s="1"/>
  <c r="AE457" i="3"/>
  <c r="AM457" i="3" s="1"/>
  <c r="AE489" i="3"/>
  <c r="AM489" i="3" s="1"/>
  <c r="AE213" i="3"/>
  <c r="AM213" i="3" s="1"/>
  <c r="AE253" i="3"/>
  <c r="AM253" i="3" s="1"/>
  <c r="AE331" i="3"/>
  <c r="AM331" i="3" s="1"/>
  <c r="AE371" i="3"/>
  <c r="AM371" i="3" s="1"/>
  <c r="AE549" i="3"/>
  <c r="AM549" i="3" s="1"/>
  <c r="AE565" i="3"/>
  <c r="AM565" i="3" s="1"/>
  <c r="AE151" i="3"/>
  <c r="AM151" i="3" s="1"/>
  <c r="AE559" i="3"/>
  <c r="AM559" i="3" s="1"/>
  <c r="AE575" i="3"/>
  <c r="AM575" i="3" s="1"/>
  <c r="AE33" i="3"/>
  <c r="AM33" i="3" s="1"/>
  <c r="AE239" i="3"/>
  <c r="AM239" i="3" s="1"/>
  <c r="AE450" i="3"/>
  <c r="AM450" i="3" s="1"/>
  <c r="AE578" i="3"/>
  <c r="AM578" i="3" s="1"/>
  <c r="AE598" i="3"/>
  <c r="AM598" i="3" s="1"/>
  <c r="AE630" i="3"/>
  <c r="AM630" i="3" s="1"/>
  <c r="AE446" i="3"/>
  <c r="AM446" i="3" s="1"/>
  <c r="AE579" i="3"/>
  <c r="AM579" i="3" s="1"/>
  <c r="AE603" i="3"/>
  <c r="AM603" i="3" s="1"/>
  <c r="AE383" i="3"/>
  <c r="AM383" i="3" s="1"/>
  <c r="AE600" i="3"/>
  <c r="AM600" i="3" s="1"/>
  <c r="AE627" i="3"/>
  <c r="AM627" i="3" s="1"/>
  <c r="AE612" i="3"/>
  <c r="AM612" i="3" s="1"/>
  <c r="AE596" i="3"/>
  <c r="AM596" i="3" s="1"/>
  <c r="AE580" i="3"/>
  <c r="AM580" i="3" s="1"/>
  <c r="AE564" i="3"/>
  <c r="AM564" i="3" s="1"/>
  <c r="AE548" i="3"/>
  <c r="AM548" i="3" s="1"/>
  <c r="AE532" i="3"/>
  <c r="AM532" i="3" s="1"/>
  <c r="AE516" i="3"/>
  <c r="AM516" i="3" s="1"/>
  <c r="AE495" i="3"/>
  <c r="AM495" i="3" s="1"/>
  <c r="AE474" i="3"/>
  <c r="AM474" i="3" s="1"/>
  <c r="AE452" i="3"/>
  <c r="AM452" i="3" s="1"/>
  <c r="AE431" i="3"/>
  <c r="AM431" i="3" s="1"/>
  <c r="AE402" i="3"/>
  <c r="AM402" i="3" s="1"/>
  <c r="AE367" i="3"/>
  <c r="AM367" i="3" s="1"/>
  <c r="AE287" i="3"/>
  <c r="AM287" i="3" s="1"/>
  <c r="AE159" i="3"/>
  <c r="AM159" i="3" s="1"/>
  <c r="AE540" i="3"/>
  <c r="AM540" i="3" s="1"/>
  <c r="AE484" i="3"/>
  <c r="AM484" i="3" s="1"/>
  <c r="AE343" i="3"/>
  <c r="AM343" i="3" s="1"/>
  <c r="AE382" i="3"/>
  <c r="AM382" i="3" s="1"/>
  <c r="AE632" i="3"/>
  <c r="AM632" i="3" s="1"/>
  <c r="AE624" i="3"/>
  <c r="AM624" i="3" s="1"/>
  <c r="AE608" i="3"/>
  <c r="AM608" i="3" s="1"/>
  <c r="AE592" i="3"/>
  <c r="AM592" i="3" s="1"/>
  <c r="AE576" i="3"/>
  <c r="AM576" i="3" s="1"/>
  <c r="AE560" i="3"/>
  <c r="AM560" i="3" s="1"/>
  <c r="AE544" i="3"/>
  <c r="AM544" i="3" s="1"/>
  <c r="AE528" i="3"/>
  <c r="AM528" i="3" s="1"/>
  <c r="AE511" i="3"/>
  <c r="AM511" i="3" s="1"/>
  <c r="AE490" i="3"/>
  <c r="AM490" i="3" s="1"/>
  <c r="AE468" i="3"/>
  <c r="AM468" i="3" s="1"/>
  <c r="AE447" i="3"/>
  <c r="AM447" i="3" s="1"/>
  <c r="AE426" i="3"/>
  <c r="AM426" i="3" s="1"/>
  <c r="AE394" i="3"/>
  <c r="AM394" i="3" s="1"/>
  <c r="AE351" i="3"/>
  <c r="AM351" i="3" s="1"/>
  <c r="AE255" i="3"/>
  <c r="AM255" i="3" s="1"/>
  <c r="AE127" i="3"/>
  <c r="AM127" i="3" s="1"/>
  <c r="AE34" i="3"/>
  <c r="AM34" i="3" s="1"/>
  <c r="AE66" i="3"/>
  <c r="AM66" i="3" s="1"/>
  <c r="AE70" i="3"/>
  <c r="AM70" i="3" s="1"/>
  <c r="AE74" i="3"/>
  <c r="AM74" i="3" s="1"/>
  <c r="AE82" i="3"/>
  <c r="AM82" i="3" s="1"/>
  <c r="AE114" i="3"/>
  <c r="AM114" i="3" s="1"/>
  <c r="AE290" i="3"/>
  <c r="AM290" i="3" s="1"/>
  <c r="AE43" i="3"/>
  <c r="AM43" i="3" s="1"/>
  <c r="AE36" i="3"/>
  <c r="AM36" i="3" s="1"/>
  <c r="AE76" i="3"/>
  <c r="AM76" i="3" s="1"/>
  <c r="AE176" i="3"/>
  <c r="AM176" i="3" s="1"/>
  <c r="AE212" i="3"/>
  <c r="AM212" i="3" s="1"/>
  <c r="AE224" i="3"/>
  <c r="AM224" i="3" s="1"/>
  <c r="AE236" i="3"/>
  <c r="AM236" i="3" s="1"/>
  <c r="AE280" i="3"/>
  <c r="AM280" i="3" s="1"/>
  <c r="AE316" i="3"/>
  <c r="AM316" i="3" s="1"/>
  <c r="AE153" i="3"/>
  <c r="AM153" i="3" s="1"/>
  <c r="AE225" i="3"/>
  <c r="AM225" i="3" s="1"/>
  <c r="AE265" i="3"/>
  <c r="AM265" i="3" s="1"/>
  <c r="AE380" i="3"/>
  <c r="AM380" i="3" s="1"/>
  <c r="AE392" i="3"/>
  <c r="AM392" i="3" s="1"/>
  <c r="AE400" i="3"/>
  <c r="AM400" i="3" s="1"/>
  <c r="AE107" i="3"/>
  <c r="AM107" i="3" s="1"/>
  <c r="AE147" i="3"/>
  <c r="AM147" i="3" s="1"/>
  <c r="AE291" i="3"/>
  <c r="AM291" i="3" s="1"/>
  <c r="AE341" i="3"/>
  <c r="AM341" i="3" s="1"/>
  <c r="AE361" i="3"/>
  <c r="AM361" i="3" s="1"/>
  <c r="AE401" i="3"/>
  <c r="AM401" i="3" s="1"/>
  <c r="AE449" i="3"/>
  <c r="AM449" i="3" s="1"/>
  <c r="AE465" i="3"/>
  <c r="AM465" i="3" s="1"/>
  <c r="AE6" i="3"/>
  <c r="AM6" i="3" s="1"/>
  <c r="AE110" i="3"/>
  <c r="AM110" i="3" s="1"/>
  <c r="AE154" i="3"/>
  <c r="AM154" i="3" s="1"/>
  <c r="AE198" i="3"/>
  <c r="AM198" i="3" s="1"/>
  <c r="AE19" i="3"/>
  <c r="AM19" i="3" s="1"/>
  <c r="AE92" i="3"/>
  <c r="AM92" i="3" s="1"/>
  <c r="AE116" i="3"/>
  <c r="AM116" i="3" s="1"/>
  <c r="AE172" i="3"/>
  <c r="AM172" i="3" s="1"/>
  <c r="AE184" i="3"/>
  <c r="AM184" i="3" s="1"/>
  <c r="AE228" i="3"/>
  <c r="AM228" i="3" s="1"/>
  <c r="AE244" i="3"/>
  <c r="AM244" i="3" s="1"/>
  <c r="AE256" i="3"/>
  <c r="AM256" i="3" s="1"/>
  <c r="AE296" i="3"/>
  <c r="AM296" i="3" s="1"/>
  <c r="AE217" i="3"/>
  <c r="AM217" i="3" s="1"/>
  <c r="AE318" i="3"/>
  <c r="AM318" i="3" s="1"/>
  <c r="AE412" i="3"/>
  <c r="AM412" i="3" s="1"/>
  <c r="AE91" i="3"/>
  <c r="AM91" i="3" s="1"/>
  <c r="AE235" i="3"/>
  <c r="AM235" i="3" s="1"/>
  <c r="AE251" i="3"/>
  <c r="AM251" i="3" s="1"/>
  <c r="AE283" i="3"/>
  <c r="AM283" i="3" s="1"/>
  <c r="AE397" i="3"/>
  <c r="AM397" i="3" s="1"/>
  <c r="AE13" i="3"/>
  <c r="AM13" i="3" s="1"/>
  <c r="AE69" i="3"/>
  <c r="AM69" i="3" s="1"/>
  <c r="AE157" i="3"/>
  <c r="AM157" i="3" s="1"/>
  <c r="AE165" i="3"/>
  <c r="AM165" i="3" s="1"/>
  <c r="AE173" i="3"/>
  <c r="AM173" i="3" s="1"/>
  <c r="AE237" i="3"/>
  <c r="AM237" i="3" s="1"/>
  <c r="AE310" i="3"/>
  <c r="AM310" i="3" s="1"/>
  <c r="AE346" i="3"/>
  <c r="AM346" i="3" s="1"/>
  <c r="AE2" i="3"/>
  <c r="AM2" i="3" s="1"/>
  <c r="AE22" i="3"/>
  <c r="AM22" i="3" s="1"/>
  <c r="AE30" i="3"/>
  <c r="AM30" i="3" s="1"/>
  <c r="AE54" i="3"/>
  <c r="AM54" i="3" s="1"/>
  <c r="AE210" i="3"/>
  <c r="AM210" i="3" s="1"/>
  <c r="AE222" i="3"/>
  <c r="AM222" i="3" s="1"/>
  <c r="AE238" i="3"/>
  <c r="AM238" i="3" s="1"/>
  <c r="AE250" i="3"/>
  <c r="AM250" i="3" s="1"/>
  <c r="AE4" i="3"/>
  <c r="AM4" i="3" s="1"/>
  <c r="AE44" i="3"/>
  <c r="AM44" i="3" s="1"/>
  <c r="AE96" i="3"/>
  <c r="AM96" i="3" s="1"/>
  <c r="AE104" i="3"/>
  <c r="AM104" i="3" s="1"/>
  <c r="AE108" i="3"/>
  <c r="AM108" i="3" s="1"/>
  <c r="AE124" i="3"/>
  <c r="AM124" i="3" s="1"/>
  <c r="AE148" i="3"/>
  <c r="AM148" i="3" s="1"/>
  <c r="AE156" i="3"/>
  <c r="AM156" i="3" s="1"/>
  <c r="AE284" i="3"/>
  <c r="AM284" i="3" s="1"/>
  <c r="AE89" i="3"/>
  <c r="AM89" i="3" s="1"/>
  <c r="AE209" i="3"/>
  <c r="AM209" i="3" s="1"/>
  <c r="AE329" i="3"/>
  <c r="AM329" i="3" s="1"/>
  <c r="AE344" i="3"/>
  <c r="AM344" i="3" s="1"/>
  <c r="AE368" i="3"/>
  <c r="AM368" i="3" s="1"/>
  <c r="AE139" i="3"/>
  <c r="AM139" i="3" s="1"/>
  <c r="AE155" i="3"/>
  <c r="AM155" i="3" s="1"/>
  <c r="AE437" i="3"/>
  <c r="AM437" i="3" s="1"/>
  <c r="AE441" i="3"/>
  <c r="AM441" i="3" s="1"/>
  <c r="AE29" i="3"/>
  <c r="AM29" i="3" s="1"/>
  <c r="AE61" i="3"/>
  <c r="AM61" i="3" s="1"/>
  <c r="AE205" i="3"/>
  <c r="AM205" i="3" s="1"/>
  <c r="AE321" i="3"/>
  <c r="AM321" i="3" s="1"/>
  <c r="AE342" i="3"/>
  <c r="AM342" i="3" s="1"/>
  <c r="AE622" i="3"/>
  <c r="AM622" i="3" s="1"/>
  <c r="AE614" i="3"/>
  <c r="AM614" i="3" s="1"/>
  <c r="AE610" i="3"/>
  <c r="AM610" i="3" s="1"/>
  <c r="AE606" i="3"/>
  <c r="AM606" i="3" s="1"/>
  <c r="AE602" i="3"/>
  <c r="AM602" i="3" s="1"/>
  <c r="AE594" i="3"/>
  <c r="AM594" i="3" s="1"/>
  <c r="AE590" i="3"/>
  <c r="AM590" i="3" s="1"/>
  <c r="AE586" i="3"/>
  <c r="AM586" i="3" s="1"/>
  <c r="AE582" i="3"/>
  <c r="AM582" i="3" s="1"/>
  <c r="AE566" i="3"/>
  <c r="AM566" i="3" s="1"/>
  <c r="AE554" i="3"/>
  <c r="AM554" i="3" s="1"/>
  <c r="AE530" i="3"/>
  <c r="AM530" i="3" s="1"/>
  <c r="AE526" i="3"/>
  <c r="AM526" i="3" s="1"/>
  <c r="AE518" i="3"/>
  <c r="AM518" i="3" s="1"/>
  <c r="AE514" i="3"/>
  <c r="AM514" i="3" s="1"/>
  <c r="AE508" i="3"/>
  <c r="AM508" i="3" s="1"/>
  <c r="AE503" i="3"/>
  <c r="AM503" i="3" s="1"/>
  <c r="AE482" i="3"/>
  <c r="AM482" i="3" s="1"/>
  <c r="AE466" i="3"/>
  <c r="AM466" i="3" s="1"/>
  <c r="AE455" i="3"/>
  <c r="AM455" i="3" s="1"/>
  <c r="AE439" i="3"/>
  <c r="AM439" i="3" s="1"/>
  <c r="AE434" i="3"/>
  <c r="AM434" i="3" s="1"/>
  <c r="AE422" i="3"/>
  <c r="AM422" i="3" s="1"/>
  <c r="AE175" i="3"/>
  <c r="AM175" i="3" s="1"/>
  <c r="AE111" i="3"/>
  <c r="AM111" i="3" s="1"/>
  <c r="AE130" i="3"/>
  <c r="AM130" i="3" s="1"/>
  <c r="AE174" i="3"/>
  <c r="AM174" i="3" s="1"/>
  <c r="AE194" i="3"/>
  <c r="AM194" i="3" s="1"/>
  <c r="AE202" i="3"/>
  <c r="AM202" i="3" s="1"/>
  <c r="AE230" i="3"/>
  <c r="AM230" i="3" s="1"/>
  <c r="AE278" i="3"/>
  <c r="AM278" i="3" s="1"/>
  <c r="AE282" i="3"/>
  <c r="AM282" i="3" s="1"/>
  <c r="AE136" i="3"/>
  <c r="AM136" i="3" s="1"/>
  <c r="AE144" i="3"/>
  <c r="AM144" i="3" s="1"/>
  <c r="AE196" i="3"/>
  <c r="AM196" i="3" s="1"/>
  <c r="AE204" i="3"/>
  <c r="AM204" i="3" s="1"/>
  <c r="AE252" i="3"/>
  <c r="AM252" i="3" s="1"/>
  <c r="AE300" i="3"/>
  <c r="AM300" i="3" s="1"/>
  <c r="AE320" i="3"/>
  <c r="AM320" i="3" s="1"/>
  <c r="AE332" i="3"/>
  <c r="AM332" i="3" s="1"/>
  <c r="AE241" i="3"/>
  <c r="AM241" i="3" s="1"/>
  <c r="AE323" i="3"/>
  <c r="AM323" i="3" s="1"/>
  <c r="AE376" i="3"/>
  <c r="AM376" i="3" s="1"/>
  <c r="AE25" i="3"/>
  <c r="AM25" i="3" s="1"/>
  <c r="AE41" i="3"/>
  <c r="AM41" i="3" s="1"/>
  <c r="AE115" i="3"/>
  <c r="AM115" i="3" s="1"/>
  <c r="AE131" i="3"/>
  <c r="AM131" i="3" s="1"/>
  <c r="AE203" i="3"/>
  <c r="AM203" i="3" s="1"/>
  <c r="AE309" i="3"/>
  <c r="AM309" i="3" s="1"/>
  <c r="AE373" i="3"/>
  <c r="AM373" i="3" s="1"/>
  <c r="AE385" i="3"/>
  <c r="AM385" i="3" s="1"/>
  <c r="AE497" i="3"/>
  <c r="AM497" i="3" s="1"/>
  <c r="AE513" i="3"/>
  <c r="AM513" i="3" s="1"/>
  <c r="AE85" i="3"/>
  <c r="AM85" i="3" s="1"/>
  <c r="AE229" i="3"/>
  <c r="AM229" i="3" s="1"/>
  <c r="AE299" i="3"/>
  <c r="AM299" i="3" s="1"/>
  <c r="AE370" i="3"/>
  <c r="AM370" i="3" s="1"/>
  <c r="AE86" i="3"/>
  <c r="AM86" i="3" s="1"/>
  <c r="AE122" i="3"/>
  <c r="AM122" i="3" s="1"/>
  <c r="AE134" i="3"/>
  <c r="AM134" i="3" s="1"/>
  <c r="AE178" i="3"/>
  <c r="AM178" i="3" s="1"/>
  <c r="AE206" i="3"/>
  <c r="AM206" i="3" s="1"/>
  <c r="AE226" i="3"/>
  <c r="AM226" i="3" s="1"/>
  <c r="AE294" i="3"/>
  <c r="AM294" i="3" s="1"/>
  <c r="AE35" i="3"/>
  <c r="AM35" i="3" s="1"/>
  <c r="AE68" i="3"/>
  <c r="AM68" i="3" s="1"/>
  <c r="AE80" i="3"/>
  <c r="AM80" i="3" s="1"/>
  <c r="AE208" i="3"/>
  <c r="AM208" i="3" s="1"/>
  <c r="AE268" i="3"/>
  <c r="AM268" i="3" s="1"/>
  <c r="AE312" i="3"/>
  <c r="AM312" i="3" s="1"/>
  <c r="AE21" i="3"/>
  <c r="AM21" i="3" s="1"/>
  <c r="AE97" i="3"/>
  <c r="AM97" i="3" s="1"/>
  <c r="AE113" i="3"/>
  <c r="AM113" i="3" s="1"/>
  <c r="AE129" i="3"/>
  <c r="AM129" i="3" s="1"/>
  <c r="AE177" i="3"/>
  <c r="AM177" i="3" s="1"/>
  <c r="AE193" i="3"/>
  <c r="AM193" i="3" s="1"/>
  <c r="AE352" i="3"/>
  <c r="AM352" i="3" s="1"/>
  <c r="AE384" i="3"/>
  <c r="AM384" i="3" s="1"/>
  <c r="AE396" i="3"/>
  <c r="AM396" i="3" s="1"/>
  <c r="AE171" i="3"/>
  <c r="AM171" i="3" s="1"/>
  <c r="AE259" i="3"/>
  <c r="AM259" i="3" s="1"/>
  <c r="AE335" i="3"/>
  <c r="AM335" i="3" s="1"/>
  <c r="AE357" i="3"/>
  <c r="AM357" i="3" s="1"/>
  <c r="AE453" i="3"/>
  <c r="AM453" i="3" s="1"/>
  <c r="AE109" i="3"/>
  <c r="AM109" i="3" s="1"/>
  <c r="AE305" i="3"/>
  <c r="AM305" i="3" s="1"/>
  <c r="AE315" i="3"/>
  <c r="AM315" i="3" s="1"/>
  <c r="AE362" i="3"/>
  <c r="AM362" i="3" s="1"/>
  <c r="AE366" i="3"/>
  <c r="AM366" i="3" s="1"/>
  <c r="AE633" i="3"/>
  <c r="AM633" i="3" s="1"/>
  <c r="AE625" i="3"/>
  <c r="AM625" i="3" s="1"/>
  <c r="AE617" i="3"/>
  <c r="AM617" i="3" s="1"/>
  <c r="AE613" i="3"/>
  <c r="AM613" i="3" s="1"/>
  <c r="AE609" i="3"/>
  <c r="AM609" i="3" s="1"/>
  <c r="AE605" i="3"/>
  <c r="AM605" i="3" s="1"/>
  <c r="AE597" i="3"/>
  <c r="AM597" i="3" s="1"/>
  <c r="AE585" i="3"/>
  <c r="AM585" i="3" s="1"/>
  <c r="AE581" i="3"/>
  <c r="AM581" i="3" s="1"/>
  <c r="AE561" i="3"/>
  <c r="AM561" i="3" s="1"/>
  <c r="AE557" i="3"/>
  <c r="AM557" i="3" s="1"/>
  <c r="AE541" i="3"/>
  <c r="AM541" i="3" s="1"/>
  <c r="AE525" i="3"/>
  <c r="AM525" i="3" s="1"/>
  <c r="AE491" i="3"/>
  <c r="AM491" i="3" s="1"/>
  <c r="AE480" i="3"/>
  <c r="AM480" i="3" s="1"/>
  <c r="AE475" i="3"/>
  <c r="AM475" i="3" s="1"/>
  <c r="AE448" i="3"/>
  <c r="AM448" i="3" s="1"/>
  <c r="AE403" i="3"/>
  <c r="AM403" i="3" s="1"/>
  <c r="AE395" i="3"/>
  <c r="AM395" i="3" s="1"/>
  <c r="AE379" i="3"/>
  <c r="AM379" i="3" s="1"/>
  <c r="AE355" i="3"/>
  <c r="AM355" i="3" s="1"/>
  <c r="AE295" i="3"/>
  <c r="AM295" i="3" s="1"/>
  <c r="AE231" i="3"/>
  <c r="AM231" i="3" s="1"/>
  <c r="AE199" i="3"/>
  <c r="AM199" i="3" s="1"/>
  <c r="AE17" i="3"/>
  <c r="AM17" i="3" s="1"/>
  <c r="Z331" i="3"/>
  <c r="Z315" i="3"/>
  <c r="Z299" i="3"/>
  <c r="Z263" i="3"/>
  <c r="Z167" i="3"/>
  <c r="AE639" i="3"/>
  <c r="Z500" i="3"/>
  <c r="Y500" i="3" s="1"/>
  <c r="W500" i="3" s="1"/>
  <c r="Z468" i="3"/>
  <c r="Y468" i="3" s="1"/>
  <c r="W468" i="3" s="1"/>
  <c r="Z436" i="3"/>
  <c r="Y436" i="3" s="1"/>
  <c r="W436" i="3" s="1"/>
  <c r="Z404" i="3"/>
  <c r="Y404" i="3" s="1"/>
  <c r="Z388" i="3"/>
  <c r="Y388" i="3" s="1"/>
  <c r="W388" i="3" s="1"/>
  <c r="Z335" i="3"/>
  <c r="Y335" i="3" s="1"/>
  <c r="W335" i="3" s="1"/>
  <c r="Z319" i="3"/>
  <c r="Y319" i="3" s="1"/>
  <c r="Z303" i="3"/>
  <c r="Y303" i="3" s="1"/>
  <c r="W303" i="3" s="1"/>
  <c r="Z516" i="3"/>
  <c r="Z484" i="3"/>
  <c r="Y484" i="3" s="1"/>
  <c r="W484" i="3" s="1"/>
  <c r="Z452" i="3"/>
  <c r="Y452" i="3" s="1"/>
  <c r="W452" i="3" s="1"/>
  <c r="Z420" i="3"/>
  <c r="Y420" i="3" s="1"/>
  <c r="W420" i="3" s="1"/>
  <c r="Z372" i="3"/>
  <c r="Y372" i="3" s="1"/>
  <c r="W372" i="3" s="1"/>
  <c r="Z602" i="3"/>
  <c r="Y602" i="3" s="1"/>
  <c r="W602" i="3" s="1"/>
  <c r="Z490" i="3"/>
  <c r="Y490" i="3" s="1"/>
  <c r="W490" i="3" s="1"/>
  <c r="Z422" i="3"/>
  <c r="Y422" i="3" s="1"/>
  <c r="Z486" i="3"/>
  <c r="Z358" i="3"/>
  <c r="Y358" i="3" s="1"/>
  <c r="Z149" i="3"/>
  <c r="Y149" i="3" s="1"/>
  <c r="Z189" i="3"/>
  <c r="Y189" i="3" s="1"/>
  <c r="W189" i="3" s="1"/>
  <c r="Z173" i="3"/>
  <c r="Y173" i="3" s="1"/>
  <c r="Z29" i="3"/>
  <c r="Y29" i="3" s="1"/>
  <c r="Z428" i="3"/>
  <c r="Y428" i="3" s="1"/>
  <c r="Z396" i="3"/>
  <c r="Y396" i="3" s="1"/>
  <c r="W396" i="3" s="1"/>
  <c r="Z380" i="3"/>
  <c r="Y380" i="3" s="1"/>
  <c r="Z364" i="3"/>
  <c r="Y364" i="3" s="1"/>
  <c r="W538" i="3"/>
  <c r="Z179" i="3"/>
  <c r="Y179" i="3" s="1"/>
  <c r="Y516" i="3"/>
  <c r="W516" i="3" s="1"/>
  <c r="Y331" i="3"/>
  <c r="W331" i="3" s="1"/>
  <c r="Y315" i="3"/>
  <c r="W315" i="3" s="1"/>
  <c r="Y299" i="3"/>
  <c r="W299" i="3" s="1"/>
  <c r="Y263" i="3"/>
  <c r="W263" i="3" s="1"/>
  <c r="Y167" i="3"/>
  <c r="W167" i="3" s="1"/>
  <c r="Z432" i="3"/>
  <c r="Z400" i="3"/>
  <c r="Z368" i="3"/>
  <c r="Z119" i="3"/>
  <c r="Z291" i="3"/>
  <c r="Z227" i="3"/>
  <c r="Z163" i="3"/>
  <c r="Z267" i="3"/>
  <c r="Z203" i="3"/>
  <c r="Z139" i="3"/>
  <c r="Z496" i="3"/>
  <c r="Z464" i="3"/>
  <c r="Z384" i="3"/>
  <c r="Y97" i="3"/>
  <c r="W97" i="3" s="1"/>
  <c r="Y33" i="3"/>
  <c r="W33" i="3" s="1"/>
  <c r="Z271" i="3"/>
  <c r="Z239" i="3"/>
  <c r="Z207" i="3"/>
  <c r="Z175" i="3"/>
  <c r="Z143" i="3"/>
  <c r="Z111" i="3"/>
  <c r="Z275" i="3"/>
  <c r="Z211" i="3"/>
  <c r="Z147" i="3"/>
  <c r="Z251" i="3"/>
  <c r="Z187" i="3"/>
  <c r="Z123" i="3"/>
  <c r="Z624" i="3"/>
  <c r="Z620" i="3"/>
  <c r="Z604" i="3"/>
  <c r="Z576" i="3"/>
  <c r="Z560" i="3"/>
  <c r="Z556" i="3"/>
  <c r="Z540" i="3"/>
  <c r="Z512" i="3"/>
  <c r="Z480" i="3"/>
  <c r="Z448" i="3"/>
  <c r="Z416" i="3"/>
  <c r="Z508" i="3"/>
  <c r="Z492" i="3"/>
  <c r="Z476" i="3"/>
  <c r="Z460" i="3"/>
  <c r="Z444" i="3"/>
  <c r="Z412" i="3"/>
  <c r="Z342" i="3"/>
  <c r="Z623" i="3"/>
  <c r="Z607" i="3"/>
  <c r="Z591" i="3"/>
  <c r="Z575" i="3"/>
  <c r="Z559" i="3"/>
  <c r="Z543" i="3"/>
  <c r="Z527" i="3"/>
  <c r="Z511" i="3"/>
  <c r="Z495" i="3"/>
  <c r="Z479" i="3"/>
  <c r="Z463" i="3"/>
  <c r="Z447" i="3"/>
  <c r="Z431" i="3"/>
  <c r="Z415" i="3"/>
  <c r="Z387" i="3"/>
  <c r="Z371" i="3"/>
  <c r="Z355" i="3"/>
  <c r="Z339" i="3"/>
  <c r="Z327" i="3"/>
  <c r="Z323" i="3"/>
  <c r="Z307" i="3"/>
  <c r="Z287" i="3"/>
  <c r="Z279" i="3"/>
  <c r="Z255" i="3"/>
  <c r="Z247" i="3"/>
  <c r="Z243" i="3"/>
  <c r="Z235" i="3"/>
  <c r="Z215" i="3"/>
  <c r="Z183" i="3"/>
  <c r="Z171" i="3"/>
  <c r="Z151" i="3"/>
  <c r="Z127" i="3"/>
  <c r="Z115" i="3"/>
  <c r="Z618" i="3"/>
  <c r="Z606" i="3"/>
  <c r="Z526" i="3"/>
  <c r="Z506" i="3"/>
  <c r="Z362" i="3"/>
  <c r="Z628" i="3"/>
  <c r="Z612" i="3"/>
  <c r="Z580" i="3"/>
  <c r="Z532" i="3"/>
  <c r="Z592" i="3"/>
  <c r="Z231" i="3"/>
  <c r="Z199" i="3"/>
  <c r="Z588" i="3"/>
  <c r="Z295" i="3"/>
  <c r="Z159" i="3"/>
  <c r="Z195" i="3"/>
  <c r="Z630" i="3"/>
  <c r="Z614" i="3"/>
  <c r="Z610" i="3"/>
  <c r="Z598" i="3"/>
  <c r="Z590" i="3"/>
  <c r="Z586" i="3"/>
  <c r="Z582" i="3"/>
  <c r="Z570" i="3"/>
  <c r="Z566" i="3"/>
  <c r="Z554" i="3"/>
  <c r="Z550" i="3"/>
  <c r="Z546" i="3"/>
  <c r="Z534" i="3"/>
  <c r="Z522" i="3"/>
  <c r="Z518" i="3"/>
  <c r="Z510" i="3"/>
  <c r="Z502" i="3"/>
  <c r="Z482" i="3"/>
  <c r="Z478" i="3"/>
  <c r="Z474" i="3"/>
  <c r="Z470" i="3"/>
  <c r="Z462" i="3"/>
  <c r="Z458" i="3"/>
  <c r="Z454" i="3"/>
  <c r="Z442" i="3"/>
  <c r="Z438" i="3"/>
  <c r="Z426" i="3"/>
  <c r="Z394" i="3"/>
  <c r="Z390" i="3"/>
  <c r="Z596" i="3"/>
  <c r="Z564" i="3"/>
  <c r="Z548" i="3"/>
  <c r="Z608" i="3"/>
  <c r="Z544" i="3"/>
  <c r="Z528" i="3"/>
  <c r="Z572" i="3"/>
  <c r="Z311" i="3"/>
  <c r="Z223" i="3"/>
  <c r="Z191" i="3"/>
  <c r="Z135" i="3"/>
  <c r="Z259" i="3"/>
  <c r="Z131" i="3"/>
  <c r="Z524" i="3"/>
  <c r="Z283" i="3"/>
  <c r="Z219" i="3"/>
  <c r="Z155" i="3"/>
  <c r="Z633" i="3"/>
  <c r="Z629" i="3"/>
  <c r="Z625" i="3"/>
  <c r="Z621" i="3"/>
  <c r="Z617" i="3"/>
  <c r="Z613" i="3"/>
  <c r="Z609" i="3"/>
  <c r="Z605" i="3"/>
  <c r="Z601" i="3"/>
  <c r="Z597" i="3"/>
  <c r="Z593" i="3"/>
  <c r="Z589" i="3"/>
  <c r="Z585" i="3"/>
  <c r="Z581" i="3"/>
  <c r="Z577" i="3"/>
  <c r="Z573" i="3"/>
  <c r="Z569" i="3"/>
  <c r="Z565" i="3"/>
  <c r="Z561" i="3"/>
  <c r="Z557" i="3"/>
  <c r="Z553" i="3"/>
  <c r="Z549" i="3"/>
  <c r="Z545" i="3"/>
  <c r="Z541" i="3"/>
  <c r="Z537" i="3"/>
  <c r="Z533" i="3"/>
  <c r="Z529" i="3"/>
  <c r="Z525" i="3"/>
  <c r="Z521" i="3"/>
  <c r="Z517" i="3"/>
  <c r="Z513" i="3"/>
  <c r="Z509" i="3"/>
  <c r="Z505" i="3"/>
  <c r="Z501" i="3"/>
  <c r="Z497" i="3"/>
  <c r="Z493" i="3"/>
  <c r="Z489" i="3"/>
  <c r="Z485" i="3"/>
  <c r="Z481" i="3"/>
  <c r="Z477" i="3"/>
  <c r="Z473" i="3"/>
  <c r="Z469" i="3"/>
  <c r="Z465" i="3"/>
  <c r="Z461" i="3"/>
  <c r="Z457" i="3"/>
  <c r="Z453" i="3"/>
  <c r="Z449" i="3"/>
  <c r="Z445" i="3"/>
  <c r="Z441" i="3"/>
  <c r="Z437" i="3"/>
  <c r="Z433" i="3"/>
  <c r="Z429" i="3"/>
  <c r="Z425" i="3"/>
  <c r="Z421" i="3"/>
  <c r="Z417" i="3"/>
  <c r="Z205" i="3"/>
  <c r="Z165" i="3"/>
  <c r="Z133" i="3"/>
  <c r="Z117" i="3"/>
  <c r="Z93" i="3"/>
  <c r="Z65" i="3"/>
  <c r="Z61" i="3"/>
  <c r="Z418" i="3"/>
  <c r="Z410" i="3"/>
  <c r="Z406" i="3"/>
  <c r="Z398" i="3"/>
  <c r="Z382" i="3"/>
  <c r="Z378" i="3"/>
  <c r="Z374" i="3"/>
  <c r="Z354" i="3"/>
  <c r="Z350" i="3"/>
  <c r="Z346" i="3"/>
  <c r="Z334" i="3"/>
  <c r="Z314" i="3"/>
  <c r="Z310" i="3"/>
  <c r="Z298" i="3"/>
  <c r="Z282" i="3"/>
  <c r="Z266" i="3"/>
  <c r="Z250" i="3"/>
  <c r="Z234" i="3"/>
  <c r="Z218" i="3"/>
  <c r="Z202" i="3"/>
  <c r="Z186" i="3"/>
  <c r="Z170" i="3"/>
  <c r="Z154" i="3"/>
  <c r="Z138" i="3"/>
  <c r="Z122" i="3"/>
  <c r="Z106" i="3"/>
  <c r="Z90" i="3"/>
  <c r="Z74" i="3"/>
  <c r="Z58" i="3"/>
  <c r="Z42" i="3"/>
  <c r="Z26" i="3"/>
  <c r="Z10" i="3"/>
  <c r="Z3" i="3"/>
  <c r="Z413" i="3"/>
  <c r="Z409" i="3"/>
  <c r="Z405" i="3"/>
  <c r="Z401" i="3"/>
  <c r="Z397" i="3"/>
  <c r="Z393" i="3"/>
  <c r="Z389" i="3"/>
  <c r="Z385" i="3"/>
  <c r="Z381" i="3"/>
  <c r="Z377" i="3"/>
  <c r="Z373" i="3"/>
  <c r="Z369" i="3"/>
  <c r="Z365" i="3"/>
  <c r="Z361" i="3"/>
  <c r="Z357" i="3"/>
  <c r="Z353" i="3"/>
  <c r="Z349" i="3"/>
  <c r="Z345" i="3"/>
  <c r="Z341" i="3"/>
  <c r="Z337" i="3"/>
  <c r="Z333" i="3"/>
  <c r="Z329" i="3"/>
  <c r="Z321" i="3"/>
  <c r="Z317" i="3"/>
  <c r="Z313" i="3"/>
  <c r="Z305" i="3"/>
  <c r="Z301" i="3"/>
  <c r="Z297" i="3"/>
  <c r="Z293" i="3"/>
  <c r="Z289" i="3"/>
  <c r="Z285" i="3"/>
  <c r="Z281" i="3"/>
  <c r="Z277" i="3"/>
  <c r="Z273" i="3"/>
  <c r="Z269" i="3"/>
  <c r="Z265" i="3"/>
  <c r="Z261" i="3"/>
  <c r="Z257" i="3"/>
  <c r="Z253" i="3"/>
  <c r="Z249" i="3"/>
  <c r="Z245" i="3"/>
  <c r="Z241" i="3"/>
  <c r="Z237" i="3"/>
  <c r="Z233" i="3"/>
  <c r="Z229" i="3"/>
  <c r="Z225" i="3"/>
  <c r="Z221" i="3"/>
  <c r="Z217" i="3"/>
  <c r="Z213" i="3"/>
  <c r="Z197" i="3"/>
  <c r="Z181" i="3"/>
  <c r="Z157" i="3"/>
  <c r="Z141" i="3"/>
  <c r="Z125" i="3"/>
  <c r="Z109" i="3"/>
  <c r="Z101" i="3"/>
  <c r="Z85" i="3"/>
  <c r="Z81" i="3"/>
  <c r="Z77" i="3"/>
  <c r="Z69" i="3"/>
  <c r="Z53" i="3"/>
  <c r="Z49" i="3"/>
  <c r="Z45" i="3"/>
  <c r="Z37" i="3"/>
  <c r="Z21" i="3"/>
  <c r="Z17" i="3"/>
  <c r="Z13" i="3"/>
  <c r="Z5" i="3"/>
  <c r="Z520" i="3"/>
  <c r="Z504" i="3"/>
  <c r="Z488" i="3"/>
  <c r="Z472" i="3"/>
  <c r="Z456" i="3"/>
  <c r="Z348" i="3"/>
  <c r="Z332" i="3"/>
  <c r="Z316" i="3"/>
  <c r="Z300" i="3"/>
  <c r="Z288" i="3"/>
  <c r="Z256" i="3"/>
  <c r="Z252" i="3"/>
  <c r="Z244" i="3"/>
  <c r="Z224" i="3"/>
  <c r="Z192" i="3"/>
  <c r="Z188" i="3"/>
  <c r="Z180" i="3"/>
  <c r="Z160" i="3"/>
  <c r="Z128" i="3"/>
  <c r="Z124" i="3"/>
  <c r="Z116" i="3"/>
  <c r="Z96" i="3"/>
  <c r="Z64" i="3"/>
  <c r="Z60" i="3"/>
  <c r="Z52" i="3"/>
  <c r="Z32" i="3"/>
  <c r="Z325" i="3"/>
  <c r="Z309" i="3"/>
  <c r="Z616" i="3"/>
  <c r="Z600" i="3"/>
  <c r="Z568" i="3"/>
  <c r="Z536" i="3"/>
  <c r="Z440" i="3"/>
  <c r="Z392" i="3"/>
  <c r="Z631" i="3"/>
  <c r="Z627" i="3"/>
  <c r="Z619" i="3"/>
  <c r="Z615" i="3"/>
  <c r="Z611" i="3"/>
  <c r="Z603" i="3"/>
  <c r="Z599" i="3"/>
  <c r="Z595" i="3"/>
  <c r="Z587" i="3"/>
  <c r="Z583" i="3"/>
  <c r="Z579" i="3"/>
  <c r="Z571" i="3"/>
  <c r="Z567" i="3"/>
  <c r="Z563" i="3"/>
  <c r="Z555" i="3"/>
  <c r="Z551" i="3"/>
  <c r="Z547" i="3"/>
  <c r="Z539" i="3"/>
  <c r="Z535" i="3"/>
  <c r="Z531" i="3"/>
  <c r="Z523" i="3"/>
  <c r="Z519" i="3"/>
  <c r="Z515" i="3"/>
  <c r="Z507" i="3"/>
  <c r="Z503" i="3"/>
  <c r="Z499" i="3"/>
  <c r="Z491" i="3"/>
  <c r="Z487" i="3"/>
  <c r="Z483" i="3"/>
  <c r="Z475" i="3"/>
  <c r="Z471" i="3"/>
  <c r="Z467" i="3"/>
  <c r="Z459" i="3"/>
  <c r="Z455" i="3"/>
  <c r="Z451" i="3"/>
  <c r="Z443" i="3"/>
  <c r="Z439" i="3"/>
  <c r="Z435" i="3"/>
  <c r="Z427" i="3"/>
  <c r="Z423" i="3"/>
  <c r="Z419" i="3"/>
  <c r="Z411" i="3"/>
  <c r="Z407" i="3"/>
  <c r="Z403" i="3"/>
  <c r="Z399" i="3"/>
  <c r="Z395" i="3"/>
  <c r="Z391" i="3"/>
  <c r="Z383" i="3"/>
  <c r="Z379" i="3"/>
  <c r="Z375" i="3"/>
  <c r="Z367" i="3"/>
  <c r="Z363" i="3"/>
  <c r="Z359" i="3"/>
  <c r="Z351" i="3"/>
  <c r="Z347" i="3"/>
  <c r="Z343" i="3"/>
  <c r="Z632" i="3"/>
  <c r="Z584" i="3"/>
  <c r="Z552" i="3"/>
  <c r="Z424" i="3"/>
  <c r="Z408" i="3"/>
  <c r="Z376" i="3"/>
  <c r="Z360" i="3"/>
  <c r="Z626" i="3"/>
  <c r="Z622" i="3"/>
  <c r="Z594" i="3"/>
  <c r="Z578" i="3"/>
  <c r="Z574" i="3"/>
  <c r="Z562" i="3"/>
  <c r="Z558" i="3"/>
  <c r="Z542" i="3"/>
  <c r="Z530" i="3"/>
  <c r="Z514" i="3"/>
  <c r="Z498" i="3"/>
  <c r="Z494" i="3"/>
  <c r="Z466" i="3"/>
  <c r="Z450" i="3"/>
  <c r="Z446" i="3"/>
  <c r="Z434" i="3"/>
  <c r="Z430" i="3"/>
  <c r="Z414" i="3"/>
  <c r="Z402" i="3"/>
  <c r="Z386" i="3"/>
  <c r="Z370" i="3"/>
  <c r="Z366" i="3"/>
  <c r="Z338" i="3"/>
  <c r="Z330" i="3"/>
  <c r="Z326" i="3"/>
  <c r="Z322" i="3"/>
  <c r="Z318" i="3"/>
  <c r="Z306" i="3"/>
  <c r="Z302" i="3"/>
  <c r="Z294" i="3"/>
  <c r="Z290" i="3"/>
  <c r="Z286" i="3"/>
  <c r="Z278" i="3"/>
  <c r="Z274" i="3"/>
  <c r="Z270" i="3"/>
  <c r="Z262" i="3"/>
  <c r="Z258" i="3"/>
  <c r="Z254" i="3"/>
  <c r="Z246" i="3"/>
  <c r="Z242" i="3"/>
  <c r="Z238" i="3"/>
  <c r="Z230" i="3"/>
  <c r="Z226" i="3"/>
  <c r="Z222" i="3"/>
  <c r="Z214" i="3"/>
  <c r="Z210" i="3"/>
  <c r="Z206" i="3"/>
  <c r="Z198" i="3"/>
  <c r="Z194" i="3"/>
  <c r="Z190" i="3"/>
  <c r="Z182" i="3"/>
  <c r="Z178" i="3"/>
  <c r="Z174" i="3"/>
  <c r="Z166" i="3"/>
  <c r="Z162" i="3"/>
  <c r="Z158" i="3"/>
  <c r="Z150" i="3"/>
  <c r="Z146" i="3"/>
  <c r="Z142" i="3"/>
  <c r="Z134" i="3"/>
  <c r="Z130" i="3"/>
  <c r="Z126" i="3"/>
  <c r="Z118" i="3"/>
  <c r="Z114" i="3"/>
  <c r="Z110" i="3"/>
  <c r="Z102" i="3"/>
  <c r="Z98" i="3"/>
  <c r="Z94" i="3"/>
  <c r="Z86" i="3"/>
  <c r="Z82" i="3"/>
  <c r="Z78" i="3"/>
  <c r="Z70" i="3"/>
  <c r="Z66" i="3"/>
  <c r="Z62" i="3"/>
  <c r="Z54" i="3"/>
  <c r="Z50" i="3"/>
  <c r="Z46" i="3"/>
  <c r="Z38" i="3"/>
  <c r="Z34" i="3"/>
  <c r="Z30" i="3"/>
  <c r="Z22" i="3"/>
  <c r="Z18" i="3"/>
  <c r="Z14" i="3"/>
  <c r="Z6" i="3"/>
  <c r="Z209" i="3"/>
  <c r="Z201" i="3"/>
  <c r="Z193" i="3"/>
  <c r="Z185" i="3"/>
  <c r="Z177" i="3"/>
  <c r="Z169" i="3"/>
  <c r="Z161" i="3"/>
  <c r="Z153" i="3"/>
  <c r="Z145" i="3"/>
  <c r="Z137" i="3"/>
  <c r="Z129" i="3"/>
  <c r="Z121" i="3"/>
  <c r="Z113" i="3"/>
  <c r="Z105" i="3"/>
  <c r="Z89" i="3"/>
  <c r="Z73" i="3"/>
  <c r="Z57" i="3"/>
  <c r="Z41" i="3"/>
  <c r="Z25" i="3"/>
  <c r="Z9" i="3"/>
  <c r="Z356" i="3"/>
  <c r="Z352" i="3"/>
  <c r="Z344" i="3"/>
  <c r="Z340" i="3"/>
  <c r="Z336" i="3"/>
  <c r="Z328" i="3"/>
  <c r="Z324" i="3"/>
  <c r="Z320" i="3"/>
  <c r="Z312" i="3"/>
  <c r="Z308" i="3"/>
  <c r="Z304" i="3"/>
  <c r="Z296" i="3"/>
  <c r="Z292" i="3"/>
  <c r="Z284" i="3"/>
  <c r="Z280" i="3"/>
  <c r="Z276" i="3"/>
  <c r="Z272" i="3"/>
  <c r="Z268" i="3"/>
  <c r="Z264" i="3"/>
  <c r="Z260" i="3"/>
  <c r="Z248" i="3"/>
  <c r="Z240" i="3"/>
  <c r="Z236" i="3"/>
  <c r="Z232" i="3"/>
  <c r="Z228" i="3"/>
  <c r="Z220" i="3"/>
  <c r="Z216" i="3"/>
  <c r="Z212" i="3"/>
  <c r="Z208" i="3"/>
  <c r="Z204" i="3"/>
  <c r="Z200" i="3"/>
  <c r="Z196" i="3"/>
  <c r="Z184" i="3"/>
  <c r="Z176" i="3"/>
  <c r="Z172" i="3"/>
  <c r="Z168" i="3"/>
  <c r="Z164" i="3"/>
  <c r="Z156" i="3"/>
  <c r="Z152" i="3"/>
  <c r="Z148" i="3"/>
  <c r="Z144" i="3"/>
  <c r="Z140" i="3"/>
  <c r="Z136" i="3"/>
  <c r="Z132" i="3"/>
  <c r="Z120" i="3"/>
  <c r="Z112" i="3"/>
  <c r="Z108" i="3"/>
  <c r="Z104" i="3"/>
  <c r="Z100" i="3"/>
  <c r="Z92" i="3"/>
  <c r="Z88" i="3"/>
  <c r="Z84" i="3"/>
  <c r="Z80" i="3"/>
  <c r="Z76" i="3"/>
  <c r="Z72" i="3"/>
  <c r="Z68" i="3"/>
  <c r="Z56" i="3"/>
  <c r="Z48" i="3"/>
  <c r="Z44" i="3"/>
  <c r="Z40" i="3"/>
  <c r="Z36" i="3"/>
  <c r="Z28" i="3"/>
  <c r="Z24" i="3"/>
  <c r="Z20" i="3"/>
  <c r="Z16" i="3"/>
  <c r="Z12" i="3"/>
  <c r="Z8" i="3"/>
  <c r="Z4" i="3"/>
  <c r="Z107" i="3"/>
  <c r="Z103" i="3"/>
  <c r="Z99" i="3"/>
  <c r="Z95" i="3"/>
  <c r="Z91" i="3"/>
  <c r="Z87" i="3"/>
  <c r="Z83" i="3"/>
  <c r="Z79" i="3"/>
  <c r="Z75" i="3"/>
  <c r="Z71" i="3"/>
  <c r="Z67" i="3"/>
  <c r="Z63" i="3"/>
  <c r="Z59" i="3"/>
  <c r="Z55" i="3"/>
  <c r="Z51" i="3"/>
  <c r="Z47" i="3"/>
  <c r="Z43" i="3"/>
  <c r="Z39" i="3"/>
  <c r="Z35" i="3"/>
  <c r="Z31" i="3"/>
  <c r="Z27" i="3"/>
  <c r="Z23" i="3"/>
  <c r="Z19" i="3"/>
  <c r="Z15" i="3"/>
  <c r="Z11" i="3"/>
  <c r="Z7" i="3"/>
  <c r="Z2" i="3"/>
  <c r="F8" i="16" l="1"/>
  <c r="G10" i="16"/>
  <c r="AC612" i="3"/>
  <c r="AC26" i="3"/>
  <c r="AC58" i="3"/>
  <c r="AC90" i="3"/>
  <c r="AC122" i="3"/>
  <c r="AC154" i="3"/>
  <c r="AC186" i="3"/>
  <c r="AC218" i="3"/>
  <c r="AC250" i="3"/>
  <c r="AC282" i="3"/>
  <c r="AC314" i="3"/>
  <c r="AC346" i="3"/>
  <c r="AC378" i="3"/>
  <c r="AC410" i="3"/>
  <c r="AC442" i="3"/>
  <c r="AC474" i="3"/>
  <c r="AC506" i="3"/>
  <c r="AC538" i="3"/>
  <c r="AC570" i="3"/>
  <c r="AC602" i="3"/>
  <c r="AC2" i="3"/>
  <c r="AC59" i="3"/>
  <c r="AC127" i="3"/>
  <c r="AC195" i="3"/>
  <c r="AC271" i="3"/>
  <c r="AC4" i="3"/>
  <c r="AC76" i="3"/>
  <c r="AC136" i="3"/>
  <c r="AC200" i="3"/>
  <c r="AC232" i="3"/>
  <c r="AC296" i="3"/>
  <c r="AC37" i="3"/>
  <c r="AC245" i="3"/>
  <c r="AC389" i="3"/>
  <c r="AC485" i="3"/>
  <c r="AC585" i="3"/>
  <c r="AC43" i="3"/>
  <c r="AC71" i="3"/>
  <c r="AC131" i="3"/>
  <c r="AC191" i="3"/>
  <c r="AC247" i="3"/>
  <c r="AC303" i="3"/>
  <c r="AC5" i="3"/>
  <c r="AC181" i="3"/>
  <c r="AC353" i="3"/>
  <c r="AC441" i="3"/>
  <c r="AC545" i="3"/>
  <c r="AC629" i="3"/>
  <c r="AC72" i="3"/>
  <c r="AC140" i="3"/>
  <c r="AC204" i="3"/>
  <c r="AC268" i="3"/>
  <c r="AC332" i="3"/>
  <c r="AC185" i="3"/>
  <c r="AC365" i="3"/>
  <c r="AC561" i="3"/>
  <c r="AC476" i="3"/>
  <c r="AC31" i="3"/>
  <c r="AC67" i="3"/>
  <c r="AC103" i="3"/>
  <c r="AC135" i="3"/>
  <c r="AC167" i="3"/>
  <c r="AC207" i="3"/>
  <c r="AC243" i="3"/>
  <c r="AC279" i="3"/>
  <c r="AC315" i="3"/>
  <c r="AC16" i="3"/>
  <c r="AC52" i="3"/>
  <c r="AC84" i="3"/>
  <c r="AC116" i="3"/>
  <c r="AC144" i="3"/>
  <c r="AC176" i="3"/>
  <c r="AC208" i="3"/>
  <c r="AC240" i="3"/>
  <c r="AC272" i="3"/>
  <c r="AC304" i="3"/>
  <c r="AC336" i="3"/>
  <c r="AC69" i="3"/>
  <c r="AC169" i="3"/>
  <c r="AC281" i="3"/>
  <c r="AC357" i="3"/>
  <c r="AC405" i="3"/>
  <c r="AC449" i="3"/>
  <c r="AC497" i="3"/>
  <c r="AC541" i="3"/>
  <c r="AC601" i="3"/>
  <c r="AC19" i="3"/>
  <c r="AC51" i="3"/>
  <c r="AC75" i="3"/>
  <c r="AC107" i="3"/>
  <c r="AC143" i="3"/>
  <c r="AC171" i="3"/>
  <c r="AC199" i="3"/>
  <c r="AC227" i="3"/>
  <c r="AC255" i="3"/>
  <c r="AC283" i="3"/>
  <c r="AC311" i="3"/>
  <c r="AC339" i="3"/>
  <c r="AC25" i="3"/>
  <c r="AC105" i="3"/>
  <c r="AC213" i="3"/>
  <c r="AC297" i="3"/>
  <c r="AC361" i="3"/>
  <c r="AC409" i="3"/>
  <c r="AC453" i="3"/>
  <c r="AC513" i="3"/>
  <c r="AC557" i="3"/>
  <c r="AC597" i="3"/>
  <c r="AC8" i="3"/>
  <c r="AC48" i="3"/>
  <c r="AC80" i="3"/>
  <c r="AC112" i="3"/>
  <c r="AC148" i="3"/>
  <c r="AC180" i="3"/>
  <c r="AC212" i="3"/>
  <c r="AC244" i="3"/>
  <c r="AC276" i="3"/>
  <c r="AC308" i="3"/>
  <c r="AC21" i="3"/>
  <c r="AC121" i="3"/>
  <c r="AC201" i="3"/>
  <c r="AC309" i="3"/>
  <c r="AC377" i="3"/>
  <c r="AC433" i="3"/>
  <c r="AC473" i="3"/>
  <c r="AC525" i="3"/>
  <c r="AC573" i="3"/>
  <c r="AC617" i="3"/>
  <c r="AC351" i="3"/>
  <c r="AC367" i="3"/>
  <c r="AC383" i="3"/>
  <c r="AC399" i="3"/>
  <c r="AC415" i="3"/>
  <c r="AC431" i="3"/>
  <c r="AC447" i="3"/>
  <c r="AC463" i="3"/>
  <c r="AC479" i="3"/>
  <c r="AC495" i="3"/>
  <c r="AC511" i="3"/>
  <c r="AC527" i="3"/>
  <c r="AC543" i="3"/>
  <c r="AC559" i="3"/>
  <c r="AC575" i="3"/>
  <c r="AC591" i="3"/>
  <c r="AC607" i="3"/>
  <c r="AC623" i="3"/>
  <c r="AC356" i="3"/>
  <c r="AC388" i="3"/>
  <c r="AC420" i="3"/>
  <c r="AC452" i="3"/>
  <c r="AC484" i="3"/>
  <c r="AC516" i="3"/>
  <c r="AC548" i="3"/>
  <c r="AC580" i="3"/>
  <c r="AC13" i="3"/>
  <c r="AC45" i="3"/>
  <c r="AC77" i="3"/>
  <c r="AC109" i="3"/>
  <c r="AC141" i="3"/>
  <c r="AC173" i="3"/>
  <c r="AC205" i="3"/>
  <c r="AC237" i="3"/>
  <c r="AC269" i="3"/>
  <c r="AC301" i="3"/>
  <c r="AC333" i="3"/>
  <c r="AC65" i="3"/>
  <c r="AC129" i="3"/>
  <c r="AC193" i="3"/>
  <c r="AC257" i="3"/>
  <c r="AC321" i="3"/>
  <c r="AC360" i="3"/>
  <c r="AC376" i="3"/>
  <c r="AC392" i="3"/>
  <c r="AC408" i="3"/>
  <c r="AC424" i="3"/>
  <c r="AC440" i="3"/>
  <c r="AC448" i="3"/>
  <c r="AC472" i="3"/>
  <c r="AC488" i="3"/>
  <c r="AC512" i="3"/>
  <c r="AC536" i="3"/>
  <c r="AC560" i="3"/>
  <c r="AC576" i="3"/>
  <c r="AC600" i="3"/>
  <c r="AC624" i="3"/>
  <c r="AC17" i="3"/>
  <c r="AC49" i="3"/>
  <c r="AC81" i="3"/>
  <c r="AC113" i="3"/>
  <c r="AC145" i="3"/>
  <c r="AC177" i="3"/>
  <c r="AC209" i="3"/>
  <c r="AC241" i="3"/>
  <c r="AC273" i="3"/>
  <c r="AC305" i="3"/>
  <c r="AC337" i="3"/>
  <c r="AC33" i="3"/>
  <c r="AC400" i="3"/>
  <c r="AC464" i="3"/>
  <c r="AC496" i="3"/>
  <c r="AC520" i="3"/>
  <c r="AC544" i="3"/>
  <c r="AC568" i="3"/>
  <c r="AC592" i="3"/>
  <c r="AC616" i="3"/>
  <c r="AC29" i="3"/>
  <c r="AC61" i="3"/>
  <c r="AC93" i="3"/>
  <c r="AC125" i="3"/>
  <c r="AC157" i="3"/>
  <c r="AC189" i="3"/>
  <c r="AC221" i="3"/>
  <c r="AC253" i="3"/>
  <c r="AC285" i="3"/>
  <c r="AC317" i="3"/>
  <c r="AC97" i="3"/>
  <c r="AC161" i="3"/>
  <c r="AC225" i="3"/>
  <c r="AC289" i="3"/>
  <c r="AC344" i="3"/>
  <c r="AC352" i="3"/>
  <c r="AC368" i="3"/>
  <c r="AC384" i="3"/>
  <c r="AC416" i="3"/>
  <c r="AC432" i="3"/>
  <c r="AC456" i="3"/>
  <c r="AC480" i="3"/>
  <c r="AC504" i="3"/>
  <c r="AC528" i="3"/>
  <c r="AC552" i="3"/>
  <c r="AC584" i="3"/>
  <c r="AC608" i="3"/>
  <c r="AC632" i="3"/>
  <c r="AC30" i="3"/>
  <c r="AC62" i="3"/>
  <c r="AC94" i="3"/>
  <c r="AC126" i="3"/>
  <c r="AC158" i="3"/>
  <c r="AC190" i="3"/>
  <c r="AC222" i="3"/>
  <c r="AC254" i="3"/>
  <c r="AC302" i="3"/>
  <c r="AC334" i="3"/>
  <c r="AC350" i="3"/>
  <c r="AC382" i="3"/>
  <c r="AC414" i="3"/>
  <c r="AC446" i="3"/>
  <c r="AC478" i="3"/>
  <c r="AC510" i="3"/>
  <c r="AC542" i="3"/>
  <c r="AC574" i="3"/>
  <c r="AC622" i="3"/>
  <c r="AC3" i="3"/>
  <c r="AC18" i="3"/>
  <c r="AC34" i="3"/>
  <c r="AC50" i="3"/>
  <c r="AC66" i="3"/>
  <c r="AC82" i="3"/>
  <c r="AC98" i="3"/>
  <c r="AC114" i="3"/>
  <c r="AC130" i="3"/>
  <c r="AC146" i="3"/>
  <c r="AC162" i="3"/>
  <c r="AC178" i="3"/>
  <c r="AC194" i="3"/>
  <c r="AC210" i="3"/>
  <c r="AC226" i="3"/>
  <c r="AC242" i="3"/>
  <c r="AC258" i="3"/>
  <c r="AC274" i="3"/>
  <c r="AC290" i="3"/>
  <c r="AC306" i="3"/>
  <c r="AC322" i="3"/>
  <c r="AC338" i="3"/>
  <c r="AC354" i="3"/>
  <c r="AC370" i="3"/>
  <c r="AC386" i="3"/>
  <c r="AC402" i="3"/>
  <c r="AC418" i="3"/>
  <c r="AC434" i="3"/>
  <c r="AC450" i="3"/>
  <c r="AC466" i="3"/>
  <c r="AC482" i="3"/>
  <c r="AC498" i="3"/>
  <c r="AC514" i="3"/>
  <c r="AC530" i="3"/>
  <c r="AC546" i="3"/>
  <c r="AC562" i="3"/>
  <c r="AC578" i="3"/>
  <c r="AC594" i="3"/>
  <c r="AC610" i="3"/>
  <c r="AC626" i="3"/>
  <c r="AC11" i="3"/>
  <c r="AC39" i="3"/>
  <c r="AC79" i="3"/>
  <c r="AC111" i="3"/>
  <c r="AC139" i="3"/>
  <c r="AC179" i="3"/>
  <c r="AC215" i="3"/>
  <c r="AC251" i="3"/>
  <c r="AC291" i="3"/>
  <c r="AC327" i="3"/>
  <c r="AC28" i="3"/>
  <c r="AC60" i="3"/>
  <c r="AC92" i="3"/>
  <c r="AC124" i="3"/>
  <c r="AC152" i="3"/>
  <c r="AC184" i="3"/>
  <c r="AC216" i="3"/>
  <c r="AC248" i="3"/>
  <c r="AC280" i="3"/>
  <c r="AC312" i="3"/>
  <c r="AC340" i="3"/>
  <c r="AC101" i="3"/>
  <c r="AC197" i="3"/>
  <c r="AC293" i="3"/>
  <c r="AC369" i="3"/>
  <c r="AC417" i="3"/>
  <c r="AC469" i="3"/>
  <c r="AC505" i="3"/>
  <c r="AC553" i="3"/>
  <c r="AC613" i="3"/>
  <c r="AC27" i="3"/>
  <c r="AC55" i="3"/>
  <c r="AC83" i="3"/>
  <c r="AC115" i="3"/>
  <c r="AC147" i="3"/>
  <c r="AC175" i="3"/>
  <c r="AC203" i="3"/>
  <c r="AC231" i="3"/>
  <c r="AC263" i="3"/>
  <c r="AC287" i="3"/>
  <c r="AC319" i="3"/>
  <c r="AC12" i="3"/>
  <c r="AC41" i="3"/>
  <c r="AC133" i="3"/>
  <c r="AC233" i="3"/>
  <c r="AC313" i="3"/>
  <c r="AC373" i="3"/>
  <c r="AC421" i="3"/>
  <c r="AC461" i="3"/>
  <c r="AC521" i="3"/>
  <c r="AC565" i="3"/>
  <c r="AC609" i="3"/>
  <c r="AC24" i="3"/>
  <c r="AC56" i="3"/>
  <c r="AC88" i="3"/>
  <c r="AC120" i="3"/>
  <c r="AC156" i="3"/>
  <c r="AC188" i="3"/>
  <c r="AC220" i="3"/>
  <c r="AC252" i="3"/>
  <c r="AC284" i="3"/>
  <c r="AC316" i="3"/>
  <c r="AC53" i="3"/>
  <c r="AC137" i="3"/>
  <c r="AC229" i="3"/>
  <c r="AC329" i="3"/>
  <c r="AC393" i="3"/>
  <c r="AC445" i="3"/>
  <c r="AC481" i="3"/>
  <c r="AC537" i="3"/>
  <c r="AC581" i="3"/>
  <c r="AC633" i="3"/>
  <c r="AC355" i="3"/>
  <c r="AC371" i="3"/>
  <c r="AC387" i="3"/>
  <c r="AC403" i="3"/>
  <c r="AC419" i="3"/>
  <c r="AC435" i="3"/>
  <c r="AC451" i="3"/>
  <c r="AC467" i="3"/>
  <c r="AC483" i="3"/>
  <c r="AC499" i="3"/>
  <c r="AC515" i="3"/>
  <c r="AC531" i="3"/>
  <c r="AC547" i="3"/>
  <c r="AC563" i="3"/>
  <c r="AC579" i="3"/>
  <c r="AC595" i="3"/>
  <c r="AC611" i="3"/>
  <c r="AC627" i="3"/>
  <c r="AC364" i="3"/>
  <c r="AC396" i="3"/>
  <c r="AC428" i="3"/>
  <c r="AC460" i="3"/>
  <c r="AC492" i="3"/>
  <c r="AC524" i="3"/>
  <c r="AC556" i="3"/>
  <c r="AC588" i="3"/>
  <c r="AC620" i="3"/>
  <c r="AC10" i="3"/>
  <c r="AC42" i="3"/>
  <c r="AC74" i="3"/>
  <c r="AC106" i="3"/>
  <c r="AC138" i="3"/>
  <c r="AC170" i="3"/>
  <c r="AC202" i="3"/>
  <c r="AC234" i="3"/>
  <c r="AC266" i="3"/>
  <c r="AC298" i="3"/>
  <c r="AC330" i="3"/>
  <c r="AC362" i="3"/>
  <c r="AC394" i="3"/>
  <c r="AC426" i="3"/>
  <c r="AC458" i="3"/>
  <c r="AC490" i="3"/>
  <c r="AC522" i="3"/>
  <c r="AC554" i="3"/>
  <c r="AC586" i="3"/>
  <c r="AC618" i="3"/>
  <c r="AC23" i="3"/>
  <c r="AC95" i="3"/>
  <c r="AC159" i="3"/>
  <c r="AC235" i="3"/>
  <c r="AC307" i="3"/>
  <c r="AC44" i="3"/>
  <c r="AC108" i="3"/>
  <c r="AC168" i="3"/>
  <c r="AC264" i="3"/>
  <c r="AC328" i="3"/>
  <c r="AC153" i="3"/>
  <c r="AC345" i="3"/>
  <c r="AC437" i="3"/>
  <c r="AC529" i="3"/>
  <c r="AC7" i="3"/>
  <c r="AC99" i="3"/>
  <c r="AC163" i="3"/>
  <c r="AC219" i="3"/>
  <c r="AC275" i="3"/>
  <c r="AC331" i="3"/>
  <c r="AC85" i="3"/>
  <c r="AC265" i="3"/>
  <c r="AC397" i="3"/>
  <c r="AC501" i="3"/>
  <c r="AC589" i="3"/>
  <c r="AC40" i="3"/>
  <c r="AC104" i="3"/>
  <c r="AC172" i="3"/>
  <c r="AC236" i="3"/>
  <c r="AC300" i="3"/>
  <c r="AC89" i="3"/>
  <c r="AC277" i="3"/>
  <c r="AC413" i="3"/>
  <c r="AC465" i="3"/>
  <c r="AC509" i="3"/>
  <c r="AC605" i="3"/>
  <c r="AC347" i="3"/>
  <c r="AC363" i="3"/>
  <c r="AC379" i="3"/>
  <c r="AC395" i="3"/>
  <c r="AC411" i="3"/>
  <c r="AC427" i="3"/>
  <c r="AC443" i="3"/>
  <c r="AC459" i="3"/>
  <c r="AC475" i="3"/>
  <c r="AC491" i="3"/>
  <c r="AC507" i="3"/>
  <c r="AC523" i="3"/>
  <c r="AC539" i="3"/>
  <c r="AC555" i="3"/>
  <c r="AC571" i="3"/>
  <c r="AC587" i="3"/>
  <c r="AC603" i="3"/>
  <c r="AC619" i="3"/>
  <c r="AC348" i="3"/>
  <c r="AC380" i="3"/>
  <c r="AC412" i="3"/>
  <c r="AC444" i="3"/>
  <c r="AC508" i="3"/>
  <c r="AC540" i="3"/>
  <c r="AC572" i="3"/>
  <c r="AC604" i="3"/>
  <c r="AC14" i="3"/>
  <c r="AC46" i="3"/>
  <c r="AC78" i="3"/>
  <c r="AC110" i="3"/>
  <c r="AC142" i="3"/>
  <c r="AC174" i="3"/>
  <c r="AC206" i="3"/>
  <c r="AC238" i="3"/>
  <c r="AC270" i="3"/>
  <c r="AC286" i="3"/>
  <c r="AC318" i="3"/>
  <c r="AC366" i="3"/>
  <c r="AC398" i="3"/>
  <c r="AC430" i="3"/>
  <c r="AC462" i="3"/>
  <c r="AC494" i="3"/>
  <c r="AC526" i="3"/>
  <c r="AC558" i="3"/>
  <c r="AC590" i="3"/>
  <c r="AC606" i="3"/>
  <c r="AC6" i="3"/>
  <c r="AC22" i="3"/>
  <c r="AC38" i="3"/>
  <c r="AC54" i="3"/>
  <c r="AC70" i="3"/>
  <c r="AC86" i="3"/>
  <c r="AC102" i="3"/>
  <c r="AC118" i="3"/>
  <c r="AC134" i="3"/>
  <c r="AC150" i="3"/>
  <c r="AC166" i="3"/>
  <c r="AC182" i="3"/>
  <c r="AC198" i="3"/>
  <c r="AC214" i="3"/>
  <c r="AC230" i="3"/>
  <c r="AC246" i="3"/>
  <c r="AC262" i="3"/>
  <c r="AC278" i="3"/>
  <c r="AC294" i="3"/>
  <c r="AC310" i="3"/>
  <c r="AC326" i="3"/>
  <c r="AC342" i="3"/>
  <c r="AC358" i="3"/>
  <c r="AC374" i="3"/>
  <c r="AC390" i="3"/>
  <c r="AC406" i="3"/>
  <c r="AC422" i="3"/>
  <c r="AC438" i="3"/>
  <c r="AC454" i="3"/>
  <c r="AC470" i="3"/>
  <c r="AC486" i="3"/>
  <c r="AC502" i="3"/>
  <c r="AC518" i="3"/>
  <c r="AC534" i="3"/>
  <c r="AC550" i="3"/>
  <c r="AC566" i="3"/>
  <c r="AC582" i="3"/>
  <c r="AC598" i="3"/>
  <c r="AC614" i="3"/>
  <c r="AC630" i="3"/>
  <c r="AC15" i="3"/>
  <c r="AC47" i="3"/>
  <c r="AC87" i="3"/>
  <c r="AC119" i="3"/>
  <c r="AC151" i="3"/>
  <c r="AC187" i="3"/>
  <c r="AC223" i="3"/>
  <c r="AC259" i="3"/>
  <c r="AC299" i="3"/>
  <c r="AC335" i="3"/>
  <c r="AC32" i="3"/>
  <c r="AC68" i="3"/>
  <c r="AC100" i="3"/>
  <c r="AC128" i="3"/>
  <c r="AC160" i="3"/>
  <c r="AC192" i="3"/>
  <c r="AC224" i="3"/>
  <c r="AC256" i="3"/>
  <c r="AC288" i="3"/>
  <c r="AC320" i="3"/>
  <c r="AC9" i="3"/>
  <c r="AC117" i="3"/>
  <c r="AC217" i="3"/>
  <c r="AC325" i="3"/>
  <c r="AC381" i="3"/>
  <c r="AC425" i="3"/>
  <c r="AC477" i="3"/>
  <c r="AC517" i="3"/>
  <c r="AC569" i="3"/>
  <c r="AC625" i="3"/>
  <c r="AC35" i="3"/>
  <c r="AC63" i="3"/>
  <c r="AC91" i="3"/>
  <c r="AC123" i="3"/>
  <c r="AC155" i="3"/>
  <c r="AC183" i="3"/>
  <c r="AC211" i="3"/>
  <c r="AC239" i="3"/>
  <c r="AC267" i="3"/>
  <c r="AC295" i="3"/>
  <c r="AC323" i="3"/>
  <c r="AC20" i="3"/>
  <c r="AC57" i="3"/>
  <c r="AC149" i="3"/>
  <c r="AC261" i="3"/>
  <c r="AC341" i="3"/>
  <c r="AC385" i="3"/>
  <c r="AC429" i="3"/>
  <c r="AC489" i="3"/>
  <c r="AC533" i="3"/>
  <c r="AC577" i="3"/>
  <c r="AC621" i="3"/>
  <c r="AC36" i="3"/>
  <c r="AC64" i="3"/>
  <c r="AC96" i="3"/>
  <c r="AC132" i="3"/>
  <c r="AC164" i="3"/>
  <c r="AC196" i="3"/>
  <c r="AC228" i="3"/>
  <c r="AC260" i="3"/>
  <c r="AC292" i="3"/>
  <c r="AC324" i="3"/>
  <c r="AC73" i="3"/>
  <c r="AC165" i="3"/>
  <c r="AC249" i="3"/>
  <c r="AC349" i="3"/>
  <c r="AC401" i="3"/>
  <c r="AC457" i="3"/>
  <c r="AC493" i="3"/>
  <c r="AC549" i="3"/>
  <c r="AC593" i="3"/>
  <c r="AC343" i="3"/>
  <c r="AC359" i="3"/>
  <c r="AC375" i="3"/>
  <c r="AC391" i="3"/>
  <c r="AC407" i="3"/>
  <c r="AC423" i="3"/>
  <c r="AC439" i="3"/>
  <c r="AC455" i="3"/>
  <c r="AC471" i="3"/>
  <c r="AC487" i="3"/>
  <c r="AC503" i="3"/>
  <c r="AC519" i="3"/>
  <c r="AC535" i="3"/>
  <c r="AC551" i="3"/>
  <c r="AC567" i="3"/>
  <c r="AC583" i="3"/>
  <c r="AC599" i="3"/>
  <c r="AC615" i="3"/>
  <c r="AC631" i="3"/>
  <c r="AC372" i="3"/>
  <c r="AC404" i="3"/>
  <c r="AC436" i="3"/>
  <c r="AC468" i="3"/>
  <c r="AC500" i="3"/>
  <c r="AC532" i="3"/>
  <c r="AC564" i="3"/>
  <c r="AC596" i="3"/>
  <c r="AC628" i="3"/>
  <c r="W380" i="3"/>
  <c r="W173" i="3"/>
  <c r="W319" i="3"/>
  <c r="W404" i="3"/>
  <c r="W179" i="3"/>
  <c r="W428" i="3"/>
  <c r="W149" i="3"/>
  <c r="W422" i="3"/>
  <c r="W364" i="3"/>
  <c r="W29" i="3"/>
  <c r="W358" i="3"/>
  <c r="Y486" i="3"/>
  <c r="W486" i="3" s="1"/>
  <c r="Y2" i="3"/>
  <c r="Y35" i="3"/>
  <c r="W35" i="3" s="1"/>
  <c r="Y67" i="3"/>
  <c r="W67" i="3" s="1"/>
  <c r="Y99" i="3"/>
  <c r="W99" i="3" s="1"/>
  <c r="Y24" i="3"/>
  <c r="W24" i="3" s="1"/>
  <c r="Y72" i="3"/>
  <c r="W72" i="3" s="1"/>
  <c r="Y108" i="3"/>
  <c r="W108" i="3" s="1"/>
  <c r="Y172" i="3"/>
  <c r="W172" i="3" s="1"/>
  <c r="Y216" i="3"/>
  <c r="W216" i="3" s="1"/>
  <c r="Y264" i="3"/>
  <c r="W264" i="3" s="1"/>
  <c r="Y304" i="3"/>
  <c r="W304" i="3" s="1"/>
  <c r="Y344" i="3"/>
  <c r="W344" i="3" s="1"/>
  <c r="Y89" i="3"/>
  <c r="W89" i="3" s="1"/>
  <c r="Y161" i="3"/>
  <c r="W161" i="3" s="1"/>
  <c r="Y14" i="3"/>
  <c r="W14" i="3" s="1"/>
  <c r="Y54" i="3"/>
  <c r="W54" i="3" s="1"/>
  <c r="Y98" i="3"/>
  <c r="W98" i="3" s="1"/>
  <c r="Y142" i="3"/>
  <c r="W142" i="3" s="1"/>
  <c r="Y182" i="3"/>
  <c r="W182" i="3" s="1"/>
  <c r="Y226" i="3"/>
  <c r="W226" i="3" s="1"/>
  <c r="Y290" i="3"/>
  <c r="W290" i="3" s="1"/>
  <c r="Y338" i="3"/>
  <c r="W338" i="3" s="1"/>
  <c r="Y446" i="3"/>
  <c r="W446" i="3" s="1"/>
  <c r="Y558" i="3"/>
  <c r="W558" i="3" s="1"/>
  <c r="Y376" i="3"/>
  <c r="W376" i="3" s="1"/>
  <c r="Y351" i="3"/>
  <c r="W351" i="3" s="1"/>
  <c r="Y395" i="3"/>
  <c r="W395" i="3" s="1"/>
  <c r="Y435" i="3"/>
  <c r="W435" i="3" s="1"/>
  <c r="Y475" i="3"/>
  <c r="W475" i="3" s="1"/>
  <c r="Y519" i="3"/>
  <c r="W519" i="3" s="1"/>
  <c r="Y583" i="3"/>
  <c r="W583" i="3" s="1"/>
  <c r="Y627" i="3"/>
  <c r="W627" i="3" s="1"/>
  <c r="Y309" i="3"/>
  <c r="W309" i="3" s="1"/>
  <c r="Y124" i="3"/>
  <c r="W124" i="3" s="1"/>
  <c r="Y252" i="3"/>
  <c r="W252" i="3" s="1"/>
  <c r="Y5" i="3"/>
  <c r="W5" i="3" s="1"/>
  <c r="Y69" i="3"/>
  <c r="W69" i="3" s="1"/>
  <c r="Y157" i="3"/>
  <c r="W157" i="3" s="1"/>
  <c r="Y233" i="3"/>
  <c r="W233" i="3" s="1"/>
  <c r="Y265" i="3"/>
  <c r="W265" i="3" s="1"/>
  <c r="Y297" i="3"/>
  <c r="W297" i="3" s="1"/>
  <c r="Y337" i="3"/>
  <c r="W337" i="3" s="1"/>
  <c r="Y369" i="3"/>
  <c r="W369" i="3" s="1"/>
  <c r="Y401" i="3"/>
  <c r="W401" i="3" s="1"/>
  <c r="Y58" i="3"/>
  <c r="W58" i="3" s="1"/>
  <c r="Y250" i="3"/>
  <c r="W250" i="3" s="1"/>
  <c r="Y350" i="3"/>
  <c r="W350" i="3" s="1"/>
  <c r="Y418" i="3"/>
  <c r="W418" i="3" s="1"/>
  <c r="Y417" i="3"/>
  <c r="W417" i="3" s="1"/>
  <c r="Y449" i="3"/>
  <c r="W449" i="3" s="1"/>
  <c r="Y481" i="3"/>
  <c r="W481" i="3" s="1"/>
  <c r="Y513" i="3"/>
  <c r="W513" i="3" s="1"/>
  <c r="Y561" i="3"/>
  <c r="W561" i="3" s="1"/>
  <c r="Y593" i="3"/>
  <c r="W593" i="3" s="1"/>
  <c r="Y625" i="3"/>
  <c r="W625" i="3" s="1"/>
  <c r="Y311" i="3"/>
  <c r="W311" i="3" s="1"/>
  <c r="Y390" i="3"/>
  <c r="W390" i="3" s="1"/>
  <c r="Y470" i="3"/>
  <c r="W470" i="3" s="1"/>
  <c r="Y534" i="3"/>
  <c r="W534" i="3" s="1"/>
  <c r="Y590" i="3"/>
  <c r="W590" i="3" s="1"/>
  <c r="Y588" i="3"/>
  <c r="W588" i="3" s="1"/>
  <c r="Y618" i="3"/>
  <c r="W618" i="3" s="1"/>
  <c r="Y243" i="3"/>
  <c r="W243" i="3" s="1"/>
  <c r="Y339" i="3"/>
  <c r="W339" i="3" s="1"/>
  <c r="Y479" i="3"/>
  <c r="W479" i="3" s="1"/>
  <c r="Y607" i="3"/>
  <c r="W607" i="3" s="1"/>
  <c r="Y512" i="3"/>
  <c r="W512" i="3" s="1"/>
  <c r="Y275" i="3"/>
  <c r="W275" i="3" s="1"/>
  <c r="Y464" i="3"/>
  <c r="W464" i="3" s="1"/>
  <c r="Y7" i="3"/>
  <c r="W7" i="3" s="1"/>
  <c r="Y39" i="3"/>
  <c r="W39" i="3" s="1"/>
  <c r="Y71" i="3"/>
  <c r="W71" i="3" s="1"/>
  <c r="Y103" i="3"/>
  <c r="W103" i="3" s="1"/>
  <c r="Y48" i="3"/>
  <c r="W48" i="3" s="1"/>
  <c r="Y92" i="3"/>
  <c r="W92" i="3" s="1"/>
  <c r="Y140" i="3"/>
  <c r="W140" i="3" s="1"/>
  <c r="Y176" i="3"/>
  <c r="W176" i="3" s="1"/>
  <c r="Y204" i="3"/>
  <c r="W204" i="3" s="1"/>
  <c r="Y268" i="3"/>
  <c r="W268" i="3" s="1"/>
  <c r="Y308" i="3"/>
  <c r="W308" i="3" s="1"/>
  <c r="Y352" i="3"/>
  <c r="W352" i="3" s="1"/>
  <c r="Y105" i="3"/>
  <c r="W105" i="3" s="1"/>
  <c r="Y169" i="3"/>
  <c r="W169" i="3" s="1"/>
  <c r="Y18" i="3"/>
  <c r="W18" i="3" s="1"/>
  <c r="Y62" i="3"/>
  <c r="W62" i="3" s="1"/>
  <c r="Y126" i="3"/>
  <c r="W126" i="3" s="1"/>
  <c r="Y166" i="3"/>
  <c r="W166" i="3" s="1"/>
  <c r="Y210" i="3"/>
  <c r="W210" i="3" s="1"/>
  <c r="Y254" i="3"/>
  <c r="W254" i="3" s="1"/>
  <c r="Y294" i="3"/>
  <c r="W294" i="3" s="1"/>
  <c r="Y366" i="3"/>
  <c r="W366" i="3" s="1"/>
  <c r="Y450" i="3"/>
  <c r="W450" i="3" s="1"/>
  <c r="Y622" i="3"/>
  <c r="W622" i="3" s="1"/>
  <c r="Y632" i="3"/>
  <c r="W632" i="3" s="1"/>
  <c r="Y419" i="3"/>
  <c r="W419" i="3" s="1"/>
  <c r="Y459" i="3"/>
  <c r="W459" i="3" s="1"/>
  <c r="Y503" i="3"/>
  <c r="W503" i="3" s="1"/>
  <c r="Y567" i="3"/>
  <c r="W567" i="3" s="1"/>
  <c r="Y611" i="3"/>
  <c r="W611" i="3" s="1"/>
  <c r="Y568" i="3"/>
  <c r="W568" i="3" s="1"/>
  <c r="Y64" i="3"/>
  <c r="W64" i="3" s="1"/>
  <c r="Y192" i="3"/>
  <c r="W192" i="3" s="1"/>
  <c r="Y332" i="3"/>
  <c r="W332" i="3" s="1"/>
  <c r="Y13" i="3"/>
  <c r="W13" i="3" s="1"/>
  <c r="Y109" i="3"/>
  <c r="W109" i="3" s="1"/>
  <c r="Y181" i="3"/>
  <c r="W181" i="3" s="1"/>
  <c r="Y237" i="3"/>
  <c r="W237" i="3" s="1"/>
  <c r="Y285" i="3"/>
  <c r="W285" i="3" s="1"/>
  <c r="Y321" i="3"/>
  <c r="W321" i="3" s="1"/>
  <c r="Y357" i="3"/>
  <c r="W357" i="3" s="1"/>
  <c r="Y389" i="3"/>
  <c r="W389" i="3" s="1"/>
  <c r="Y10" i="3"/>
  <c r="W10" i="3" s="1"/>
  <c r="Y202" i="3"/>
  <c r="W202" i="3" s="1"/>
  <c r="Y314" i="3"/>
  <c r="W314" i="3" s="1"/>
  <c r="Y398" i="3"/>
  <c r="W398" i="3" s="1"/>
  <c r="Y133" i="3"/>
  <c r="W133" i="3" s="1"/>
  <c r="Y421" i="3"/>
  <c r="W421" i="3" s="1"/>
  <c r="Y453" i="3"/>
  <c r="W453" i="3" s="1"/>
  <c r="Y485" i="3"/>
  <c r="W485" i="3" s="1"/>
  <c r="Y517" i="3"/>
  <c r="W517" i="3" s="1"/>
  <c r="Y549" i="3"/>
  <c r="W549" i="3" s="1"/>
  <c r="Y581" i="3"/>
  <c r="W581" i="3" s="1"/>
  <c r="Y613" i="3"/>
  <c r="W613" i="3" s="1"/>
  <c r="Y135" i="3"/>
  <c r="W135" i="3" s="1"/>
  <c r="Y548" i="3"/>
  <c r="W548" i="3" s="1"/>
  <c r="Y454" i="3"/>
  <c r="W454" i="3" s="1"/>
  <c r="Y510" i="3"/>
  <c r="W510" i="3" s="1"/>
  <c r="Y570" i="3"/>
  <c r="W570" i="3" s="1"/>
  <c r="Y199" i="3"/>
  <c r="W199" i="3" s="1"/>
  <c r="Y506" i="3"/>
  <c r="W506" i="3" s="1"/>
  <c r="Y183" i="3"/>
  <c r="W183" i="3" s="1"/>
  <c r="Y307" i="3"/>
  <c r="W307" i="3" s="1"/>
  <c r="Y431" i="3"/>
  <c r="W431" i="3" s="1"/>
  <c r="Y559" i="3"/>
  <c r="W559" i="3" s="1"/>
  <c r="Y460" i="3"/>
  <c r="W460" i="3" s="1"/>
  <c r="Y540" i="3"/>
  <c r="W540" i="3" s="1"/>
  <c r="Y368" i="3"/>
  <c r="W368" i="3" s="1"/>
  <c r="Y27" i="3"/>
  <c r="W27" i="3" s="1"/>
  <c r="Y59" i="3"/>
  <c r="W59" i="3" s="1"/>
  <c r="Y91" i="3"/>
  <c r="W91" i="3" s="1"/>
  <c r="Y36" i="3"/>
  <c r="W36" i="3" s="1"/>
  <c r="Y80" i="3"/>
  <c r="W80" i="3" s="1"/>
  <c r="Y120" i="3"/>
  <c r="W120" i="3" s="1"/>
  <c r="Y164" i="3"/>
  <c r="W164" i="3" s="1"/>
  <c r="Y248" i="3"/>
  <c r="W248" i="3" s="1"/>
  <c r="Y312" i="3"/>
  <c r="W312" i="3" s="1"/>
  <c r="Y356" i="3"/>
  <c r="W356" i="3" s="1"/>
  <c r="Y113" i="3"/>
  <c r="W113" i="3" s="1"/>
  <c r="Y177" i="3"/>
  <c r="W177" i="3" s="1"/>
  <c r="Y22" i="3"/>
  <c r="W22" i="3" s="1"/>
  <c r="Y66" i="3"/>
  <c r="W66" i="3" s="1"/>
  <c r="Y130" i="3"/>
  <c r="W130" i="3" s="1"/>
  <c r="Y174" i="3"/>
  <c r="W174" i="3" s="1"/>
  <c r="Y214" i="3"/>
  <c r="W214" i="3" s="1"/>
  <c r="Y258" i="3"/>
  <c r="W258" i="3" s="1"/>
  <c r="Y302" i="3"/>
  <c r="W302" i="3" s="1"/>
  <c r="Y370" i="3"/>
  <c r="W370" i="3" s="1"/>
  <c r="Y466" i="3"/>
  <c r="W466" i="3" s="1"/>
  <c r="Y626" i="3"/>
  <c r="W626" i="3" s="1"/>
  <c r="Y343" i="3"/>
  <c r="W343" i="3" s="1"/>
  <c r="Y403" i="3"/>
  <c r="W403" i="3" s="1"/>
  <c r="Y443" i="3"/>
  <c r="W443" i="3" s="1"/>
  <c r="Y487" i="3"/>
  <c r="W487" i="3" s="1"/>
  <c r="Y531" i="3"/>
  <c r="W531" i="3" s="1"/>
  <c r="Y571" i="3"/>
  <c r="W571" i="3" s="1"/>
  <c r="Y595" i="3"/>
  <c r="W595" i="3" s="1"/>
  <c r="Y392" i="3"/>
  <c r="W392" i="3" s="1"/>
  <c r="Y96" i="3"/>
  <c r="W96" i="3" s="1"/>
  <c r="Y288" i="3"/>
  <c r="W288" i="3" s="1"/>
  <c r="Y504" i="3"/>
  <c r="W504" i="3" s="1"/>
  <c r="Y49" i="3"/>
  <c r="W49" i="3" s="1"/>
  <c r="Y81" i="3"/>
  <c r="W81" i="3" s="1"/>
  <c r="Y197" i="3"/>
  <c r="W197" i="3" s="1"/>
  <c r="Y241" i="3"/>
  <c r="W241" i="3" s="1"/>
  <c r="Y273" i="3"/>
  <c r="W273" i="3" s="1"/>
  <c r="Y305" i="3"/>
  <c r="W305" i="3" s="1"/>
  <c r="Y345" i="3"/>
  <c r="W345" i="3" s="1"/>
  <c r="Y377" i="3"/>
  <c r="W377" i="3" s="1"/>
  <c r="Y26" i="3"/>
  <c r="W26" i="3" s="1"/>
  <c r="Y154" i="3"/>
  <c r="W154" i="3" s="1"/>
  <c r="Y282" i="3"/>
  <c r="W282" i="3" s="1"/>
  <c r="Y374" i="3"/>
  <c r="W374" i="3" s="1"/>
  <c r="Y165" i="3"/>
  <c r="W165" i="3" s="1"/>
  <c r="Y457" i="3"/>
  <c r="W457" i="3" s="1"/>
  <c r="Y550" i="3"/>
  <c r="W550" i="3" s="1"/>
  <c r="Y19" i="3"/>
  <c r="W19" i="3" s="1"/>
  <c r="Y51" i="3"/>
  <c r="W51" i="3" s="1"/>
  <c r="Y83" i="3"/>
  <c r="W83" i="3" s="1"/>
  <c r="Y8" i="3"/>
  <c r="W8" i="3" s="1"/>
  <c r="Y44" i="3"/>
  <c r="W44" i="3" s="1"/>
  <c r="Y88" i="3"/>
  <c r="W88" i="3" s="1"/>
  <c r="Y136" i="3"/>
  <c r="W136" i="3" s="1"/>
  <c r="Y152" i="3"/>
  <c r="W152" i="3" s="1"/>
  <c r="Y200" i="3"/>
  <c r="W200" i="3" s="1"/>
  <c r="Y236" i="3"/>
  <c r="W236" i="3" s="1"/>
  <c r="Y280" i="3"/>
  <c r="W280" i="3" s="1"/>
  <c r="Y324" i="3"/>
  <c r="W324" i="3" s="1"/>
  <c r="Y25" i="3"/>
  <c r="W25" i="3" s="1"/>
  <c r="Y129" i="3"/>
  <c r="W129" i="3" s="1"/>
  <c r="Y193" i="3"/>
  <c r="W193" i="3" s="1"/>
  <c r="Y34" i="3"/>
  <c r="W34" i="3" s="1"/>
  <c r="Y78" i="3"/>
  <c r="W78" i="3" s="1"/>
  <c r="Y118" i="3"/>
  <c r="W118" i="3" s="1"/>
  <c r="Y162" i="3"/>
  <c r="W162" i="3" s="1"/>
  <c r="Y206" i="3"/>
  <c r="W206" i="3" s="1"/>
  <c r="Y246" i="3"/>
  <c r="W246" i="3" s="1"/>
  <c r="Y270" i="3"/>
  <c r="W270" i="3" s="1"/>
  <c r="Y318" i="3"/>
  <c r="W318" i="3" s="1"/>
  <c r="Y402" i="3"/>
  <c r="W402" i="3" s="1"/>
  <c r="Y498" i="3"/>
  <c r="W498" i="3" s="1"/>
  <c r="Y594" i="3"/>
  <c r="W594" i="3" s="1"/>
  <c r="Y584" i="3"/>
  <c r="W584" i="3" s="1"/>
  <c r="Y375" i="3"/>
  <c r="W375" i="3" s="1"/>
  <c r="Y411" i="3"/>
  <c r="W411" i="3" s="1"/>
  <c r="Y455" i="3"/>
  <c r="W455" i="3" s="1"/>
  <c r="Y499" i="3"/>
  <c r="W499" i="3" s="1"/>
  <c r="Y539" i="3"/>
  <c r="W539" i="3" s="1"/>
  <c r="Y563" i="3"/>
  <c r="W563" i="3" s="1"/>
  <c r="Y603" i="3"/>
  <c r="W603" i="3" s="1"/>
  <c r="Y536" i="3"/>
  <c r="W536" i="3" s="1"/>
  <c r="Y60" i="3"/>
  <c r="W60" i="3"/>
  <c r="Y188" i="3"/>
  <c r="W188" i="3" s="1"/>
  <c r="Y316" i="3"/>
  <c r="W316" i="3" s="1"/>
  <c r="Y472" i="3"/>
  <c r="W472" i="3" s="1"/>
  <c r="Y37" i="3"/>
  <c r="W37" i="3" s="1"/>
  <c r="Y101" i="3"/>
  <c r="W101" i="3" s="1"/>
  <c r="Y217" i="3"/>
  <c r="W217" i="3" s="1"/>
  <c r="Y249" i="3"/>
  <c r="W249" i="3" s="1"/>
  <c r="Y281" i="3"/>
  <c r="W281" i="3" s="1"/>
  <c r="Y317" i="3"/>
  <c r="W317" i="3" s="1"/>
  <c r="Y353" i="3"/>
  <c r="W353" i="3" s="1"/>
  <c r="Y385" i="3"/>
  <c r="W385" i="3" s="1"/>
  <c r="Y3" i="3"/>
  <c r="W3" i="3" s="1"/>
  <c r="Y122" i="3"/>
  <c r="W122" i="3" s="1"/>
  <c r="Y186" i="3"/>
  <c r="W186" i="3" s="1"/>
  <c r="Y310" i="3"/>
  <c r="W310" i="3" s="1"/>
  <c r="Y382" i="3"/>
  <c r="W382" i="3" s="1"/>
  <c r="Y117" i="3"/>
  <c r="W117" i="3" s="1"/>
  <c r="Y433" i="3"/>
  <c r="W433" i="3" s="1"/>
  <c r="Y465" i="3"/>
  <c r="W465" i="3" s="1"/>
  <c r="Y497" i="3"/>
  <c r="W497" i="3" s="1"/>
  <c r="Y529" i="3"/>
  <c r="W529" i="3" s="1"/>
  <c r="Y545" i="3"/>
  <c r="W545" i="3" s="1"/>
  <c r="Y577" i="3"/>
  <c r="W577" i="3" s="1"/>
  <c r="Y609" i="3"/>
  <c r="W609" i="3" s="1"/>
  <c r="Y219" i="3"/>
  <c r="W219" i="3" s="1"/>
  <c r="Y259" i="3"/>
  <c r="W259" i="3" s="1"/>
  <c r="Y608" i="3"/>
  <c r="W608" i="3" s="1"/>
  <c r="Y442" i="3"/>
  <c r="W442" i="3" s="1"/>
  <c r="Y502" i="3"/>
  <c r="W502" i="3" s="1"/>
  <c r="Y566" i="3"/>
  <c r="W566" i="3" s="1"/>
  <c r="Y630" i="3"/>
  <c r="W630" i="3" s="1"/>
  <c r="Y532" i="3"/>
  <c r="W532" i="3" s="1"/>
  <c r="Y362" i="3"/>
  <c r="W362" i="3" s="1"/>
  <c r="Y171" i="3"/>
  <c r="W171" i="3" s="1"/>
  <c r="Y287" i="3"/>
  <c r="W287" i="3" s="1"/>
  <c r="Y415" i="3"/>
  <c r="W415" i="3" s="1"/>
  <c r="Y543" i="3"/>
  <c r="W543" i="3" s="1"/>
  <c r="Y444" i="3"/>
  <c r="W444" i="3" s="1"/>
  <c r="Y508" i="3"/>
  <c r="W508" i="3" s="1"/>
  <c r="Y576" i="3"/>
  <c r="W576" i="3" s="1"/>
  <c r="Y187" i="3"/>
  <c r="W187" i="3" s="1"/>
  <c r="Y207" i="3"/>
  <c r="W207" i="3" s="1"/>
  <c r="Y267" i="3"/>
  <c r="W267" i="3" s="1"/>
  <c r="Y119" i="3"/>
  <c r="W119" i="3" s="1"/>
  <c r="Y23" i="3"/>
  <c r="W23" i="3" s="1"/>
  <c r="Y55" i="3"/>
  <c r="W55" i="3" s="1"/>
  <c r="Y87" i="3"/>
  <c r="W87" i="3" s="1"/>
  <c r="Y12" i="3"/>
  <c r="W12" i="3" s="1"/>
  <c r="Y28" i="3"/>
  <c r="W28" i="3" s="1"/>
  <c r="Y76" i="3"/>
  <c r="W76" i="3" s="1"/>
  <c r="Y112" i="3"/>
  <c r="W112" i="3" s="1"/>
  <c r="Y156" i="3"/>
  <c r="W156" i="3" s="1"/>
  <c r="Y220" i="3"/>
  <c r="W220" i="3" s="1"/>
  <c r="Y240" i="3"/>
  <c r="W240" i="3" s="1"/>
  <c r="Y284" i="3"/>
  <c r="W284" i="3" s="1"/>
  <c r="Y328" i="3"/>
  <c r="W328" i="3" s="1"/>
  <c r="Y41" i="3"/>
  <c r="W41" i="3" s="1"/>
  <c r="Y137" i="3"/>
  <c r="W137" i="3" s="1"/>
  <c r="Y201" i="3"/>
  <c r="W201" i="3" s="1"/>
  <c r="Y38" i="3"/>
  <c r="W38" i="3" s="1"/>
  <c r="Y82" i="3"/>
  <c r="W82" i="3" s="1"/>
  <c r="Y102" i="3"/>
  <c r="W102" i="3" s="1"/>
  <c r="Y146" i="3"/>
  <c r="W146" i="3" s="1"/>
  <c r="Y190" i="3"/>
  <c r="W190" i="3" s="1"/>
  <c r="Y230" i="3"/>
  <c r="W230" i="3" s="1"/>
  <c r="Y274" i="3"/>
  <c r="W274" i="3" s="1"/>
  <c r="Y322" i="3"/>
  <c r="W322" i="3" s="1"/>
  <c r="Y414" i="3"/>
  <c r="W414" i="3" s="1"/>
  <c r="Y514" i="3"/>
  <c r="W514" i="3" s="1"/>
  <c r="Y562" i="3"/>
  <c r="W562" i="3" s="1"/>
  <c r="Y408" i="3"/>
  <c r="W408" i="3" s="1"/>
  <c r="Y359" i="3"/>
  <c r="W359" i="3" s="1"/>
  <c r="Y379" i="3"/>
  <c r="W379" i="3" s="1"/>
  <c r="Y399" i="3"/>
  <c r="W399" i="3" s="1"/>
  <c r="Y439" i="3"/>
  <c r="W439" i="3" s="1"/>
  <c r="Y483" i="3"/>
  <c r="W483" i="3" s="1"/>
  <c r="Y523" i="3"/>
  <c r="W523" i="3" s="1"/>
  <c r="Y547" i="3"/>
  <c r="W547" i="3" s="1"/>
  <c r="Y587" i="3"/>
  <c r="W587" i="3" s="1"/>
  <c r="Y631" i="3"/>
  <c r="W631" i="3" s="1"/>
  <c r="Y325" i="3"/>
  <c r="W325" i="3" s="1"/>
  <c r="Y128" i="3"/>
  <c r="W128" i="3" s="1"/>
  <c r="Y256" i="3"/>
  <c r="W256" i="3" s="1"/>
  <c r="Y488" i="3"/>
  <c r="W488" i="3" s="1"/>
  <c r="Y45" i="3"/>
  <c r="W45" i="3" s="1"/>
  <c r="Y77" i="3"/>
  <c r="W77" i="3" s="1"/>
  <c r="Y221" i="3"/>
  <c r="W221" i="3" s="1"/>
  <c r="Y253" i="3"/>
  <c r="W253" i="3" s="1"/>
  <c r="Y269" i="3"/>
  <c r="W269" i="3" s="1"/>
  <c r="Y301" i="3"/>
  <c r="W301" i="3" s="1"/>
  <c r="Y341" i="3"/>
  <c r="W341" i="3" s="1"/>
  <c r="Y373" i="3"/>
  <c r="W373" i="3" s="1"/>
  <c r="Y405" i="3"/>
  <c r="W405" i="3" s="1"/>
  <c r="Y74" i="3"/>
  <c r="W74" i="3" s="1"/>
  <c r="Y138" i="3"/>
  <c r="W138" i="3" s="1"/>
  <c r="Y266" i="3"/>
  <c r="W266" i="3" s="1"/>
  <c r="Y354" i="3"/>
  <c r="W354" i="3" s="1"/>
  <c r="Y61" i="3"/>
  <c r="W61" i="3" s="1"/>
  <c r="Y437" i="3"/>
  <c r="W437" i="3" s="1"/>
  <c r="Y469" i="3"/>
  <c r="W469" i="3" s="1"/>
  <c r="Y501" i="3"/>
  <c r="W501" i="3" s="1"/>
  <c r="Y533" i="3"/>
  <c r="W533" i="3" s="1"/>
  <c r="Y565" i="3"/>
  <c r="W565" i="3" s="1"/>
  <c r="Y597" i="3"/>
  <c r="W597" i="3" s="1"/>
  <c r="Y629" i="3"/>
  <c r="W629" i="3" s="1"/>
  <c r="Y283" i="3"/>
  <c r="W283" i="3" s="1"/>
  <c r="Y572" i="3"/>
  <c r="W572" i="3" s="1"/>
  <c r="Y394" i="3"/>
  <c r="W394" i="3" s="1"/>
  <c r="Y474" i="3"/>
  <c r="W474" i="3" s="1"/>
  <c r="Y546" i="3"/>
  <c r="W546" i="3" s="1"/>
  <c r="Y598" i="3"/>
  <c r="W598" i="3" s="1"/>
  <c r="Y195" i="3"/>
  <c r="W195" i="3" s="1"/>
  <c r="Y580" i="3"/>
  <c r="W580" i="3" s="1"/>
  <c r="Y115" i="3"/>
  <c r="W115" i="3" s="1"/>
  <c r="Y247" i="3"/>
  <c r="W247" i="3" s="1"/>
  <c r="Y355" i="3"/>
  <c r="W355" i="3" s="1"/>
  <c r="Y495" i="3"/>
  <c r="W495" i="3" s="1"/>
  <c r="Y623" i="3"/>
  <c r="W623" i="3" s="1"/>
  <c r="Y416" i="3"/>
  <c r="W416" i="3" s="1"/>
  <c r="Y604" i="3"/>
  <c r="W604" i="3" s="1"/>
  <c r="Y251" i="3"/>
  <c r="W251" i="3" s="1"/>
  <c r="Y111" i="3"/>
  <c r="W111" i="3" s="1"/>
  <c r="Y239" i="3"/>
  <c r="W239" i="3" s="1"/>
  <c r="Y496" i="3"/>
  <c r="W496" i="3" s="1"/>
  <c r="Y163" i="3"/>
  <c r="W163" i="3" s="1"/>
  <c r="Y11" i="3"/>
  <c r="W11" i="3" s="1"/>
  <c r="Y43" i="3"/>
  <c r="W43" i="3" s="1"/>
  <c r="Y75" i="3"/>
  <c r="W75" i="3" s="1"/>
  <c r="Y107" i="3"/>
  <c r="W107" i="3" s="1"/>
  <c r="Y16" i="3"/>
  <c r="W16" i="3" s="1"/>
  <c r="Y56" i="3"/>
  <c r="W56" i="3" s="1"/>
  <c r="Y100" i="3"/>
  <c r="W100" i="3" s="1"/>
  <c r="Y144" i="3"/>
  <c r="W144" i="3" s="1"/>
  <c r="Y184" i="3"/>
  <c r="W184" i="3" s="1"/>
  <c r="Y208" i="3"/>
  <c r="W208" i="3" s="1"/>
  <c r="Y228" i="3"/>
  <c r="W228" i="3" s="1"/>
  <c r="Y272" i="3"/>
  <c r="W272" i="3" s="1"/>
  <c r="Y292" i="3"/>
  <c r="W292" i="3" s="1"/>
  <c r="Y336" i="3"/>
  <c r="W336" i="3" s="1"/>
  <c r="Y57" i="3"/>
  <c r="W57" i="3" s="1"/>
  <c r="Y145" i="3"/>
  <c r="W145" i="3" s="1"/>
  <c r="Y209" i="3"/>
  <c r="W209" i="3" s="1"/>
  <c r="Y46" i="3"/>
  <c r="W46" i="3" s="1"/>
  <c r="Y86" i="3"/>
  <c r="W86" i="3" s="1"/>
  <c r="Y110" i="3"/>
  <c r="W110" i="3" s="1"/>
  <c r="Y150" i="3"/>
  <c r="W150" i="3" s="1"/>
  <c r="Y194" i="3"/>
  <c r="W194" i="3" s="1"/>
  <c r="Y238" i="3"/>
  <c r="W238" i="3" s="1"/>
  <c r="Y278" i="3"/>
  <c r="W278" i="3" s="1"/>
  <c r="Y326" i="3"/>
  <c r="W326" i="3" s="1"/>
  <c r="Y430" i="3"/>
  <c r="W430" i="3" s="1"/>
  <c r="Y530" i="3"/>
  <c r="W530" i="3" s="1"/>
  <c r="Y574" i="3"/>
  <c r="W574" i="3" s="1"/>
  <c r="Y424" i="3"/>
  <c r="W424" i="3" s="1"/>
  <c r="Y363" i="3"/>
  <c r="W363" i="3" s="1"/>
  <c r="Y383" i="3"/>
  <c r="W383" i="3" s="1"/>
  <c r="Y423" i="3"/>
  <c r="W423" i="3" s="1"/>
  <c r="Y467" i="3"/>
  <c r="W467" i="3" s="1"/>
  <c r="Y507" i="3"/>
  <c r="W507" i="3" s="1"/>
  <c r="Y551" i="3"/>
  <c r="W551" i="3" s="1"/>
  <c r="Y615" i="3"/>
  <c r="W615" i="3" s="1"/>
  <c r="Y600" i="3"/>
  <c r="W600" i="3" s="1"/>
  <c r="Y32" i="3"/>
  <c r="W32" i="3" s="1"/>
  <c r="Y160" i="3"/>
  <c r="W160" i="3" s="1"/>
  <c r="Y224" i="3"/>
  <c r="W224" i="3" s="1"/>
  <c r="Y348" i="3"/>
  <c r="W348" i="3" s="1"/>
  <c r="Y17" i="3"/>
  <c r="W17" i="3" s="1"/>
  <c r="Y125" i="3"/>
  <c r="W125" i="3" s="1"/>
  <c r="Y225" i="3"/>
  <c r="W225" i="3" s="1"/>
  <c r="Y257" i="3"/>
  <c r="W257" i="3" s="1"/>
  <c r="Y289" i="3"/>
  <c r="W289" i="3" s="1"/>
  <c r="Y329" i="3"/>
  <c r="W329" i="3" s="1"/>
  <c r="Y361" i="3"/>
  <c r="W361" i="3" s="1"/>
  <c r="Y393" i="3"/>
  <c r="W393" i="3" s="1"/>
  <c r="Y409" i="3"/>
  <c r="W409" i="3" s="1"/>
  <c r="Y90" i="3"/>
  <c r="W90" i="3" s="1"/>
  <c r="Y218" i="3"/>
  <c r="W218" i="3" s="1"/>
  <c r="Y334" i="3"/>
  <c r="W334" i="3" s="1"/>
  <c r="Y406" i="3"/>
  <c r="W406" i="3" s="1"/>
  <c r="Y65" i="3"/>
  <c r="W65" i="3" s="1"/>
  <c r="Y425" i="3"/>
  <c r="W425" i="3" s="1"/>
  <c r="Y441" i="3"/>
  <c r="W441" i="3" s="1"/>
  <c r="Y473" i="3"/>
  <c r="W473" i="3" s="1"/>
  <c r="Y489" i="3"/>
  <c r="W489" i="3" s="1"/>
  <c r="Y505" i="3"/>
  <c r="W505" i="3" s="1"/>
  <c r="Y521" i="3"/>
  <c r="W521" i="3" s="1"/>
  <c r="Y537" i="3"/>
  <c r="W537" i="3" s="1"/>
  <c r="Y553" i="3"/>
  <c r="W553" i="3" s="1"/>
  <c r="Y569" i="3"/>
  <c r="W569" i="3" s="1"/>
  <c r="Y585" i="3"/>
  <c r="W585" i="3" s="1"/>
  <c r="Y601" i="3"/>
  <c r="W601" i="3" s="1"/>
  <c r="Y617" i="3"/>
  <c r="W617" i="3" s="1"/>
  <c r="Y633" i="3"/>
  <c r="W633" i="3" s="1"/>
  <c r="Y524" i="3"/>
  <c r="W524" i="3" s="1"/>
  <c r="Y191" i="3"/>
  <c r="W191" i="3" s="1"/>
  <c r="Y528" i="3"/>
  <c r="W528" i="3" s="1"/>
  <c r="Y564" i="3"/>
  <c r="W564" i="3" s="1"/>
  <c r="Y426" i="3"/>
  <c r="W426" i="3" s="1"/>
  <c r="Y458" i="3"/>
  <c r="W458" i="3" s="1"/>
  <c r="Y478" i="3"/>
  <c r="W478" i="3" s="1"/>
  <c r="Y518" i="3"/>
  <c r="W518" i="3" s="1"/>
  <c r="Y582" i="3"/>
  <c r="W582" i="3" s="1"/>
  <c r="Y610" i="3"/>
  <c r="W610" i="3" s="1"/>
  <c r="Y159" i="3"/>
  <c r="W159" i="3" s="1"/>
  <c r="Y231" i="3"/>
  <c r="W231" i="3" s="1"/>
  <c r="Y612" i="3"/>
  <c r="W612" i="3" s="1"/>
  <c r="Y526" i="3"/>
  <c r="W526" i="3" s="1"/>
  <c r="Y127" i="3"/>
  <c r="W127" i="3" s="1"/>
  <c r="Y215" i="3"/>
  <c r="W215" i="3" s="1"/>
  <c r="Y255" i="3"/>
  <c r="W255" i="3" s="1"/>
  <c r="Y323" i="3"/>
  <c r="W323" i="3" s="1"/>
  <c r="Y371" i="3"/>
  <c r="W371" i="3" s="1"/>
  <c r="Y447" i="3"/>
  <c r="W447" i="3" s="1"/>
  <c r="Y511" i="3"/>
  <c r="W511" i="3" s="1"/>
  <c r="Y575" i="3"/>
  <c r="W575" i="3" s="1"/>
  <c r="Y342" i="3"/>
  <c r="W342" i="3" s="1"/>
  <c r="Y476" i="3"/>
  <c r="W476" i="3" s="1"/>
  <c r="Y448" i="3"/>
  <c r="W448" i="3" s="1"/>
  <c r="Y556" i="3"/>
  <c r="W556" i="3" s="1"/>
  <c r="Y620" i="3"/>
  <c r="W620" i="3" s="1"/>
  <c r="Y147" i="3"/>
  <c r="W147" i="3" s="1"/>
  <c r="Y143" i="3"/>
  <c r="W143" i="3" s="1"/>
  <c r="Y271" i="3"/>
  <c r="W271" i="3" s="1"/>
  <c r="Y139" i="3"/>
  <c r="W139" i="3" s="1"/>
  <c r="Y227" i="3"/>
  <c r="W227" i="3" s="1"/>
  <c r="Y400" i="3"/>
  <c r="W400" i="3" s="1"/>
  <c r="Y15" i="3"/>
  <c r="W15" i="3" s="1"/>
  <c r="Y31" i="3"/>
  <c r="W31" i="3" s="1"/>
  <c r="Y47" i="3"/>
  <c r="W47" i="3" s="1"/>
  <c r="Y63" i="3"/>
  <c r="W63" i="3" s="1"/>
  <c r="Y79" i="3"/>
  <c r="W79" i="3" s="1"/>
  <c r="Y95" i="3"/>
  <c r="W95" i="3" s="1"/>
  <c r="Y4" i="3"/>
  <c r="W4" i="3"/>
  <c r="Y20" i="3"/>
  <c r="W20" i="3" s="1"/>
  <c r="Y40" i="3"/>
  <c r="W40" i="3" s="1"/>
  <c r="Y68" i="3"/>
  <c r="W68" i="3" s="1"/>
  <c r="Y84" i="3"/>
  <c r="W84" i="3" s="1"/>
  <c r="Y104" i="3"/>
  <c r="W104" i="3" s="1"/>
  <c r="Y132" i="3"/>
  <c r="W132" i="3" s="1"/>
  <c r="Y148" i="3"/>
  <c r="W148" i="3" s="1"/>
  <c r="Y168" i="3"/>
  <c r="W168" i="3" s="1"/>
  <c r="Y196" i="3"/>
  <c r="W196" i="3" s="1"/>
  <c r="Y212" i="3"/>
  <c r="W212" i="3" s="1"/>
  <c r="Y232" i="3"/>
  <c r="W232" i="3" s="1"/>
  <c r="Y260" i="3"/>
  <c r="W260" i="3" s="1"/>
  <c r="Y276" i="3"/>
  <c r="W276" i="3" s="1"/>
  <c r="Y296" i="3"/>
  <c r="W296" i="3" s="1"/>
  <c r="Y320" i="3"/>
  <c r="W320" i="3" s="1"/>
  <c r="Y340" i="3"/>
  <c r="W340" i="3" s="1"/>
  <c r="Y9" i="3"/>
  <c r="W9" i="3" s="1"/>
  <c r="Y73" i="3"/>
  <c r="W73" i="3" s="1"/>
  <c r="Y121" i="3"/>
  <c r="W121" i="3" s="1"/>
  <c r="Y153" i="3"/>
  <c r="W153" i="3" s="1"/>
  <c r="Y185" i="3"/>
  <c r="W185" i="3" s="1"/>
  <c r="Y6" i="3"/>
  <c r="W6" i="3" s="1"/>
  <c r="Y30" i="3"/>
  <c r="W30" i="3" s="1"/>
  <c r="Y50" i="3"/>
  <c r="W50" i="3" s="1"/>
  <c r="Y70" i="3"/>
  <c r="W70" i="3" s="1"/>
  <c r="Y94" i="3"/>
  <c r="W94" i="3" s="1"/>
  <c r="Y114" i="3"/>
  <c r="W114" i="3" s="1"/>
  <c r="Y134" i="3"/>
  <c r="W134" i="3" s="1"/>
  <c r="Y158" i="3"/>
  <c r="W158" i="3" s="1"/>
  <c r="Y178" i="3"/>
  <c r="W178" i="3" s="1"/>
  <c r="Y198" i="3"/>
  <c r="W198" i="3" s="1"/>
  <c r="Y222" i="3"/>
  <c r="W222" i="3" s="1"/>
  <c r="Y242" i="3"/>
  <c r="W242" i="3" s="1"/>
  <c r="Y262" i="3"/>
  <c r="W262" i="3" s="1"/>
  <c r="Y286" i="3"/>
  <c r="W286" i="3" s="1"/>
  <c r="Y306" i="3"/>
  <c r="W306" i="3" s="1"/>
  <c r="Y330" i="3"/>
  <c r="W330" i="3" s="1"/>
  <c r="Y386" i="3"/>
  <c r="W386" i="3" s="1"/>
  <c r="Y434" i="3"/>
  <c r="W434" i="3" s="1"/>
  <c r="Y494" i="3"/>
  <c r="W494" i="3" s="1"/>
  <c r="Y542" i="3"/>
  <c r="W542" i="3" s="1"/>
  <c r="Y578" i="3"/>
  <c r="W578" i="3" s="1"/>
  <c r="Y360" i="3"/>
  <c r="W360" i="3" s="1"/>
  <c r="Y552" i="3"/>
  <c r="W552" i="3" s="1"/>
  <c r="Y347" i="3"/>
  <c r="W347" i="3" s="1"/>
  <c r="Y367" i="3"/>
  <c r="W367" i="3" s="1"/>
  <c r="Y391" i="3"/>
  <c r="W391" i="3" s="1"/>
  <c r="Y407" i="3"/>
  <c r="W407" i="3" s="1"/>
  <c r="Y427" i="3"/>
  <c r="W427" i="3" s="1"/>
  <c r="Y451" i="3"/>
  <c r="W451" i="3" s="1"/>
  <c r="Y471" i="3"/>
  <c r="W471" i="3" s="1"/>
  <c r="Y491" i="3"/>
  <c r="W491" i="3" s="1"/>
  <c r="Y515" i="3"/>
  <c r="W515" i="3" s="1"/>
  <c r="Y535" i="3"/>
  <c r="W535" i="3" s="1"/>
  <c r="Y555" i="3"/>
  <c r="W555" i="3" s="1"/>
  <c r="Y579" i="3"/>
  <c r="W579" i="3" s="1"/>
  <c r="Y599" i="3"/>
  <c r="W599" i="3" s="1"/>
  <c r="Y619" i="3"/>
  <c r="W619" i="3" s="1"/>
  <c r="Y440" i="3"/>
  <c r="W440" i="3" s="1"/>
  <c r="Y616" i="3"/>
  <c r="W616" i="3" s="1"/>
  <c r="Y52" i="3"/>
  <c r="W52" i="3" s="1"/>
  <c r="Y116" i="3"/>
  <c r="W116" i="3" s="1"/>
  <c r="Y180" i="3"/>
  <c r="W180" i="3" s="1"/>
  <c r="Y244" i="3"/>
  <c r="W244" i="3" s="1"/>
  <c r="Y300" i="3"/>
  <c r="W300" i="3" s="1"/>
  <c r="Y456" i="3"/>
  <c r="W456" i="3" s="1"/>
  <c r="Y520" i="3"/>
  <c r="W520" i="3" s="1"/>
  <c r="Y21" i="3"/>
  <c r="W21" i="3" s="1"/>
  <c r="Y53" i="3"/>
  <c r="W53" i="3" s="1"/>
  <c r="Y85" i="3"/>
  <c r="W85" i="3" s="1"/>
  <c r="Y141" i="3"/>
  <c r="W141" i="3" s="1"/>
  <c r="Y213" i="3"/>
  <c r="W213" i="3" s="1"/>
  <c r="Y229" i="3"/>
  <c r="W229" i="3" s="1"/>
  <c r="Y245" i="3"/>
  <c r="W245" i="3" s="1"/>
  <c r="Y261" i="3"/>
  <c r="W261" i="3" s="1"/>
  <c r="Y277" i="3"/>
  <c r="W277" i="3" s="1"/>
  <c r="Y293" i="3"/>
  <c r="W293" i="3" s="1"/>
  <c r="Y313" i="3"/>
  <c r="W313" i="3" s="1"/>
  <c r="Y333" i="3"/>
  <c r="W333" i="3" s="1"/>
  <c r="Y349" i="3"/>
  <c r="W349" i="3" s="1"/>
  <c r="Y365" i="3"/>
  <c r="W365" i="3" s="1"/>
  <c r="Y381" i="3"/>
  <c r="W381" i="3" s="1"/>
  <c r="Y397" i="3"/>
  <c r="W397" i="3" s="1"/>
  <c r="Y413" i="3"/>
  <c r="W413" i="3" s="1"/>
  <c r="Y42" i="3"/>
  <c r="W42" i="3" s="1"/>
  <c r="Y106" i="3"/>
  <c r="W106" i="3" s="1"/>
  <c r="Y170" i="3"/>
  <c r="W170" i="3" s="1"/>
  <c r="Y234" i="3"/>
  <c r="W234" i="3" s="1"/>
  <c r="Y298" i="3"/>
  <c r="W298" i="3" s="1"/>
  <c r="Y346" i="3"/>
  <c r="W346" i="3" s="1"/>
  <c r="Y378" i="3"/>
  <c r="W378" i="3" s="1"/>
  <c r="Y410" i="3"/>
  <c r="W410" i="3" s="1"/>
  <c r="Y93" i="3"/>
  <c r="W93" i="3" s="1"/>
  <c r="Y205" i="3"/>
  <c r="W205" i="3" s="1"/>
  <c r="Y429" i="3"/>
  <c r="W429" i="3" s="1"/>
  <c r="Y445" i="3"/>
  <c r="W445" i="3" s="1"/>
  <c r="Y461" i="3"/>
  <c r="W461" i="3" s="1"/>
  <c r="Y477" i="3"/>
  <c r="W477" i="3" s="1"/>
  <c r="Y493" i="3"/>
  <c r="W493" i="3" s="1"/>
  <c r="Y509" i="3"/>
  <c r="W509" i="3" s="1"/>
  <c r="Y525" i="3"/>
  <c r="W525" i="3" s="1"/>
  <c r="Y541" i="3"/>
  <c r="W541" i="3" s="1"/>
  <c r="Y557" i="3"/>
  <c r="W557" i="3" s="1"/>
  <c r="Y573" i="3"/>
  <c r="W573" i="3" s="1"/>
  <c r="Y589" i="3"/>
  <c r="W589" i="3" s="1"/>
  <c r="Y605" i="3"/>
  <c r="W605" i="3" s="1"/>
  <c r="Y621" i="3"/>
  <c r="W621" i="3" s="1"/>
  <c r="Y155" i="3"/>
  <c r="W155" i="3" s="1"/>
  <c r="Y131" i="3"/>
  <c r="W131" i="3" s="1"/>
  <c r="Y223" i="3"/>
  <c r="W223" i="3" s="1"/>
  <c r="Y544" i="3"/>
  <c r="W544" i="3" s="1"/>
  <c r="Y596" i="3"/>
  <c r="W596" i="3" s="1"/>
  <c r="Y438" i="3"/>
  <c r="W438" i="3" s="1"/>
  <c r="Y462" i="3"/>
  <c r="W462" i="3" s="1"/>
  <c r="Y482" i="3"/>
  <c r="W482" i="3" s="1"/>
  <c r="Y522" i="3"/>
  <c r="W522" i="3" s="1"/>
  <c r="Y554" i="3"/>
  <c r="W554" i="3" s="1"/>
  <c r="Y586" i="3"/>
  <c r="W586" i="3" s="1"/>
  <c r="Y614" i="3"/>
  <c r="W614" i="3" s="1"/>
  <c r="Y295" i="3"/>
  <c r="W295" i="3" s="1"/>
  <c r="Y592" i="3"/>
  <c r="W592" i="3" s="1"/>
  <c r="Y628" i="3"/>
  <c r="W628" i="3" s="1"/>
  <c r="Y606" i="3"/>
  <c r="W606" i="3" s="1"/>
  <c r="Y151" i="3"/>
  <c r="W151" i="3" s="1"/>
  <c r="Y235" i="3"/>
  <c r="W235" i="3" s="1"/>
  <c r="Y279" i="3"/>
  <c r="W279" i="3" s="1"/>
  <c r="Y327" i="3"/>
  <c r="W327" i="3" s="1"/>
  <c r="Y387" i="3"/>
  <c r="W387" i="3" s="1"/>
  <c r="Y463" i="3"/>
  <c r="W463" i="3" s="1"/>
  <c r="Y527" i="3"/>
  <c r="W527" i="3" s="1"/>
  <c r="Y591" i="3"/>
  <c r="W591" i="3" s="1"/>
  <c r="Y412" i="3"/>
  <c r="W412" i="3" s="1"/>
  <c r="Y492" i="3"/>
  <c r="W492" i="3" s="1"/>
  <c r="Y480" i="3"/>
  <c r="W480" i="3" s="1"/>
  <c r="Y560" i="3"/>
  <c r="W560" i="3" s="1"/>
  <c r="Y624" i="3"/>
  <c r="W624" i="3" s="1"/>
  <c r="Y123" i="3"/>
  <c r="W123" i="3" s="1"/>
  <c r="Y211" i="3"/>
  <c r="W211" i="3" s="1"/>
  <c r="Y175" i="3"/>
  <c r="W175" i="3" s="1"/>
  <c r="Y384" i="3"/>
  <c r="W384" i="3" s="1"/>
  <c r="Y203" i="3"/>
  <c r="W203" i="3" s="1"/>
  <c r="Y291" i="3"/>
  <c r="W291" i="3" s="1"/>
  <c r="Y432" i="3"/>
  <c r="W432" i="3" s="1"/>
  <c r="F10" i="16" l="1"/>
  <c r="W2" i="3"/>
  <c r="F9" i="16"/>
</calcChain>
</file>

<file path=xl/sharedStrings.xml><?xml version="1.0" encoding="utf-8"?>
<sst xmlns="http://schemas.openxmlformats.org/spreadsheetml/2006/main" count="13243" uniqueCount="1550">
  <si>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</si>
  <si>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</si>
  <si>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</si>
  <si>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</si>
  <si>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</si>
  <si>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</si>
  <si>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</si>
  <si>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</si>
  <si>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</si>
  <si>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</si>
  <si>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</si>
  <si>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</si>
  <si>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</si>
  <si>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</si>
  <si>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</si>
  <si>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</si>
  <si>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</si>
  <si>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</si>
  <si>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</si>
  <si>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</si>
  <si>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</si>
  <si>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</si>
  <si>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</si>
  <si>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</si>
  <si>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</si>
  <si>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</si>
  <si>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</si>
  <si>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</si>
  <si>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</si>
  <si>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</si>
  <si>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</si>
  <si>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</si>
  <si>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</si>
  <si>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</si>
  <si>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</si>
  <si>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</si>
  <si>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</si>
  <si>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</si>
  <si>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</si>
  <si>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</si>
  <si>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</si>
  <si>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</si>
  <si>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</si>
  <si>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</si>
  <si>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</si>
  <si>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</si>
  <si>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</si>
  <si>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</si>
  <si>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</si>
  <si>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</si>
  <si>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</si>
  <si>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</si>
  <si>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</si>
  <si>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</si>
  <si>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</si>
  <si>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</si>
  <si>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</si>
  <si>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</si>
  <si>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</si>
  <si>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</si>
  <si>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</si>
  <si>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</si>
  <si>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</si>
  <si>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</si>
  <si>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</si>
  <si>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</si>
  <si>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</si>
  <si>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</si>
  <si>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</si>
  <si>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</si>
  <si>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</si>
  <si>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</si>
  <si>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</si>
  <si>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</si>
  <si>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</si>
  <si>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</si>
  <si>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</si>
  <si>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</si>
  <si>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</si>
  <si>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</si>
  <si>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</si>
  <si>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</si>
  <si>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</si>
  <si>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</si>
  <si>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</si>
  <si>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</si>
  <si>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</si>
  <si>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</si>
  <si>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</si>
  <si>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</si>
  <si>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</si>
  <si>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</si>
  <si>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</si>
  <si>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</si>
  <si>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</si>
  <si>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</si>
  <si>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</si>
  <si>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</si>
  <si>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</si>
  <si>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</si>
  <si>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</si>
  <si>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</si>
  <si>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</si>
  <si>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</si>
  <si>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</si>
  <si>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</si>
  <si>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</si>
  <si>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</si>
  <si>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</si>
  <si>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</si>
  <si>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</si>
  <si>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</si>
  <si>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</si>
  <si>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</si>
  <si>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</si>
  <si>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</si>
  <si>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</si>
  <si>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</si>
  <si>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</si>
  <si>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</si>
  <si>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</si>
  <si>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</si>
  <si>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</si>
  <si>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</si>
  <si>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</si>
  <si>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</si>
  <si>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</si>
  <si>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</si>
  <si>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</si>
  <si>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</si>
  <si>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</si>
  <si>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</si>
  <si>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</si>
  <si>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</si>
  <si>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</si>
  <si>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</si>
  <si>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</si>
  <si>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</si>
  <si>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</si>
  <si>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</si>
  <si>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</si>
  <si>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</si>
  <si>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</si>
  <si>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</si>
  <si>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</si>
  <si>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</si>
  <si>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</si>
  <si>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</si>
  <si>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</si>
  <si>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</si>
  <si>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</si>
  <si>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</si>
  <si>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</si>
  <si>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</si>
  <si>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</si>
  <si>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</si>
  <si>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</si>
  <si>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</si>
  <si>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</si>
  <si>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</si>
  <si>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</si>
  <si>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</si>
  <si>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</si>
  <si>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</si>
  <si>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</si>
  <si>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</si>
  <si>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</si>
  <si>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</si>
  <si>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</si>
  <si>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</si>
  <si>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</si>
  <si>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</si>
  <si>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</si>
  <si>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</si>
  <si>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</si>
  <si>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</si>
  <si>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</si>
  <si>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</si>
  <si>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</si>
  <si>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</si>
  <si>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</si>
  <si>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</si>
  <si>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</si>
  <si>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</si>
  <si>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</si>
  <si>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</si>
  <si>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</si>
  <si>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</si>
  <si>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</si>
  <si>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</si>
  <si>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</si>
  <si>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</si>
  <si>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</si>
  <si>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</si>
  <si>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</si>
  <si>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</si>
  <si>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</si>
  <si>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</si>
  <si>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</si>
  <si>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</si>
  <si>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</si>
  <si>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</si>
  <si>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</si>
  <si>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</si>
  <si>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</si>
  <si>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</si>
  <si>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</si>
  <si>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</si>
  <si>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</si>
  <si>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</si>
  <si>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</si>
  <si>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</si>
  <si>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</si>
  <si>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</si>
  <si>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</si>
  <si>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</si>
  <si>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</si>
  <si>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</si>
  <si>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</si>
  <si>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</si>
  <si>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</si>
  <si>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</si>
  <si>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</si>
  <si>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</si>
  <si>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</si>
  <si>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</si>
  <si>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</si>
  <si>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</si>
  <si>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</si>
  <si>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</si>
  <si>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</si>
  <si>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</si>
  <si>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</si>
  <si>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</si>
  <si>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</si>
  <si>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</si>
  <si>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</si>
  <si>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</si>
  <si>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</si>
  <si>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</si>
  <si>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</si>
  <si>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</si>
  <si>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</si>
  <si>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</si>
  <si>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</si>
  <si>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</si>
  <si>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</si>
  <si>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</si>
  <si>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</si>
  <si>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</si>
  <si>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</si>
  <si>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</si>
  <si>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</si>
  <si>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</si>
  <si>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</si>
  <si>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</si>
  <si>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</si>
  <si>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</si>
  <si>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</si>
  <si>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</si>
  <si>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</si>
  <si>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</si>
  <si>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</si>
  <si>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</si>
  <si>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</si>
  <si>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</si>
  <si>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</si>
  <si>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</si>
  <si>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</si>
  <si>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</si>
  <si>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</si>
  <si>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</si>
  <si>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</si>
  <si>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</si>
  <si>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</si>
  <si>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</si>
  <si>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</si>
  <si>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</si>
  <si>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</si>
  <si>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</si>
  <si>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</si>
  <si>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</si>
  <si>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</si>
  <si>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</si>
  <si>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</si>
  <si>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</si>
  <si>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</si>
  <si>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</si>
  <si>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</si>
  <si>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</si>
  <si>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</si>
  <si>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</si>
  <si>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</si>
  <si>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</si>
  <si>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</si>
  <si>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</si>
  <si>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</si>
  <si>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</si>
  <si>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</si>
  <si>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</si>
  <si>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</si>
  <si>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</si>
  <si>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</si>
  <si>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</si>
  <si>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</si>
  <si>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</si>
  <si>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</si>
  <si>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</si>
  <si>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</si>
  <si>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</si>
  <si>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</si>
  <si>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</si>
  <si>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</si>
  <si>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</si>
  <si>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</si>
  <si>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</si>
  <si>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</si>
  <si>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</si>
  <si>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</si>
  <si>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</si>
  <si>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</si>
  <si>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</si>
  <si>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</si>
  <si>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</si>
  <si>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</si>
  <si>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</si>
  <si>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</si>
  <si>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</si>
  <si>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</si>
  <si>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</si>
  <si>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</si>
  <si>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</si>
  <si>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</si>
  <si>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</si>
  <si>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</si>
  <si>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</si>
  <si>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</si>
  <si>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</si>
  <si>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</si>
  <si>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</si>
  <si>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</si>
  <si>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</si>
  <si>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</si>
  <si>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</si>
  <si>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</si>
  <si>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</si>
  <si>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</si>
  <si>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</si>
  <si>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</si>
  <si>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</si>
  <si>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</si>
  <si>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</si>
  <si>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</si>
  <si>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</si>
  <si>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</si>
  <si>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</si>
  <si>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</si>
  <si>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</si>
  <si>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</si>
  <si>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</si>
  <si>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</si>
  <si>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</si>
  <si>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</si>
  <si>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</si>
  <si>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</si>
  <si>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</si>
  <si>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</si>
  <si>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</si>
  <si>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</si>
  <si>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</si>
  <si>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</si>
  <si>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</si>
  <si>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</si>
  <si>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</si>
  <si>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</si>
  <si>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</si>
  <si>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</si>
  <si>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</si>
  <si>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</si>
  <si>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</si>
  <si>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</si>
  <si>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</si>
  <si>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</si>
  <si>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</si>
  <si>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</si>
  <si>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</si>
  <si>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</si>
  <si>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</si>
  <si>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</si>
  <si>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</si>
  <si>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</si>
  <si>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</si>
  <si>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</si>
  <si>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</si>
  <si>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</si>
  <si>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</si>
  <si>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</si>
  <si>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</si>
  <si>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</si>
  <si>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</si>
  <si>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</si>
  <si>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</si>
  <si>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</si>
  <si>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</si>
  <si>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</si>
  <si>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</si>
  <si>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</si>
  <si>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</si>
  <si>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</si>
  <si>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</si>
  <si>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</si>
  <si>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</si>
  <si>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</si>
  <si>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</si>
  <si>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</si>
  <si>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</si>
  <si>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</si>
  <si>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</si>
  <si>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</si>
  <si>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</si>
  <si>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</si>
  <si>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</si>
  <si>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</si>
  <si>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</si>
  <si>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</si>
  <si>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</si>
  <si>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</si>
  <si>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</si>
  <si>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</si>
  <si>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</si>
  <si>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</si>
  <si>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</si>
  <si>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</si>
  <si>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</si>
  <si>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</si>
  <si>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</si>
  <si>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</si>
  <si>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</si>
  <si>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</si>
  <si>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</si>
  <si>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</si>
  <si>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</si>
  <si>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</si>
  <si>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</si>
  <si>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</si>
  <si>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</si>
  <si>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</si>
  <si>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</si>
  <si>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</si>
  <si>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</si>
  <si>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</si>
  <si>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</si>
  <si>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</si>
  <si>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</si>
  <si>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</si>
  <si>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</si>
  <si>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</si>
  <si>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</si>
  <si>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</si>
  <si>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</si>
  <si>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</si>
  <si>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</si>
  <si>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</si>
  <si>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</si>
  <si>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</si>
  <si>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</si>
  <si>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</si>
  <si>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</si>
  <si>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</si>
  <si>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</si>
  <si>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</si>
  <si>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</si>
  <si>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</si>
  <si>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</si>
  <si>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</si>
  <si>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</si>
  <si>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</si>
  <si>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</si>
  <si>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</si>
  <si>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</si>
  <si>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</si>
  <si>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</si>
  <si>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</si>
  <si>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</si>
  <si>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</si>
  <si>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</si>
  <si>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</si>
  <si>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</si>
  <si>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</si>
  <si>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</si>
  <si>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</si>
  <si>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</si>
  <si>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</si>
  <si>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</si>
  <si>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</si>
  <si>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</si>
  <si>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</si>
  <si>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</si>
  <si>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</si>
  <si>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</si>
  <si>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</si>
  <si>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</si>
  <si>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</si>
  <si>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</si>
  <si>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</si>
  <si>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</si>
  <si>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</si>
  <si>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</si>
  <si>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</si>
  <si>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</si>
  <si>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</si>
  <si>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</si>
  <si>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</si>
  <si>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</si>
  <si>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</si>
  <si>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</si>
  <si>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</si>
  <si>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</si>
  <si>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</si>
  <si>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</si>
  <si>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</si>
  <si>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</si>
  <si>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</si>
  <si>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</si>
  <si>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</si>
  <si>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</si>
  <si>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</si>
  <si>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</si>
  <si>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</si>
  <si>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</si>
  <si>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</si>
  <si>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</si>
  <si>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</si>
  <si>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</si>
  <si>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</si>
  <si>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</si>
  <si>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</si>
  <si>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</si>
  <si>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</si>
  <si>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</si>
  <si>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</si>
  <si>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</si>
  <si>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</si>
  <si>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</si>
  <si>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</si>
  <si>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</si>
  <si>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</si>
  <si>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</si>
  <si>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</si>
  <si>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</si>
  <si>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</si>
  <si>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</si>
  <si>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</si>
  <si>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</si>
  <si>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</si>
  <si>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</si>
  <si>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</si>
  <si>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</si>
  <si>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</si>
  <si>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</si>
  <si>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</si>
  <si>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</si>
  <si>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</si>
  <si>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</si>
  <si>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</si>
  <si>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</si>
  <si>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</si>
  <si>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</si>
  <si>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</si>
  <si>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</si>
  <si>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</si>
  <si>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</si>
  <si>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</si>
  <si>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</si>
  <si>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</si>
  <si>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</si>
  <si>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</si>
  <si>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</si>
  <si>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</si>
  <si>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</si>
  <si>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</si>
  <si>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</si>
  <si>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</si>
  <si>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</si>
  <si>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</si>
  <si>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</si>
  <si>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</si>
  <si>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</si>
  <si>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</si>
  <si>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</si>
  <si>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</si>
  <si>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</si>
  <si>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</si>
  <si>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</si>
  <si>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</si>
  <si>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</si>
  <si>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</si>
  <si>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</si>
  <si>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</si>
  <si>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</si>
  <si>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</si>
  <si>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</si>
  <si>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</si>
  <si>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</si>
  <si>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</si>
  <si>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</si>
  <si>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</si>
  <si>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</si>
  <si>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</si>
  <si>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</si>
  <si>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</si>
  <si>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</si>
  <si>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</si>
  <si>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</si>
  <si>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</si>
  <si>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</si>
  <si>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</si>
  <si>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</si>
  <si>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</si>
  <si>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</si>
  <si>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</si>
  <si>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</si>
  <si>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</si>
  <si>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</si>
  <si>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</si>
  <si>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</si>
  <si>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</si>
  <si>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</si>
  <si>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</si>
  <si>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</si>
  <si>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</si>
  <si>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</si>
  <si>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</si>
  <si>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</si>
  <si>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</si>
  <si>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</si>
  <si>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</si>
  <si>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</si>
  <si>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</si>
  <si>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</si>
  <si>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</si>
  <si>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</si>
  <si>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</si>
  <si>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</si>
  <si>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</si>
  <si>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</si>
  <si>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</si>
  <si>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</si>
  <si>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</si>
  <si>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</si>
  <si>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</si>
  <si>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</si>
  <si>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</si>
  <si>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</si>
  <si>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</si>
  <si>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</si>
  <si>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</si>
  <si>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</si>
  <si>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</si>
  <si>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</si>
  <si>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</si>
  <si>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</si>
  <si>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</si>
  <si>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</si>
  <si>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</si>
  <si>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</si>
  <si>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</si>
  <si>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</si>
  <si>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</si>
  <si>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</si>
  <si>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</si>
  <si>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</si>
  <si>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</si>
  <si>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</si>
  <si>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</si>
  <si>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</si>
  <si>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</si>
  <si>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</si>
  <si>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</si>
  <si>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</si>
  <si>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</si>
  <si>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</si>
  <si>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</si>
  <si>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</si>
  <si>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</si>
  <si>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</si>
  <si>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</si>
  <si>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</si>
  <si>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</si>
  <si>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</si>
  <si>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</si>
  <si>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</si>
  <si>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</si>
  <si>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</si>
  <si>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</si>
  <si>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</si>
  <si>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</si>
  <si>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</si>
  <si>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</si>
  <si>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</si>
  <si>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</si>
  <si>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</si>
  <si>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</si>
  <si>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</si>
  <si>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</si>
  <si>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</si>
  <si>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</si>
  <si>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</si>
  <si>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</si>
  <si>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</si>
  <si>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</si>
  <si>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</si>
  <si>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</si>
  <si>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</si>
  <si>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</si>
  <si>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</si>
  <si>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</si>
  <si>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</si>
  <si>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</si>
  <si>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</si>
  <si>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</si>
  <si>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</si>
  <si>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</si>
  <si>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</si>
  <si>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</si>
  <si>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</si>
  <si>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</si>
  <si>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</si>
  <si>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</si>
  <si>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</si>
  <si>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</si>
  <si>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</si>
  <si>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</si>
  <si>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</si>
  <si>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</si>
  <si>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</si>
  <si>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</si>
  <si>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</si>
  <si>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</si>
  <si>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</si>
  <si>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</si>
  <si>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</si>
  <si>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</si>
  <si>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</si>
  <si>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</si>
  <si>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</si>
  <si>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</si>
  <si>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</si>
  <si>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</si>
  <si>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</si>
  <si>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</si>
  <si>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</si>
  <si>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</si>
  <si>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</si>
  <si>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</si>
  <si>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</si>
  <si>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</si>
  <si>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</si>
  <si>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</si>
  <si>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</si>
  <si>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</si>
  <si>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</si>
  <si>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</si>
  <si>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</si>
  <si>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</si>
  <si>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</si>
  <si>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</si>
  <si>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</si>
  <si>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</si>
  <si>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</si>
  <si>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</si>
  <si>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</si>
  <si>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</si>
  <si>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</si>
  <si>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</si>
  <si>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</si>
  <si>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</si>
  <si>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</si>
  <si>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</si>
  <si>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</si>
  <si>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</si>
  <si>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</si>
  <si>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</si>
  <si>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</si>
  <si>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</si>
  <si>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</si>
  <si>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</si>
  <si>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</si>
  <si>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</si>
  <si>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</si>
  <si>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</si>
  <si>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</si>
  <si>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</si>
  <si>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</si>
  <si>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</si>
  <si>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</si>
  <si>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</si>
  <si>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</si>
  <si>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</si>
  <si>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</si>
  <si>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</si>
  <si>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</si>
  <si>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</si>
  <si>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</si>
  <si>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</si>
  <si>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</si>
  <si>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</si>
  <si>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</si>
  <si>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</si>
  <si>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</si>
  <si>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</si>
  <si>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</si>
  <si>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</si>
  <si>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</si>
  <si>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</si>
  <si>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</si>
  <si>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</si>
  <si>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</si>
  <si>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</si>
  <si>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</si>
  <si>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</si>
  <si>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</si>
  <si>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</si>
  <si>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</si>
  <si>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</si>
  <si>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</si>
  <si>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</si>
  <si>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</si>
  <si>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</si>
  <si>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</si>
  <si>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</si>
  <si>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</si>
  <si>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</si>
  <si>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</si>
  <si>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</si>
  <si>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</si>
  <si>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</si>
  <si>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</si>
  <si>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</si>
  <si>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</si>
  <si>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</si>
  <si>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</si>
  <si>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</si>
  <si>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</si>
  <si>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</si>
  <si>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</si>
  <si>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</si>
  <si>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</si>
  <si>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</si>
  <si>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</si>
  <si>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</si>
  <si>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</si>
  <si>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</si>
  <si>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</si>
  <si>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</si>
  <si>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</si>
  <si>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</si>
  <si>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</si>
  <si>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</si>
  <si>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</si>
  <si>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</si>
  <si>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</si>
  <si>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</si>
  <si>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</si>
  <si>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</si>
  <si>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</si>
  <si>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</si>
  <si>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</si>
  <si>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</si>
  <si>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</si>
  <si>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</si>
  <si>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</si>
  <si>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</si>
  <si>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</si>
  <si>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</si>
  <si>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</si>
  <si>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</si>
  <si>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</si>
  <si>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</si>
  <si>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</si>
  <si>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</si>
  <si>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</si>
  <si>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</si>
  <si>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</si>
  <si>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</si>
  <si>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</si>
  <si>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</si>
  <si>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</si>
  <si>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</si>
  <si>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</si>
  <si>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</si>
  <si>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</si>
  <si>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</si>
  <si>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</si>
  <si>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</si>
  <si>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</si>
  <si>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</si>
  <si>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</si>
  <si>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</si>
  <si>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</si>
  <si>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</si>
  <si>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</si>
  <si>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</si>
  <si>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</si>
  <si>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</si>
  <si>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</si>
  <si>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</si>
  <si>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</si>
  <si>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</si>
  <si>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</si>
  <si>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</si>
  <si>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</si>
  <si>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</si>
  <si>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</si>
  <si>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</si>
  <si>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</si>
  <si>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</si>
  <si>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</si>
  <si>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</si>
  <si>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</si>
  <si>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</si>
  <si>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</si>
  <si>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</si>
  <si>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</si>
  <si>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</si>
  <si>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</si>
  <si>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</si>
  <si>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</si>
  <si>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</si>
  <si>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</si>
  <si>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</si>
  <si>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</si>
  <si>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</si>
  <si>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</si>
  <si>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</si>
  <si>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</si>
  <si>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</si>
  <si>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</si>
  <si>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</si>
  <si>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</si>
  <si>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</si>
  <si>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</si>
  <si>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</si>
  <si>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</si>
  <si>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</si>
  <si>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</si>
  <si>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</si>
  <si>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</si>
  <si>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</si>
  <si>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</si>
  <si>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</si>
  <si>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</si>
  <si>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</si>
  <si>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</si>
  <si>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</si>
  <si>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</si>
  <si>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</si>
  <si>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</si>
  <si>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</si>
  <si>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</si>
  <si>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</si>
  <si>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</si>
  <si>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</si>
  <si>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</si>
  <si>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</si>
  <si>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</si>
  <si>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</si>
  <si>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</si>
  <si>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</si>
  <si>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</si>
  <si>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</si>
  <si>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</si>
  <si>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</si>
  <si>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</si>
  <si>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</si>
  <si>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</si>
  <si>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</si>
  <si>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</si>
  <si>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</si>
  <si>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</si>
  <si>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</si>
  <si>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</si>
  <si>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</si>
  <si>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</si>
  <si>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</si>
  <si>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</si>
  <si>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</si>
  <si>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</si>
  <si>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</si>
  <si>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</si>
  <si>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</si>
  <si>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</si>
  <si>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</si>
  <si>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</si>
  <si>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</si>
  <si>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</si>
  <si>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</si>
  <si>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</si>
  <si>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</si>
  <si>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</si>
  <si>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</si>
  <si>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</si>
  <si>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</si>
  <si>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</si>
  <si>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</si>
  <si>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</si>
  <si>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</si>
  <si>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</si>
  <si>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</si>
  <si>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</si>
  <si>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</si>
  <si>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</si>
  <si>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</si>
  <si>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</si>
  <si>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</si>
  <si>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</si>
  <si>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</si>
  <si>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</si>
  <si>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</si>
  <si>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</si>
  <si>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</si>
  <si>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</si>
  <si>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</si>
  <si>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</si>
  <si>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</si>
  <si>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</si>
  <si>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</si>
  <si>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</si>
  <si>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</si>
  <si>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</si>
  <si>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</si>
  <si>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</si>
  <si>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</si>
  <si>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</si>
  <si>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</si>
  <si>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</si>
  <si>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</si>
  <si>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</si>
  <si>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</si>
  <si>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</si>
  <si>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</si>
  <si>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</si>
  <si>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</si>
  <si>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</si>
  <si>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</si>
  <si>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</si>
  <si>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</si>
  <si>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</si>
  <si>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</si>
  <si>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</si>
  <si>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</si>
  <si>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</si>
  <si>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</si>
  <si>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</si>
  <si>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</si>
  <si>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</si>
  <si>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</si>
  <si>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</si>
  <si>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</si>
  <si>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</si>
  <si>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</si>
  <si>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</si>
  <si>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</si>
  <si>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</si>
  <si>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</si>
  <si>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</si>
  <si>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</si>
  <si>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</si>
  <si>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</si>
  <si>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</si>
  <si>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</si>
  <si>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</si>
  <si>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</si>
  <si>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</si>
  <si>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</si>
  <si>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</si>
  <si>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</si>
  <si>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</si>
  <si>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</si>
  <si>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</si>
  <si>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</si>
  <si>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</si>
  <si>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</si>
  <si>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</si>
  <si>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</si>
  <si>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</si>
  <si>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</si>
  <si>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</si>
  <si>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</si>
  <si>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</si>
  <si>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</si>
  <si>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</si>
  <si>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</si>
  <si>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</si>
  <si>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</si>
  <si>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</si>
  <si>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</si>
  <si>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</si>
  <si>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</si>
  <si>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</si>
  <si>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</si>
  <si>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</si>
  <si>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</si>
  <si>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</si>
  <si>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</si>
  <si>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</si>
  <si>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</si>
  <si>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</si>
  <si>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</si>
  <si>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</si>
  <si>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</si>
  <si>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</si>
  <si>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</si>
  <si>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</si>
  <si>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</si>
  <si>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</si>
  <si>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</si>
  <si>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</si>
  <si>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</si>
  <si>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</si>
  <si>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</si>
  <si>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</si>
  <si>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</si>
  <si>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</si>
  <si>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</si>
  <si>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</si>
  <si>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</si>
  <si>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</si>
  <si>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</si>
  <si>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</si>
  <si>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</si>
  <si>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</si>
  <si>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</si>
  <si>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</si>
  <si>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</si>
  <si>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</si>
  <si>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</si>
  <si>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</si>
  <si>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</si>
  <si>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</si>
  <si>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</si>
  <si>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</si>
  <si>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</si>
  <si>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</si>
  <si>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</si>
  <si>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</si>
  <si>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</si>
  <si>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</si>
  <si>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</si>
  <si>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</si>
  <si>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</si>
  <si>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</si>
  <si>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</si>
  <si>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</si>
  <si>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</si>
  <si>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</si>
  <si>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</si>
  <si>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</si>
  <si>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</si>
  <si>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</si>
  <si>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</si>
  <si>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</si>
  <si>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</si>
  <si>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</si>
  <si>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</si>
  <si>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</si>
  <si>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</si>
  <si>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</si>
  <si>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</si>
  <si>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</si>
  <si>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</si>
  <si>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</si>
  <si>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</si>
  <si>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</si>
  <si>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</si>
  <si>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</si>
  <si>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</si>
  <si>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</si>
  <si>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</si>
  <si>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</si>
  <si>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</si>
  <si>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</si>
  <si>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</si>
  <si>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</si>
  <si>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</si>
  <si>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</si>
  <si>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</si>
  <si>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</si>
  <si>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</si>
  <si>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</si>
  <si>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</si>
  <si>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</si>
  <si>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</si>
  <si>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</si>
  <si>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</si>
  <si>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</si>
  <si>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</si>
  <si>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</si>
  <si>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</si>
  <si>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</si>
  <si>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</si>
  <si>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</si>
  <si>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</si>
  <si>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</si>
  <si>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</si>
  <si>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</si>
  <si>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</si>
  <si>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</si>
  <si>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</si>
  <si>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</si>
  <si>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</si>
  <si>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</si>
  <si>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</si>
  <si>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</si>
  <si>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</si>
  <si>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</si>
  <si>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</si>
  <si>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</si>
  <si>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</si>
  <si>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</si>
  <si>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</si>
  <si>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</si>
  <si>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</si>
  <si>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</si>
  <si>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</si>
  <si>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</si>
  <si>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</si>
  <si>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</si>
  <si>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</si>
  <si>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</si>
  <si>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</si>
  <si>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</si>
  <si>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</si>
  <si>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</si>
  <si>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</si>
  <si>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</si>
  <si>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</si>
  <si>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</si>
  <si>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</si>
  <si>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</si>
  <si>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</si>
  <si>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</si>
  <si>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</si>
  <si>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</si>
  <si>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</si>
  <si>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</si>
  <si>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</si>
  <si>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</si>
  <si>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</si>
  <si>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</si>
  <si>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</si>
  <si>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</si>
  <si>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</si>
  <si>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</si>
  <si>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</si>
  <si>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</si>
  <si>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</si>
  <si>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</si>
  <si>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</si>
  <si>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</si>
  <si>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</si>
  <si>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</si>
  <si>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</si>
  <si>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</si>
  <si>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</si>
  <si>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</si>
  <si>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</si>
  <si>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</si>
  <si>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</si>
  <si>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</si>
  <si>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</si>
  <si>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</si>
  <si>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</si>
  <si>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</si>
  <si>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</si>
  <si>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</si>
  <si>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</si>
  <si>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</si>
  <si>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</si>
  <si>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</si>
  <si>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</si>
  <si>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</si>
  <si>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</si>
  <si>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</si>
  <si>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</si>
  <si>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</si>
  <si>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</si>
  <si>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</si>
  <si>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</si>
  <si>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</si>
  <si>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</si>
  <si>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</si>
  <si>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</si>
  <si>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</si>
  <si>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</si>
  <si>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</si>
  <si>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</si>
  <si>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</si>
  <si>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</si>
  <si>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</si>
  <si>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</si>
  <si>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</si>
  <si>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</si>
  <si>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</si>
  <si>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</si>
  <si>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</si>
  <si>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</si>
  <si>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</si>
  <si>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</si>
  <si>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</si>
  <si>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</si>
  <si>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</si>
  <si>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</si>
  <si>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</si>
  <si>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</si>
  <si>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</si>
  <si>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</si>
  <si>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</si>
  <si>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</si>
  <si>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</si>
  <si>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</si>
  <si>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</si>
  <si>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</si>
  <si>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</si>
  <si>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</si>
  <si>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</si>
  <si>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</si>
  <si>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</si>
  <si>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</si>
  <si>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</si>
  <si>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</si>
  <si>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</si>
  <si>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</si>
  <si>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</si>
  <si>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</si>
  <si>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</si>
  <si>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</si>
  <si>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</si>
  <si>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</si>
  <si>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</si>
  <si>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</si>
  <si>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</si>
  <si>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</si>
  <si>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</si>
  <si>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</si>
  <si>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</si>
  <si>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</si>
  <si>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</si>
  <si>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</si>
  <si>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</si>
  <si>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</si>
  <si>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</si>
  <si>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</si>
  <si>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</si>
  <si>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</si>
  <si>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</si>
  <si>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</si>
  <si>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</si>
  <si>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</si>
  <si>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</si>
  <si>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</si>
  <si>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</si>
  <si>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</si>
  <si>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</si>
  <si>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</si>
  <si>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</si>
  <si>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</si>
  <si>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</si>
  <si>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</si>
  <si>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</si>
  <si>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</si>
  <si>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</si>
  <si>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</si>
  <si>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</si>
  <si>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</si>
  <si>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</si>
  <si>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</si>
  <si>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</si>
  <si>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</si>
  <si>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</si>
  <si>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</si>
  <si>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</si>
  <si>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</si>
  <si>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</si>
  <si>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</si>
  <si>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</si>
  <si>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</si>
  <si>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</si>
  <si>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</si>
  <si>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</si>
  <si>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</si>
  <si>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</si>
  <si>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</si>
  <si>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</si>
  <si>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</si>
  <si>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</si>
  <si>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</si>
  <si>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</si>
  <si>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</si>
  <si>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</si>
  <si>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</si>
  <si>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</si>
  <si>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</si>
  <si>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</si>
  <si>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</si>
  <si>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</si>
  <si>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</si>
  <si>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</si>
  <si>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</si>
  <si>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</si>
  <si>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</si>
  <si>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</si>
  <si>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</si>
  <si>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</si>
  <si>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</si>
  <si>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</si>
  <si>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</si>
  <si>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</si>
  <si>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</si>
  <si>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</si>
  <si>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</si>
  <si>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</si>
  <si>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1.Duplicates were defined as rows sharing same OderID, SKU, OderDate and Quantity. Using Excel's remove duplicate tool, 0 duplicate rows were removed.</t>
  </si>
  <si>
    <t>2.OrderDate and RequiredDate were validated and converted to true date formats. UnitCost, UnitPrice, Quantity, and DiscountPct were validated as numeric fields. DiscountPct is stored as decimal values</t>
  </si>
  <si>
    <t>3.DiscountPct is stored as a decimal (e.g., 0.237 = 23.7%) and was formatted as a percentage for readability.</t>
  </si>
  <si>
    <t>Unkown</t>
  </si>
  <si>
    <t>4.Missing City values were filled with ‘Unknown’ where Country-level inference was ambiguous due to multiple cities per country.</t>
  </si>
  <si>
    <t>5.Missing Channel values could not be reliably inferred from other fields and were therefore labeled as ‘Unknown’ to avoid introducing assumptions</t>
  </si>
  <si>
    <t>Uknown</t>
  </si>
  <si>
    <t>6.Missing Salesperson values were labeled as ‘Unassigned’. Existing names were preserved. No inference was made to avoid introducing bias.</t>
  </si>
  <si>
    <t>Unassigned</t>
  </si>
  <si>
    <t>UnitPrice_Flag</t>
  </si>
  <si>
    <t>Discount_Flag</t>
  </si>
  <si>
    <t>UnitPrice_Clean</t>
  </si>
  <si>
    <t>Row Labels</t>
  </si>
  <si>
    <t>Grand Total</t>
  </si>
  <si>
    <t>PART A:1</t>
  </si>
  <si>
    <t>Discount_Clean</t>
  </si>
  <si>
    <t>8.DiscountPct values greater than 30% were capped at 30%, and negative discounts were set to 0. Original values were flagged using a helper column and conditional formatting for audit purposes.</t>
  </si>
  <si>
    <t>RequiredDate_Flag</t>
  </si>
  <si>
    <t>9.Some RequiredDate values were earlier than OrderDate. These were flagged and corrected by setting RequiredDate = OrderDate + 7 days, assuming a minimum 7-day lead time. LeadTimeDays was then calculated as RequiredDate − OrderDate.</t>
  </si>
  <si>
    <t>RequiredDate_Clean</t>
  </si>
  <si>
    <t>LeadTimeDays</t>
  </si>
  <si>
    <t>GrossRevenue</t>
  </si>
  <si>
    <t xml:space="preserve">7.UnitPrice values less than or equal to 0 were flagged as ‘Check’ using a helper column and later converted to 0 in new column UnitPrices_Clean. These rows were highlighted with conditional formatting in red to indicate suspicious values. </t>
  </si>
  <si>
    <t>CostOfGoods</t>
  </si>
  <si>
    <t>GrossProfit</t>
  </si>
  <si>
    <t>MarginPct</t>
  </si>
  <si>
    <t xml:space="preserve">10.Negative UnitPrice values were replaced with 0 in a new column UnitPrice_Clean to ensure all revenue and profit calculations are valid. </t>
  </si>
  <si>
    <t>11. All calculated columns (GrossRevenue, CostOfGoods, GrossProfit, MarginPct) use this cleaned UnitPrice column. Basic Excel functions (-),(*) and (/) were used for the calculations.</t>
  </si>
  <si>
    <t>Month</t>
  </si>
  <si>
    <t>Quarter</t>
  </si>
  <si>
    <t xml:space="preserve">12.Standardized dimensions were created to support analysis and dashboards. Month (MMM-YYYY) and Quarter (Qx-YYYY) were derived from OrderDate. A Region → Country → City hierarchy was used for geographic analysis. </t>
  </si>
  <si>
    <t>13.PriceBand was derived using UnitPrice quantiles and classified into Low, Medium, and High segments.</t>
  </si>
  <si>
    <t>Price Q1</t>
  </si>
  <si>
    <t>Price Q2</t>
  </si>
  <si>
    <t>14.Price bands were created using UnitPrice quantiles (Q1 and Q3) calculated in helper cells outside the data table. Products were classified into Low, Medium, and High price segments based on these thresholds.</t>
  </si>
  <si>
    <t>Country_FirstMonth</t>
  </si>
  <si>
    <t>MonthDate</t>
  </si>
  <si>
    <t>CohortMonth</t>
  </si>
  <si>
    <t>Column Labels</t>
  </si>
  <si>
    <t>Sum of GrossRevenue</t>
  </si>
  <si>
    <t>15.A cohort analysis was performed by identifying the first sales month for each Country and tracking monthly GrossRevenue from that starting point using cohort month indexing.</t>
  </si>
  <si>
    <t>Sum of GrossRevenue2</t>
  </si>
  <si>
    <t>Jul-2025</t>
  </si>
  <si>
    <t>ABC_Class</t>
  </si>
  <si>
    <t>16.An ABC analysis was performed by ranking SKUs within each ProductCategory by GrossRevenue and classifying them into A (top 80%), B (next 15%), and C (remaining 5%) based on cumulative revenue contribution.</t>
  </si>
  <si>
    <t>17.SKUs were classified into ABC categories using cumulative GrossRevenue percentages derived from a PivotTable and applied via Excel formulas.</t>
  </si>
  <si>
    <t>Count of OrderID</t>
  </si>
  <si>
    <t>Sum of GrossProfit</t>
  </si>
  <si>
    <t>Total Revenue</t>
  </si>
  <si>
    <t>Revenue per Order</t>
  </si>
  <si>
    <t>Gross Profit Per Order</t>
  </si>
  <si>
    <t>Apr-2023</t>
  </si>
  <si>
    <t>Apr-2024</t>
  </si>
  <si>
    <t>Aug-2023</t>
  </si>
  <si>
    <t>Aug-2024</t>
  </si>
  <si>
    <t>Aug-2025</t>
  </si>
  <si>
    <t>Dec-2023</t>
  </si>
  <si>
    <t>Dec-2024</t>
  </si>
  <si>
    <t>Feb-2023</t>
  </si>
  <si>
    <t>Feb-2024</t>
  </si>
  <si>
    <t>Feb-2025</t>
  </si>
  <si>
    <t>Jan-2023</t>
  </si>
  <si>
    <t>Jan-2024</t>
  </si>
  <si>
    <t>Jan-2025</t>
  </si>
  <si>
    <t>Jul-2023</t>
  </si>
  <si>
    <t>Jul-2024</t>
  </si>
  <si>
    <t>Jun-2023</t>
  </si>
  <si>
    <t>Jun-2024</t>
  </si>
  <si>
    <t>Jun-2025</t>
  </si>
  <si>
    <t>Mar-2023</t>
  </si>
  <si>
    <t>Mar-2024</t>
  </si>
  <si>
    <t>Mar-2025</t>
  </si>
  <si>
    <t>May-2023</t>
  </si>
  <si>
    <t>May-2024</t>
  </si>
  <si>
    <t>May-2025</t>
  </si>
  <si>
    <t>Nov-2023</t>
  </si>
  <si>
    <t>Nov-2024</t>
  </si>
  <si>
    <t>Oct-2023</t>
  </si>
  <si>
    <t>Oct-2024</t>
  </si>
  <si>
    <t>Sept-2023</t>
  </si>
  <si>
    <t>Sept-2025</t>
  </si>
  <si>
    <t>Average Orders per Active Month</t>
  </si>
  <si>
    <t>18.Salesperson productivity was evaluated using revenue per order, gross profit per order, and average monthly order volume, with ratio metrics calculated outside PivotTables.Top and Bottom 3 highlighted using conditional formatting.</t>
  </si>
  <si>
    <t>Total Sum of GrossRevenue</t>
  </si>
  <si>
    <t>Total Revenue Share %</t>
  </si>
  <si>
    <t>Revenue Share %</t>
  </si>
  <si>
    <t>19.Channel mix was analyzed using revenue share by region to identify potential cannibalization where Online growth coincides with Retail decline.</t>
  </si>
  <si>
    <t>Cannibalization</t>
  </si>
  <si>
    <t>OnTimeFlag</t>
  </si>
  <si>
    <t>Sum of OnTimeFlag</t>
  </si>
  <si>
    <t>OnTime %</t>
  </si>
  <si>
    <t>20.Service level was estimated using LeadTimeDays, with orders ≤7 days flagged as on-time. PivotTables were used to calculate the percentage of on-time deliveries by Country and ProductCategory.</t>
  </si>
  <si>
    <t>DiscountFlag</t>
  </si>
  <si>
    <t>% of Orders</t>
  </si>
  <si>
    <t>Discounted Orders</t>
  </si>
  <si>
    <t>21.Price compliance was evaluated by flagging all orders with DiscountPct &gt;20%. PivotTables were used to aggregate counts by Region and Salesperson, with percentage calculations performed outside the PivotTable to identify outliers</t>
  </si>
  <si>
    <t>Parameter</t>
  </si>
  <si>
    <t>Value</t>
  </si>
  <si>
    <t>Discount Cap</t>
  </si>
  <si>
    <t>UnitCost Inflation</t>
  </si>
  <si>
    <t>Quantity Uplift</t>
  </si>
  <si>
    <t>UnitPrice_Scenario</t>
  </si>
  <si>
    <t>UnitCost_Scenario</t>
  </si>
  <si>
    <t>Quantity_Scenario</t>
  </si>
  <si>
    <t>Metric</t>
  </si>
  <si>
    <t>Baseline</t>
  </si>
  <si>
    <t>Scenario</t>
  </si>
  <si>
    <t>Gross Profit</t>
  </si>
  <si>
    <t>Margin %</t>
  </si>
  <si>
    <t>Gross_ProfitScenario</t>
  </si>
  <si>
    <t>GrossRevenue_Scenario</t>
  </si>
  <si>
    <t>22.A What-If scenario model was implemented using a control panel table with Discount Cap, UnitCost Inflation, and Quantity Uplift as input cells. Scenario columns (UnitPrice_Scenario, UnitCost_Scenario, Quantity_Scenario, GrossRevenue_Scenario, GrossProfit_Scenario) recalculate automatically based on the inputs, allowing dynamic comparison with baseline metrics. This approach satisfies the interactive What-If requirement</t>
  </si>
  <si>
    <t>average order value</t>
  </si>
  <si>
    <t>Average of DiscountPct</t>
  </si>
  <si>
    <t>23.The dashboard was built as a single-page interactive display with slicers for Region, Country, Channel, ProductCategory, Month, and Salesperson. KPIs include Total Revenue, Gross Profit, Margin %, Average Order Value, and On-Time %. Visualizations include Revenue by Month (line), Profit by Region &amp; Channel (stacked column), Top 10 SKUs (bar), and Discount Outliers. Dynamic titles reflect applied filters</t>
  </si>
  <si>
    <t>24.A Box &amp; Whisker chart was used to visualize discount distribution and identify outliers across SKUs.</t>
  </si>
  <si>
    <t>25.Chart titles are dynamically linked to dashboard helper cells, which reference slicer-controlled pivot filter selections</t>
  </si>
  <si>
    <t>Data issues &amp; cleaning rules</t>
  </si>
  <si>
    <t>Duplicate removal, missing City/Channel/Salesperson handling, negative UnitPrice corrected to 0, discount corrections.</t>
  </si>
  <si>
    <t>Scenario modeling approach</t>
  </si>
  <si>
    <t>Control panel inputs, scenario columns, dynamic recalculation.</t>
  </si>
  <si>
    <t>Dashboard functionality</t>
  </si>
  <si>
    <t>Slicers, dynamic titles, KPI calculations, and interactive charts.</t>
  </si>
  <si>
    <t>Assumptions</t>
  </si>
  <si>
    <t>For missing cities → “Unknown”</t>
  </si>
  <si>
    <t>For suspicious unit prices → set to 0 or flagged</t>
  </si>
  <si>
    <t>Discount outliers visualized using  Box &amp; Whisker</t>
  </si>
  <si>
    <t>PriceBand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</si>
</sst>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409]#,##0.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165" fontId="1" fillId="0" borderId="2" xfId="0" applyNumberFormat="1"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49" fontId="0" fillId="0" borderId="0" xfId="0" applyNumberFormat="1"/>
    <xf numFmtId="0" fontId="1" fillId="0" borderId="0" xfId="0" applyFont="1"/>
    <xf numFmtId="10" fontId="1" fillId="0" borderId="2" xfId="0" applyNumberFormat="1" applyFont="1" applyBorder="1" applyAlignment="1">
      <alignment horizontal="center" vertical="top"/>
    </xf>
    <xf numFmtId="10" fontId="0" fillId="0" borderId="0" xfId="0" applyNumberFormat="1"/>
    <xf numFmtId="14" fontId="0" fillId="0" borderId="0" xfId="0" applyNumberFormat="1"/>
    <xf numFmtId="49" fontId="1" fillId="0" borderId="2" xfId="0" applyNumberFormat="1" applyFont="1" applyBorder="1" applyAlignment="1">
      <alignment horizontal="center" vertical="top"/>
    </xf>
    <xf numFmtId="1" fontId="1" fillId="0" borderId="2" xfId="0" applyNumberFormat="1" applyFont="1" applyBorder="1" applyAlignment="1">
      <alignment horizontal="center" vertical="top"/>
    </xf>
    <xf numFmtId="1" fontId="0" fillId="0" borderId="0" xfId="0" applyNumberFormat="1"/>
    <xf numFmtId="166" fontId="1" fillId="0" borderId="2" xfId="0" applyNumberFormat="1" applyFont="1" applyBorder="1" applyAlignment="1">
      <alignment horizontal="center" vertical="top"/>
    </xf>
    <xf numFmtId="166" fontId="0" fillId="0" borderId="0" xfId="0" applyNumberFormat="1"/>
    <xf numFmtId="14" fontId="1" fillId="0" borderId="2" xfId="0" applyNumberFormat="1" applyFont="1" applyBorder="1" applyAlignment="1">
      <alignment horizontal="center" vertical="top"/>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Alignment="1">
      <alignment horizontal="left" indent="1"/>
    </xf>
    <xf numFmtId="2" fontId="0" fillId="0" borderId="0" xfId="0" applyNumberFormat="1"/>
    <xf numFmtId="2" fontId="1" fillId="0" borderId="2" xfId="0" applyNumberFormat="1" applyFont="1" applyBorder="1" applyAlignment="1">
      <alignment horizontal="center" vertical="top"/>
    </xf>
    <xf numFmtId="10" fontId="1" fillId="0" borderId="0" xfId="0" applyNumberFormat="1" applyFont="1"/>
    <xf numFmtId="9" fontId="0" fillId="0" borderId="0" xfId="0" applyNumberFormat="1"/>
    <xf numFmtId="0" fontId="0" fillId="2" borderId="0" xfId="0" applyFill="1"/>
    <xf numFmtId="0" fontId="0" fillId="0" borderId="0" xfId="0" applyAlignment="1">
      <alignment horizontal="left" vertical="center" indent="1"/>
    </xf>
  </cellXfs>
  <cellStyles count="1">
    <cellStyle name="Normal" xfId="0" builtinId="0"/>
  </cellStyles>
  <dxfs count="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0" formatCode="General"/>
    </dxf>
    <dxf>
      <numFmt numFmtId="2" formatCode="0.00"/>
    </dxf>
    <dxf>
      <numFmt numFmtId="13" formatCode="0%"/>
    </dxf>
    <dxf>
      <numFmt numFmtId="13" formatCode="0%"/>
    </dxf>
    <dxf>
      <numFmt numFmtId="13" formatCode="0%"/>
    </dxf>
    <dxf>
      <numFmt numFmtId="30" formatCode="@"/>
    </dxf>
    <dxf>
      <numFmt numFmtId="1" formatCode="0"/>
    </dxf>
    <dxf>
      <numFmt numFmtId="2" formatCode="0.00"/>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166" formatCode="[$$-409]#,##0.00"/>
    </dxf>
    <dxf>
      <numFmt numFmtId="166" formatCode="[$$-409]#,##0.00"/>
    </dxf>
    <dxf>
      <numFmt numFmtId="166" formatCode="[$$-409]#,##0.00"/>
    </dxf>
    <dxf>
      <numFmt numFmtId="166" formatCode="[$$-409]#,##0.00"/>
    </dxf>
    <dxf>
      <numFmt numFmtId="14" formatCode="0.00%"/>
    </dxf>
    <dxf>
      <numFmt numFmtId="1" formatCode="0"/>
    </dxf>
    <dxf>
      <numFmt numFmtId="14" formatCode="0.00%"/>
    </dxf>
    <dxf>
      <numFmt numFmtId="0" formatCode="General"/>
    </dxf>
    <dxf>
      <numFmt numFmtId="165" formatCode="0.0%"/>
    </dxf>
    <dxf>
      <numFmt numFmtId="0" formatCode="General"/>
    </dxf>
    <dxf>
      <numFmt numFmtId="0" formatCode="General"/>
    </dxf>
    <dxf>
      <numFmt numFmtId="2" formatCode="0.00"/>
    </dxf>
    <dxf>
      <numFmt numFmtId="1" formatCode="0"/>
    </dxf>
    <dxf>
      <numFmt numFmtId="164" formatCode="yyyy\-mm\-dd"/>
    </dxf>
    <dxf>
      <numFmt numFmtId="164" formatCode="yyyy\-mm\-dd"/>
    </dxf>
    <dxf>
      <numFmt numFmtId="19" formatCode="dd/mm/yyyy"/>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[DashboardAssignment.xlsx]Revenue per month!PivotTable9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latin typeface="Aptos" panose="020B0004020202020204" pitchFamily="34" charset="0"/>
              </a:rPr>
              <a:t>Revenue</a:t>
            </a:r>
            <a:r>
              <a:rPr lang="en-US" b="1" baseline="0">
                <a:solidFill>
                  <a:srgbClr val="FF0000"/>
                </a:solidFill>
                <a:latin typeface="Aptos" panose="020B0004020202020204" pitchFamily="34" charset="0"/>
              </a:rPr>
              <a:t> by Month</a:t>
            </a:r>
            <a:endParaRPr lang="en-US" b="1">
              <a:solidFill>
                <a:srgbClr val="FF000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per month'!$B$3</c:f>
              <c:strCache>
                <c:ptCount val="1"/>
                <c:pt idx="0">
                  <c:v>Total</c:v>
                </c:pt>
              </c:strCache>
            </c:strRef>
          </c:tx>
          <c:spPr>
            <a:ln w="28575" cap="rnd">
              <a:solidFill>
                <a:schemeClr val="accent5"/>
              </a:solidFill>
              <a:round/>
            </a:ln>
            <a:effectLst/>
          </c:spPr>
          <c:marker>
            <c:symbol val="none"/>
          </c:marker>
          <c:cat>
            <c:strRef>
              <c:f>'Revenue per month'!$A$4:$A$35</c:f>
              <c:strCache>
                <c:ptCount val="31"/>
                <c:pt idx="0">
                  <c:v>Apr-2023</c:v>
                </c:pt>
                <c:pt idx="1">
                  <c:v>Apr-2024</c:v>
                </c:pt>
                <c:pt idx="2">
                  <c:v>Aug-2023</c:v>
                </c:pt>
                <c:pt idx="3">
                  <c:v>Aug-2024</c:v>
                </c:pt>
                <c:pt idx="4">
                  <c:v>Aug-2025</c:v>
                </c:pt>
                <c:pt idx="5">
                  <c:v>Dec-2023</c:v>
                </c:pt>
                <c:pt idx="6">
                  <c:v>Dec-2024</c:v>
                </c:pt>
                <c:pt idx="7">
                  <c:v>Feb-2023</c:v>
                </c:pt>
                <c:pt idx="8">
                  <c:v>Feb-2024</c:v>
                </c:pt>
                <c:pt idx="9">
                  <c:v>Feb-2025</c:v>
                </c:pt>
                <c:pt idx="10">
                  <c:v>Jan-2023</c:v>
                </c:pt>
                <c:pt idx="11">
                  <c:v>Jan-2024</c:v>
                </c:pt>
                <c:pt idx="12">
                  <c:v>Jan-2025</c:v>
                </c:pt>
                <c:pt idx="13">
                  <c:v>Jul-2023</c:v>
                </c:pt>
                <c:pt idx="14">
                  <c:v>Jul-2024</c:v>
                </c:pt>
                <c:pt idx="15">
                  <c:v>Jul-2025</c:v>
                </c:pt>
                <c:pt idx="16">
                  <c:v>Jun-2023</c:v>
                </c:pt>
                <c:pt idx="17">
                  <c:v>Jun-2024</c:v>
                </c:pt>
                <c:pt idx="18">
                  <c:v>Jun-2025</c:v>
                </c:pt>
                <c:pt idx="19">
                  <c:v>Mar-2023</c:v>
                </c:pt>
                <c:pt idx="20">
                  <c:v>Mar-2024</c:v>
                </c:pt>
                <c:pt idx="21">
                  <c:v>Mar-2025</c:v>
                </c:pt>
                <c:pt idx="22">
                  <c:v>May-2023</c:v>
                </c:pt>
                <c:pt idx="23">
                  <c:v>May-2024</c:v>
                </c:pt>
                <c:pt idx="24">
                  <c:v>May-2025</c:v>
                </c:pt>
                <c:pt idx="25">
                  <c:v>Nov-2023</c:v>
                </c:pt>
                <c:pt idx="26">
                  <c:v>Nov-2024</c:v>
                </c:pt>
                <c:pt idx="27">
                  <c:v>Oct-2023</c:v>
                </c:pt>
                <c:pt idx="28">
                  <c:v>Oct-2024</c:v>
                </c:pt>
                <c:pt idx="29">
                  <c:v>Sept-2023</c:v>
                </c:pt>
                <c:pt idx="30">
                  <c:v>Sept-2025</c:v>
                </c:pt>
              </c:strCache>
            </c:strRef>
          </c:cat>
          <c:val>
            <c:numRef>
              <c:f>'Revenue per month'!$B$4:$B$35</c:f>
              <c:numCache>
                <c:formatCode>[$$-409]#,##0.00</c:formatCode>
                <c:ptCount val="31"/>
                <c:pt idx="0">
                  <c:v>45499.733910000003</c:v>
                </c:pt>
                <c:pt idx="1">
                  <c:v>14868.49</c:v>
                </c:pt>
                <c:pt idx="2">
                  <c:v>21722.711300000003</c:v>
                </c:pt>
                <c:pt idx="3">
                  <c:v>35396.277799999996</c:v>
                </c:pt>
                <c:pt idx="4">
                  <c:v>19066.045319999997</c:v>
                </c:pt>
                <c:pt idx="5">
                  <c:v>47947.409280000007</c:v>
                </c:pt>
                <c:pt idx="6">
                  <c:v>25503.14688</c:v>
                </c:pt>
                <c:pt idx="7">
                  <c:v>4737.2198399999997</c:v>
                </c:pt>
                <c:pt idx="8">
                  <c:v>1446.9507000000001</c:v>
                </c:pt>
                <c:pt idx="9">
                  <c:v>66136.949640000006</c:v>
                </c:pt>
                <c:pt idx="10">
                  <c:v>46387.764750000002</c:v>
                </c:pt>
                <c:pt idx="11">
                  <c:v>65966.201960000006</c:v>
                </c:pt>
                <c:pt idx="12">
                  <c:v>43202.779340000001</c:v>
                </c:pt>
                <c:pt idx="13">
                  <c:v>109556.90003999999</c:v>
                </c:pt>
                <c:pt idx="14">
                  <c:v>116158.19613000001</c:v>
                </c:pt>
                <c:pt idx="15">
                  <c:v>74145.427629999991</c:v>
                </c:pt>
                <c:pt idx="16">
                  <c:v>32981.412199999999</c:v>
                </c:pt>
                <c:pt idx="17">
                  <c:v>80095.928639999998</c:v>
                </c:pt>
                <c:pt idx="18">
                  <c:v>33339.019980000005</c:v>
                </c:pt>
                <c:pt idx="19">
                  <c:v>69048.045739999987</c:v>
                </c:pt>
                <c:pt idx="20">
                  <c:v>10647.727199999999</c:v>
                </c:pt>
                <c:pt idx="21">
                  <c:v>47502.705420000006</c:v>
                </c:pt>
                <c:pt idx="22">
                  <c:v>75173.887860000003</c:v>
                </c:pt>
                <c:pt idx="23">
                  <c:v>59107.640959999997</c:v>
                </c:pt>
                <c:pt idx="24">
                  <c:v>20011.96514</c:v>
                </c:pt>
                <c:pt idx="25">
                  <c:v>13464.761759999999</c:v>
                </c:pt>
                <c:pt idx="26">
                  <c:v>29860.3272</c:v>
                </c:pt>
                <c:pt idx="27">
                  <c:v>56138.360260000001</c:v>
                </c:pt>
                <c:pt idx="28">
                  <c:v>20079.343620000003</c:v>
                </c:pt>
                <c:pt idx="29">
                  <c:v>48982.809329999989</c:v>
                </c:pt>
                <c:pt idx="30">
                  <c:v>7597.4998400000004</c:v>
                </c:pt>
              </c:numCache>
            </c:numRef>
          </c:val>
          <c:smooth val="0"/>
          <c:extLst>
            <c:ext xmlns:c16="http://schemas.microsoft.com/office/drawing/2014/chart" uri="{C3380CC4-5D6E-409C-BE32-E72D297353CC}">
              <c16:uniqueId val="{00000000-85B8-4729-B0B2-59B3CA48190B}"/>
            </c:ext>
          </c:extLst>
        </c:ser>
        <c:dLbls>
          <c:showLegendKey val="0"/>
          <c:showVal val="0"/>
          <c:showCatName val="0"/>
          <c:showSerName val="0"/>
          <c:showPercent val="0"/>
          <c:showBubbleSize val="0"/>
        </c:dLbls>
        <c:smooth val="0"/>
        <c:axId val="2013282511"/>
        <c:axId val="2013283951"/>
      </c:lineChart>
      <c:catAx>
        <c:axId val="201328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3283951"/>
        <c:crosses val="autoZero"/>
        <c:auto val="1"/>
        <c:lblAlgn val="ctr"/>
        <c:lblOffset val="100"/>
        <c:noMultiLvlLbl val="0"/>
      </c:catAx>
      <c:valAx>
        <c:axId val="201328395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328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[DashboardAssignment.xlsx]Profit by R n C!PivotTable10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C00000"/>
                </a:solidFill>
                <a:latin typeface="Aptos" panose="020B0004020202020204" pitchFamily="34" charset="0"/>
              </a:rPr>
              <a:t>Profit by Revenue and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pivotFmt>
    </c:pivotFmts>
    <c:plotArea>
      <c:layout/>
      <c:barChart>
        <c:barDir val="col"/>
        <c:grouping val="stacked"/>
        <c:varyColors val="0"/>
        <c:ser>
          <c:idx val="0"/>
          <c:order val="0"/>
          <c:tx>
            <c:strRef>
              <c:f>'Profit by R n C'!$B$3:$B$4</c:f>
              <c:strCache>
                <c:ptCount val="1"/>
                <c:pt idx="0">
                  <c:v>Direct</c:v>
                </c:pt>
              </c:strCache>
            </c:strRef>
          </c:tx>
          <c:spPr>
            <a:solidFill>
              <a:schemeClr val="accent5">
                <a:shade val="50000"/>
              </a:schemeClr>
            </a:solidFill>
            <a:ln>
              <a:noFill/>
            </a:ln>
            <a:effectLst/>
          </c:spPr>
          <c:invertIfNegative val="0"/>
          <c:cat>
            <c:strRef>
              <c:f>'Profit by R n C'!$A$5:$A$9</c:f>
              <c:strCache>
                <c:ptCount val="4"/>
                <c:pt idx="0">
                  <c:v>Africa</c:v>
                </c:pt>
                <c:pt idx="1">
                  <c:v>Americas</c:v>
                </c:pt>
                <c:pt idx="2">
                  <c:v>Asia</c:v>
                </c:pt>
                <c:pt idx="3">
                  <c:v>Europe</c:v>
                </c:pt>
              </c:strCache>
            </c:strRef>
          </c:cat>
          <c:val>
            <c:numRef>
              <c:f>'Profit by R n C'!$B$5:$B$9</c:f>
              <c:numCache>
                <c:formatCode>[$$-409]#,##0.00</c:formatCode>
                <c:ptCount val="4"/>
                <c:pt idx="0">
                  <c:v>24405.422719999999</c:v>
                </c:pt>
                <c:pt idx="1">
                  <c:v>60093.000750000014</c:v>
                </c:pt>
                <c:pt idx="3">
                  <c:v>29728.699660000006</c:v>
                </c:pt>
              </c:numCache>
            </c:numRef>
          </c:val>
          <c:extLst>
            <c:ext xmlns:c16="http://schemas.microsoft.com/office/drawing/2014/chart" uri="{C3380CC4-5D6E-409C-BE32-E72D297353CC}">
              <c16:uniqueId val="{00000000-18AA-45F7-8CD6-A1C62A70F7A9}"/>
            </c:ext>
          </c:extLst>
        </c:ser>
        <c:ser>
          <c:idx val="1"/>
          <c:order val="1"/>
          <c:tx>
            <c:strRef>
              <c:f>'Profit by R n C'!$C$3:$C$4</c:f>
              <c:strCache>
                <c:ptCount val="1"/>
                <c:pt idx="0">
                  <c:v>Distributor</c:v>
                </c:pt>
              </c:strCache>
            </c:strRef>
          </c:tx>
          <c:spPr>
            <a:solidFill>
              <a:schemeClr val="accent5">
                <a:shade val="70000"/>
              </a:schemeClr>
            </a:solidFill>
            <a:ln>
              <a:noFill/>
            </a:ln>
            <a:effectLst/>
          </c:spPr>
          <c:invertIfNegative val="0"/>
          <c:cat>
            <c:strRef>
              <c:f>'Profit by R n C'!$A$5:$A$9</c:f>
              <c:strCache>
                <c:ptCount val="4"/>
                <c:pt idx="0">
                  <c:v>Africa</c:v>
                </c:pt>
                <c:pt idx="1">
                  <c:v>Americas</c:v>
                </c:pt>
                <c:pt idx="2">
                  <c:v>Asia</c:v>
                </c:pt>
                <c:pt idx="3">
                  <c:v>Europe</c:v>
                </c:pt>
              </c:strCache>
            </c:strRef>
          </c:cat>
          <c:val>
            <c:numRef>
              <c:f>'Profit by R n C'!$C$5:$C$9</c:f>
              <c:numCache>
                <c:formatCode>[$$-409]#,##0.00</c:formatCode>
                <c:ptCount val="4"/>
                <c:pt idx="0">
                  <c:v>31999.859460000003</c:v>
                </c:pt>
                <c:pt idx="1">
                  <c:v>4520.3998000000011</c:v>
                </c:pt>
                <c:pt idx="2">
                  <c:v>4009.3667</c:v>
                </c:pt>
                <c:pt idx="3">
                  <c:v>24521.440280000003</c:v>
                </c:pt>
              </c:numCache>
            </c:numRef>
          </c:val>
          <c:extLst>
            <c:ext xmlns:c16="http://schemas.microsoft.com/office/drawing/2014/chart" uri="{C3380CC4-5D6E-409C-BE32-E72D297353CC}">
              <c16:uniqueId val="{0000001D-18AA-45F7-8CD6-A1C62A70F7A9}"/>
            </c:ext>
          </c:extLst>
        </c:ser>
        <c:ser>
          <c:idx val="2"/>
          <c:order val="2"/>
          <c:tx>
            <c:strRef>
              <c:f>'Profit by R n C'!$D$3:$D$4</c:f>
              <c:strCache>
                <c:ptCount val="1"/>
                <c:pt idx="0">
                  <c:v>Marketplace</c:v>
                </c:pt>
              </c:strCache>
            </c:strRef>
          </c:tx>
          <c:spPr>
            <a:solidFill>
              <a:schemeClr val="accent5">
                <a:shade val="90000"/>
              </a:schemeClr>
            </a:solidFill>
            <a:ln>
              <a:noFill/>
            </a:ln>
            <a:effectLst/>
          </c:spPr>
          <c:invertIfNegative val="0"/>
          <c:cat>
            <c:strRef>
              <c:f>'Profit by R n C'!$A$5:$A$9</c:f>
              <c:strCache>
                <c:ptCount val="4"/>
                <c:pt idx="0">
                  <c:v>Africa</c:v>
                </c:pt>
                <c:pt idx="1">
                  <c:v>Americas</c:v>
                </c:pt>
                <c:pt idx="2">
                  <c:v>Asia</c:v>
                </c:pt>
                <c:pt idx="3">
                  <c:v>Europe</c:v>
                </c:pt>
              </c:strCache>
            </c:strRef>
          </c:cat>
          <c:val>
            <c:numRef>
              <c:f>'Profit by R n C'!$D$5:$D$9</c:f>
              <c:numCache>
                <c:formatCode>[$$-409]#,##0.00</c:formatCode>
                <c:ptCount val="4"/>
                <c:pt idx="0">
                  <c:v>16851.858579999996</c:v>
                </c:pt>
                <c:pt idx="1">
                  <c:v>27820.7565</c:v>
                </c:pt>
                <c:pt idx="2">
                  <c:v>2147.5234100000016</c:v>
                </c:pt>
                <c:pt idx="3">
                  <c:v>-50030.437079999996</c:v>
                </c:pt>
              </c:numCache>
            </c:numRef>
          </c:val>
          <c:extLst>
            <c:ext xmlns:c16="http://schemas.microsoft.com/office/drawing/2014/chart" uri="{C3380CC4-5D6E-409C-BE32-E72D297353CC}">
              <c16:uniqueId val="{0000001E-18AA-45F7-8CD6-A1C62A70F7A9}"/>
            </c:ext>
          </c:extLst>
        </c:ser>
        <c:ser>
          <c:idx val="3"/>
          <c:order val="3"/>
          <c:tx>
            <c:strRef>
              <c:f>'Profit by R n C'!$E$3:$E$4</c:f>
              <c:strCache>
                <c:ptCount val="1"/>
                <c:pt idx="0">
                  <c:v>Online</c:v>
                </c:pt>
              </c:strCache>
            </c:strRef>
          </c:tx>
          <c:spPr>
            <a:solidFill>
              <a:schemeClr val="accent5">
                <a:tint val="90000"/>
              </a:schemeClr>
            </a:solidFill>
            <a:ln>
              <a:noFill/>
            </a:ln>
            <a:effectLst/>
          </c:spPr>
          <c:invertIfNegative val="0"/>
          <c:cat>
            <c:strRef>
              <c:f>'Profit by R n C'!$A$5:$A$9</c:f>
              <c:strCache>
                <c:ptCount val="4"/>
                <c:pt idx="0">
                  <c:v>Africa</c:v>
                </c:pt>
                <c:pt idx="1">
                  <c:v>Americas</c:v>
                </c:pt>
                <c:pt idx="2">
                  <c:v>Asia</c:v>
                </c:pt>
                <c:pt idx="3">
                  <c:v>Europe</c:v>
                </c:pt>
              </c:strCache>
            </c:strRef>
          </c:cat>
          <c:val>
            <c:numRef>
              <c:f>'Profit by R n C'!$E$5:$E$9</c:f>
              <c:numCache>
                <c:formatCode>[$$-409]#,##0.00</c:formatCode>
                <c:ptCount val="4"/>
                <c:pt idx="0">
                  <c:v>12391.170799999998</c:v>
                </c:pt>
                <c:pt idx="1">
                  <c:v>17820.321299999996</c:v>
                </c:pt>
                <c:pt idx="2">
                  <c:v>3024.3151199999993</c:v>
                </c:pt>
                <c:pt idx="3">
                  <c:v>3323.7306399999998</c:v>
                </c:pt>
              </c:numCache>
            </c:numRef>
          </c:val>
          <c:extLst>
            <c:ext xmlns:c16="http://schemas.microsoft.com/office/drawing/2014/chart" uri="{C3380CC4-5D6E-409C-BE32-E72D297353CC}">
              <c16:uniqueId val="{0000001F-18AA-45F7-8CD6-A1C62A70F7A9}"/>
            </c:ext>
          </c:extLst>
        </c:ser>
        <c:ser>
          <c:idx val="4"/>
          <c:order val="4"/>
          <c:tx>
            <c:strRef>
              <c:f>'Profit by R n C'!$F$3:$F$4</c:f>
              <c:strCache>
                <c:ptCount val="1"/>
                <c:pt idx="0">
                  <c:v>Retail</c:v>
                </c:pt>
              </c:strCache>
            </c:strRef>
          </c:tx>
          <c:spPr>
            <a:solidFill>
              <a:schemeClr val="accent5">
                <a:tint val="70000"/>
              </a:schemeClr>
            </a:solidFill>
            <a:ln>
              <a:noFill/>
            </a:ln>
            <a:effectLst/>
          </c:spPr>
          <c:invertIfNegative val="0"/>
          <c:cat>
            <c:strRef>
              <c:f>'Profit by R n C'!$A$5:$A$9</c:f>
              <c:strCache>
                <c:ptCount val="4"/>
                <c:pt idx="0">
                  <c:v>Africa</c:v>
                </c:pt>
                <c:pt idx="1">
                  <c:v>Americas</c:v>
                </c:pt>
                <c:pt idx="2">
                  <c:v>Asia</c:v>
                </c:pt>
                <c:pt idx="3">
                  <c:v>Europe</c:v>
                </c:pt>
              </c:strCache>
            </c:strRef>
          </c:cat>
          <c:val>
            <c:numRef>
              <c:f>'Profit by R n C'!$F$5:$F$9</c:f>
              <c:numCache>
                <c:formatCode>[$$-409]#,##0.00</c:formatCode>
                <c:ptCount val="4"/>
                <c:pt idx="0">
                  <c:v>42270.584419999985</c:v>
                </c:pt>
                <c:pt idx="1">
                  <c:v>8125.0872199999985</c:v>
                </c:pt>
                <c:pt idx="2">
                  <c:v>29912.052980000008</c:v>
                </c:pt>
                <c:pt idx="3">
                  <c:v>14048.371399999998</c:v>
                </c:pt>
              </c:numCache>
            </c:numRef>
          </c:val>
          <c:extLst>
            <c:ext xmlns:c16="http://schemas.microsoft.com/office/drawing/2014/chart" uri="{C3380CC4-5D6E-409C-BE32-E72D297353CC}">
              <c16:uniqueId val="{00000020-18AA-45F7-8CD6-A1C62A70F7A9}"/>
            </c:ext>
          </c:extLst>
        </c:ser>
        <c:ser>
          <c:idx val="5"/>
          <c:order val="5"/>
          <c:tx>
            <c:strRef>
              <c:f>'Profit by R n C'!$G$3:$G$4</c:f>
              <c:strCache>
                <c:ptCount val="1"/>
                <c:pt idx="0">
                  <c:v>Uknown</c:v>
                </c:pt>
              </c:strCache>
            </c:strRef>
          </c:tx>
          <c:spPr>
            <a:solidFill>
              <a:schemeClr val="accent5">
                <a:tint val="50000"/>
              </a:schemeClr>
            </a:solidFill>
            <a:ln>
              <a:noFill/>
            </a:ln>
            <a:effectLst/>
          </c:spPr>
          <c:invertIfNegative val="0"/>
          <c:cat>
            <c:strRef>
              <c:f>'Profit by R n C'!$A$5:$A$9</c:f>
              <c:strCache>
                <c:ptCount val="4"/>
                <c:pt idx="0">
                  <c:v>Africa</c:v>
                </c:pt>
                <c:pt idx="1">
                  <c:v>Americas</c:v>
                </c:pt>
                <c:pt idx="2">
                  <c:v>Asia</c:v>
                </c:pt>
                <c:pt idx="3">
                  <c:v>Europe</c:v>
                </c:pt>
              </c:strCache>
            </c:strRef>
          </c:cat>
          <c:val>
            <c:numRef>
              <c:f>'Profit by R n C'!$G$5:$G$9</c:f>
              <c:numCache>
                <c:formatCode>[$$-409]#,##0.00</c:formatCode>
                <c:ptCount val="4"/>
                <c:pt idx="2">
                  <c:v>16530.425009999999</c:v>
                </c:pt>
              </c:numCache>
            </c:numRef>
          </c:val>
          <c:extLst>
            <c:ext xmlns:c16="http://schemas.microsoft.com/office/drawing/2014/chart" uri="{C3380CC4-5D6E-409C-BE32-E72D297353CC}">
              <c16:uniqueId val="{00000021-18AA-45F7-8CD6-A1C62A70F7A9}"/>
            </c:ext>
          </c:extLst>
        </c:ser>
        <c:dLbls>
          <c:showLegendKey val="0"/>
          <c:showVal val="0"/>
          <c:showCatName val="0"/>
          <c:showSerName val="0"/>
          <c:showPercent val="0"/>
          <c:showBubbleSize val="0"/>
        </c:dLbls>
        <c:gapWidth val="150"/>
        <c:overlap val="100"/>
        <c:axId val="2013298831"/>
        <c:axId val="2013299311"/>
      </c:barChart>
      <c:catAx>
        <c:axId val="201329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3299311"/>
        <c:crosses val="autoZero"/>
        <c:auto val="1"/>
        <c:lblAlgn val="ctr"/>
        <c:lblOffset val="100"/>
        <c:noMultiLvlLbl val="0"/>
      </c:catAx>
      <c:valAx>
        <c:axId val="201329931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329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[DashboardAssignment.xlsx]10 SKU!PivotTable11</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rgbClr val="C00000"/>
                </a:solidFill>
                <a:latin typeface="Aptos" panose="020B0004020202020204" pitchFamily="34" charset="0"/>
              </a:rPr>
              <a:t>Top</a:t>
            </a:r>
            <a:r>
              <a:rPr lang="en-US" baseline="0">
                <a:solidFill>
                  <a:srgbClr val="C00000"/>
                </a:solidFill>
                <a:latin typeface="Aptos" panose="020B0004020202020204" pitchFamily="34" charset="0"/>
              </a:rPr>
              <a:t> 10 SKUs by Revenue</a:t>
            </a:r>
            <a:endParaRPr lang="en-US">
              <a:solidFill>
                <a:srgbClr val="C0000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'10 SKU'!$B$3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'10 SKU'!$A$4:$A$14</c:f>
              <c:strCache>
                <c:ptCount val="10"/>
                <c:pt idx="0">
                  <c:v>ACC-6626</c:v>
                </c:pt>
                <c:pt idx="1">
                  <c:v>ACC-2988</c:v>
                </c:pt>
                <c:pt idx="2">
                  <c:v>ACC-9283</c:v>
                </c:pt>
                <c:pt idx="3">
                  <c:v>ACC-9533</c:v>
                </c:pt>
                <c:pt idx="4">
                  <c:v>ACC-8098</c:v>
                </c:pt>
                <c:pt idx="5">
                  <c:v>ACC-4490</c:v>
                </c:pt>
                <c:pt idx="6">
                  <c:v>ACC-7838</c:v>
                </c:pt>
                <c:pt idx="7">
                  <c:v>ACC-5177</c:v>
                </c:pt>
                <c:pt idx="8">
                  <c:v>ACC-9162</c:v>
                </c:pt>
                <c:pt idx="9">
                  <c:v>ACC-7078</c:v>
                </c:pt>
              </c:strCache>
            </c:strRef>
          </c:cat>
          <c:val>
            <c:numRef>
              <c:f>'10 SKU'!$B$4:$B$14</c:f>
              <c:numCache>
                <c:formatCode>[$$-409]#,##0.00</c:formatCode>
                <c:ptCount val="10"/>
                <c:pt idx="0">
                  <c:v>79082.507010000001</c:v>
                </c:pt>
                <c:pt idx="1">
                  <c:v>53034.364139999991</c:v>
                </c:pt>
                <c:pt idx="2">
                  <c:v>46450.26</c:v>
                </c:pt>
                <c:pt idx="3">
                  <c:v>43084.872000000003</c:v>
                </c:pt>
                <c:pt idx="4">
                  <c:v>38096.18406</c:v>
                </c:pt>
                <c:pt idx="5">
                  <c:v>35396.277799999996</c:v>
                </c:pt>
                <c:pt idx="6">
                  <c:v>35167.7448</c:v>
                </c:pt>
                <c:pt idx="7">
                  <c:v>34139.159999999996</c:v>
                </c:pt>
                <c:pt idx="8">
                  <c:v>33062.236480000007</c:v>
                </c:pt>
                <c:pt idx="9">
                  <c:v>32086.37586</c:v>
                </c:pt>
              </c:numCache>
            </c:numRef>
          </c:val>
          <c:extLst>
            <c:ext xmlns:c16="http://schemas.microsoft.com/office/drawing/2014/chart" uri="{C3380CC4-5D6E-409C-BE32-E72D297353CC}">
              <c16:uniqueId val="{00000000-2926-45B1-8D85-8329326033FF}"/>
            </c:ext>
          </c:extLst>
        </c:ser>
        <c:dLbls>
          <c:showLegendKey val="0"/>
          <c:showVal val="0"/>
          <c:showCatName val="0"/>
          <c:showSerName val="0"/>
          <c:showPercent val="0"/>
          <c:showBubbleSize val="0"/>
        </c:dLbls>
        <c:gapWidth val="100"/>
        <c:axId val="216367039"/>
        <c:axId val="216367519"/>
      </c:barChart>
      <c:catAx>
        <c:axId val="21636703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KE"/>
          </a:p>
        </c:txPr>
        <c:crossAx val="216367519"/>
        <c:crosses val="autoZero"/>
        <c:auto val="1"/>
        <c:lblAlgn val="ctr"/>
        <c:lblOffset val="100"/>
        <c:noMultiLvlLbl val="0"/>
      </c:catAx>
      <c:valAx>
        <c:axId val="216367519"/>
        <c:scaling>
          <c:orientation val="minMax"/>
        </c:scaling>
        <c:delete val="0"/>
        <c:axPos val="b"/>
        <c:majorGridlines>
          <c:spPr>
            <a:ln w="9525" cap="flat" cmpd="sng" algn="ctr">
              <a:solidFill>
                <a:schemeClr val="tx2">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KE"/>
          </a:p>
        </c:txPr>
        <c:crossAx val="21636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[DashboardAssignment.xlsx]Revenue per month!PivotTable9</c:name>
    <c:fmtId val="2"/>
  </c:pivotSource>
  <c:chart>
    <c:title>
      <c:tx>
        <c:strRef>
          <c:f>Dashboard!$B$2</c:f>
          <c:strCache>
            <c:ptCount val="1"/>
            <c:pt idx="0">
              <c:v>Revenue by Month | Region: Africa</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Dashboard!$B$2</c:f>
              <c:strCache>
                <c:ptCount val="1"/>
                <c:pt idx="0">
                  <c:v>Total</c:v>
                </c:pt>
              </c:strCache>
            </c:strRef>
          </c:tx>
          <c:spPr>
            <a:ln w="28575" cap="rnd">
              <a:solidFill>
                <a:schemeClr val="accent5"/>
              </a:solidFill>
              <a:round/>
            </a:ln>
            <a:effectLst/>
          </c:spPr>
          <c:marker>
            <c:symbol val="none"/>
          </c:marker>
          <c:cat>
            <c:strRef>
              <c:f>Dashboard!$B$2</c:f>
              <c:strCache>
                <c:ptCount val="31"/>
                <c:pt idx="0">
                  <c:v>Apr-2023</c:v>
                </c:pt>
                <c:pt idx="1">
                  <c:v>Apr-2024</c:v>
                </c:pt>
                <c:pt idx="2">
                  <c:v>Aug-2023</c:v>
                </c:pt>
                <c:pt idx="3">
                  <c:v>Aug-2024</c:v>
                </c:pt>
                <c:pt idx="4">
                  <c:v>Aug-2025</c:v>
                </c:pt>
                <c:pt idx="5">
                  <c:v>Dec-2023</c:v>
                </c:pt>
                <c:pt idx="6">
                  <c:v>Dec-2024</c:v>
                </c:pt>
                <c:pt idx="7">
                  <c:v>Feb-2023</c:v>
                </c:pt>
                <c:pt idx="8">
                  <c:v>Feb-2024</c:v>
                </c:pt>
                <c:pt idx="9">
                  <c:v>Feb-2025</c:v>
                </c:pt>
                <c:pt idx="10">
                  <c:v>Jan-2023</c:v>
                </c:pt>
                <c:pt idx="11">
                  <c:v>Jan-2024</c:v>
                </c:pt>
                <c:pt idx="12">
                  <c:v>Jan-2025</c:v>
                </c:pt>
                <c:pt idx="13">
                  <c:v>Jul-2023</c:v>
                </c:pt>
                <c:pt idx="14">
                  <c:v>Jul-2024</c:v>
                </c:pt>
                <c:pt idx="15">
                  <c:v>Jul-2025</c:v>
                </c:pt>
                <c:pt idx="16">
                  <c:v>Jun-2023</c:v>
                </c:pt>
                <c:pt idx="17">
                  <c:v>Jun-2024</c:v>
                </c:pt>
                <c:pt idx="18">
                  <c:v>Jun-2025</c:v>
                </c:pt>
                <c:pt idx="19">
                  <c:v>Mar-2023</c:v>
                </c:pt>
                <c:pt idx="20">
                  <c:v>Mar-2024</c:v>
                </c:pt>
                <c:pt idx="21">
                  <c:v>Mar-2025</c:v>
                </c:pt>
                <c:pt idx="22">
                  <c:v>May-2023</c:v>
                </c:pt>
                <c:pt idx="23">
                  <c:v>May-2024</c:v>
                </c:pt>
                <c:pt idx="24">
                  <c:v>May-2025</c:v>
                </c:pt>
                <c:pt idx="25">
                  <c:v>Nov-2023</c:v>
                </c:pt>
                <c:pt idx="26">
                  <c:v>Nov-2024</c:v>
                </c:pt>
                <c:pt idx="27">
                  <c:v>Oct-2023</c:v>
                </c:pt>
                <c:pt idx="28">
                  <c:v>Oct-2024</c:v>
                </c:pt>
                <c:pt idx="29">
                  <c:v>Sept-2023</c:v>
                </c:pt>
                <c:pt idx="30">
                  <c:v>Sept-2025</c:v>
                </c:pt>
              </c:strCache>
            </c:strRef>
          </c:cat>
          <c:val>
            <c:numRef>
              <c:f>Dashboard!$B$2</c:f>
              <c:numCache>
                <c:formatCode>[$$-409]#,##0.00</c:formatCode>
                <c:ptCount val="31"/>
                <c:pt idx="0">
                  <c:v>45499.733910000003</c:v>
                </c:pt>
                <c:pt idx="1">
                  <c:v>14868.49</c:v>
                </c:pt>
                <c:pt idx="2">
                  <c:v>21722.711300000003</c:v>
                </c:pt>
                <c:pt idx="3">
                  <c:v>35396.277799999996</c:v>
                </c:pt>
                <c:pt idx="4">
                  <c:v>19066.045319999997</c:v>
                </c:pt>
                <c:pt idx="5">
                  <c:v>47947.409280000007</c:v>
                </c:pt>
                <c:pt idx="6">
                  <c:v>25503.14688</c:v>
                </c:pt>
                <c:pt idx="7">
                  <c:v>4737.2198399999997</c:v>
                </c:pt>
                <c:pt idx="8">
                  <c:v>1446.9507000000001</c:v>
                </c:pt>
                <c:pt idx="9">
                  <c:v>66136.949640000006</c:v>
                </c:pt>
                <c:pt idx="10">
                  <c:v>46387.764750000002</c:v>
                </c:pt>
                <c:pt idx="11">
                  <c:v>65966.201960000006</c:v>
                </c:pt>
                <c:pt idx="12">
                  <c:v>43202.779340000001</c:v>
                </c:pt>
                <c:pt idx="13">
                  <c:v>109556.90003999999</c:v>
                </c:pt>
                <c:pt idx="14">
                  <c:v>116158.19613000001</c:v>
                </c:pt>
                <c:pt idx="15">
                  <c:v>74145.427629999991</c:v>
                </c:pt>
                <c:pt idx="16">
                  <c:v>32981.412199999999</c:v>
                </c:pt>
                <c:pt idx="17">
                  <c:v>80095.928639999998</c:v>
                </c:pt>
                <c:pt idx="18">
                  <c:v>33339.019980000005</c:v>
                </c:pt>
                <c:pt idx="19">
                  <c:v>69048.045739999987</c:v>
                </c:pt>
                <c:pt idx="20">
                  <c:v>10647.727199999999</c:v>
                </c:pt>
                <c:pt idx="21">
                  <c:v>47502.705420000006</c:v>
                </c:pt>
                <c:pt idx="22">
                  <c:v>75173.887860000003</c:v>
                </c:pt>
                <c:pt idx="23">
                  <c:v>59107.640959999997</c:v>
                </c:pt>
                <c:pt idx="24">
                  <c:v>20011.96514</c:v>
                </c:pt>
                <c:pt idx="25">
                  <c:v>13464.761759999999</c:v>
                </c:pt>
                <c:pt idx="26">
                  <c:v>29860.3272</c:v>
                </c:pt>
                <c:pt idx="27">
                  <c:v>56138.360260000001</c:v>
                </c:pt>
                <c:pt idx="28">
                  <c:v>20079.343620000003</c:v>
                </c:pt>
                <c:pt idx="29">
                  <c:v>48982.809329999989</c:v>
                </c:pt>
                <c:pt idx="30">
                  <c:v>7597.4998400000004</c:v>
                </c:pt>
              </c:numCache>
            </c:numRef>
          </c:val>
          <c:smooth val="0"/>
          <c:extLst>
            <c:ext xmlns:c16="http://schemas.microsoft.com/office/drawing/2014/chart" uri="{C3380CC4-5D6E-409C-BE32-E72D297353CC}">
              <c16:uniqueId val="{00000000-0CEA-4E5D-ABB9-3A3EE8E918D7}"/>
            </c:ext>
          </c:extLst>
        </c:ser>
        <c:dLbls>
          <c:showLegendKey val="0"/>
          <c:showVal val="0"/>
          <c:showCatName val="0"/>
          <c:showSerName val="0"/>
          <c:showPercent val="0"/>
          <c:showBubbleSize val="0"/>
        </c:dLbls>
        <c:smooth val="0"/>
        <c:axId val="2013282511"/>
        <c:axId val="2013283951"/>
      </c:lineChart>
      <c:catAx>
        <c:axId val="201328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3283951"/>
        <c:crosses val="autoZero"/>
        <c:auto val="1"/>
        <c:lblAlgn val="ctr"/>
        <c:lblOffset val="100"/>
        <c:noMultiLvlLbl val="0"/>
      </c:catAx>
      <c:valAx>
        <c:axId val="201328395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328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[DashboardAssignment.xlsx]Profit by R n C!PivotTable10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C00000"/>
                </a:solidFill>
                <a:latin typeface="Aptos" panose="020B0004020202020204" pitchFamily="34" charset="0"/>
              </a:rPr>
              <a:t>Profit by Revenue and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5"/>
          </a:solidFill>
          <a:ln>
            <a:noFill/>
          </a:ln>
          <a:effectLst/>
        </c:spPr>
        <c:marker>
          <c:symbol val="circle"/>
          <c:size val="5"/>
          <c:spPr>
            <a:solidFill>
              <a:schemeClr val="accent5">
                <a:shade val="50000"/>
              </a:schemeClr>
            </a:solidFill>
            <a:ln w="9525">
              <a:solidFill>
                <a:schemeClr val="accent5">
                  <a:shade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hade val="70000"/>
              </a:schemeClr>
            </a:solidFill>
            <a:ln w="9525">
              <a:solidFill>
                <a:schemeClr val="accent5">
                  <a:shade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hade val="90000"/>
              </a:schemeClr>
            </a:solidFill>
            <a:ln w="9525">
              <a:solidFill>
                <a:schemeClr val="accent5">
                  <a:shade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circle"/>
          <c:size val="5"/>
          <c:spPr>
            <a:solidFill>
              <a:schemeClr val="accent5">
                <a:tint val="90000"/>
              </a:schemeClr>
            </a:solidFill>
            <a:ln w="9525">
              <a:solidFill>
                <a:schemeClr val="accent5">
                  <a:tint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circle"/>
          <c:size val="5"/>
          <c:spPr>
            <a:solidFill>
              <a:schemeClr val="accent5">
                <a:tint val="70000"/>
              </a:schemeClr>
            </a:solidFill>
            <a:ln w="9525">
              <a:solidFill>
                <a:schemeClr val="accent5">
                  <a:tint val="7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circle"/>
          <c:size val="5"/>
          <c:spPr>
            <a:solidFill>
              <a:schemeClr val="accent5">
                <a:tint val="50000"/>
              </a:schemeClr>
            </a:solidFill>
            <a:ln w="9525">
              <a:solidFill>
                <a:schemeClr val="accent5">
                  <a:tint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R n C'!$B$3:$B$4</c:f>
              <c:strCache>
                <c:ptCount val="1"/>
                <c:pt idx="0">
                  <c:v>Direct</c:v>
                </c:pt>
              </c:strCache>
            </c:strRef>
          </c:tx>
          <c:spPr>
            <a:solidFill>
              <a:schemeClr val="accent5">
                <a:shade val="50000"/>
              </a:schemeClr>
            </a:solidFill>
            <a:ln>
              <a:noFill/>
            </a:ln>
            <a:effectLst/>
          </c:spPr>
          <c:invertIfNegative val="0"/>
          <c:cat>
            <c:strRef>
              <c:f>'Profit by R n C'!$A$5:$A$9</c:f>
              <c:strCache>
                <c:ptCount val="4"/>
                <c:pt idx="0">
                  <c:v>Africa</c:v>
                </c:pt>
                <c:pt idx="1">
                  <c:v>Americas</c:v>
                </c:pt>
                <c:pt idx="2">
                  <c:v>Asia</c:v>
                </c:pt>
                <c:pt idx="3">
                  <c:v>Europe</c:v>
                </c:pt>
              </c:strCache>
            </c:strRef>
          </c:cat>
          <c:val>
            <c:numRef>
              <c:f>'Profit by R n C'!$B$5:$B$9</c:f>
              <c:numCache>
                <c:formatCode>[$$-409]#,##0.00</c:formatCode>
                <c:ptCount val="4"/>
                <c:pt idx="0">
                  <c:v>24405.422719999999</c:v>
                </c:pt>
                <c:pt idx="1">
                  <c:v>60093.000750000014</c:v>
                </c:pt>
                <c:pt idx="3">
                  <c:v>29728.699660000006</c:v>
                </c:pt>
              </c:numCache>
            </c:numRef>
          </c:val>
          <c:extLst>
            <c:ext xmlns:c16="http://schemas.microsoft.com/office/drawing/2014/chart" uri="{C3380CC4-5D6E-409C-BE32-E72D297353CC}">
              <c16:uniqueId val="{00000000-193E-4BED-8114-270592A1DDBB}"/>
            </c:ext>
          </c:extLst>
        </c:ser>
        <c:ser>
          <c:idx val="1"/>
          <c:order val="1"/>
          <c:tx>
            <c:strRef>
              <c:f>'Profit by R n C'!$C$3:$C$4</c:f>
              <c:strCache>
                <c:ptCount val="1"/>
                <c:pt idx="0">
                  <c:v>Distributor</c:v>
                </c:pt>
              </c:strCache>
            </c:strRef>
          </c:tx>
          <c:spPr>
            <a:solidFill>
              <a:schemeClr val="accent5">
                <a:shade val="70000"/>
              </a:schemeClr>
            </a:solidFill>
            <a:ln>
              <a:noFill/>
            </a:ln>
            <a:effectLst/>
          </c:spPr>
          <c:invertIfNegative val="0"/>
          <c:cat>
            <c:strRef>
              <c:f>'Profit by R n C'!$A$5:$A$9</c:f>
              <c:strCache>
                <c:ptCount val="4"/>
                <c:pt idx="0">
                  <c:v>Africa</c:v>
                </c:pt>
                <c:pt idx="1">
                  <c:v>Americas</c:v>
                </c:pt>
                <c:pt idx="2">
                  <c:v>Asia</c:v>
                </c:pt>
                <c:pt idx="3">
                  <c:v>Europe</c:v>
                </c:pt>
              </c:strCache>
            </c:strRef>
          </c:cat>
          <c:val>
            <c:numRef>
              <c:f>'Profit by R n C'!$C$5:$C$9</c:f>
              <c:numCache>
                <c:formatCode>[$$-409]#,##0.00</c:formatCode>
                <c:ptCount val="4"/>
                <c:pt idx="0">
                  <c:v>31999.859460000003</c:v>
                </c:pt>
                <c:pt idx="1">
                  <c:v>4520.3998000000011</c:v>
                </c:pt>
                <c:pt idx="2">
                  <c:v>4009.3667</c:v>
                </c:pt>
                <c:pt idx="3">
                  <c:v>24521.440280000003</c:v>
                </c:pt>
              </c:numCache>
            </c:numRef>
          </c:val>
          <c:extLst>
            <c:ext xmlns:c16="http://schemas.microsoft.com/office/drawing/2014/chart" uri="{C3380CC4-5D6E-409C-BE32-E72D297353CC}">
              <c16:uniqueId val="{0000001D-193E-4BED-8114-270592A1DDBB}"/>
            </c:ext>
          </c:extLst>
        </c:ser>
        <c:ser>
          <c:idx val="2"/>
          <c:order val="2"/>
          <c:tx>
            <c:strRef>
              <c:f>'Profit by R n C'!$D$3:$D$4</c:f>
              <c:strCache>
                <c:ptCount val="1"/>
                <c:pt idx="0">
                  <c:v>Marketplace</c:v>
                </c:pt>
              </c:strCache>
            </c:strRef>
          </c:tx>
          <c:spPr>
            <a:solidFill>
              <a:schemeClr val="accent5">
                <a:shade val="90000"/>
              </a:schemeClr>
            </a:solidFill>
            <a:ln>
              <a:noFill/>
            </a:ln>
            <a:effectLst/>
          </c:spPr>
          <c:invertIfNegative val="0"/>
          <c:cat>
            <c:strRef>
              <c:f>'Profit by R n C'!$A$5:$A$9</c:f>
              <c:strCache>
                <c:ptCount val="4"/>
                <c:pt idx="0">
                  <c:v>Africa</c:v>
                </c:pt>
                <c:pt idx="1">
                  <c:v>Americas</c:v>
                </c:pt>
                <c:pt idx="2">
                  <c:v>Asia</c:v>
                </c:pt>
                <c:pt idx="3">
                  <c:v>Europe</c:v>
                </c:pt>
              </c:strCache>
            </c:strRef>
          </c:cat>
          <c:val>
            <c:numRef>
              <c:f>'Profit by R n C'!$D$5:$D$9</c:f>
              <c:numCache>
                <c:formatCode>[$$-409]#,##0.00</c:formatCode>
                <c:ptCount val="4"/>
                <c:pt idx="0">
                  <c:v>16851.858579999996</c:v>
                </c:pt>
                <c:pt idx="1">
                  <c:v>27820.7565</c:v>
                </c:pt>
                <c:pt idx="2">
                  <c:v>2147.5234100000016</c:v>
                </c:pt>
                <c:pt idx="3">
                  <c:v>-50030.437079999996</c:v>
                </c:pt>
              </c:numCache>
            </c:numRef>
          </c:val>
          <c:extLst>
            <c:ext xmlns:c16="http://schemas.microsoft.com/office/drawing/2014/chart" uri="{C3380CC4-5D6E-409C-BE32-E72D297353CC}">
              <c16:uniqueId val="{0000001E-193E-4BED-8114-270592A1DDBB}"/>
            </c:ext>
          </c:extLst>
        </c:ser>
        <c:ser>
          <c:idx val="3"/>
          <c:order val="3"/>
          <c:tx>
            <c:strRef>
              <c:f>'Profit by R n C'!$E$3:$E$4</c:f>
              <c:strCache>
                <c:ptCount val="1"/>
                <c:pt idx="0">
                  <c:v>Online</c:v>
                </c:pt>
              </c:strCache>
            </c:strRef>
          </c:tx>
          <c:spPr>
            <a:solidFill>
              <a:schemeClr val="accent5">
                <a:tint val="90000"/>
              </a:schemeClr>
            </a:solidFill>
            <a:ln>
              <a:noFill/>
            </a:ln>
            <a:effectLst/>
          </c:spPr>
          <c:invertIfNegative val="0"/>
          <c:cat>
            <c:strRef>
              <c:f>'Profit by R n C'!$A$5:$A$9</c:f>
              <c:strCache>
                <c:ptCount val="4"/>
                <c:pt idx="0">
                  <c:v>Africa</c:v>
                </c:pt>
                <c:pt idx="1">
                  <c:v>Americas</c:v>
                </c:pt>
                <c:pt idx="2">
                  <c:v>Asia</c:v>
                </c:pt>
                <c:pt idx="3">
                  <c:v>Europe</c:v>
                </c:pt>
              </c:strCache>
            </c:strRef>
          </c:cat>
          <c:val>
            <c:numRef>
              <c:f>'Profit by R n C'!$E$5:$E$9</c:f>
              <c:numCache>
                <c:formatCode>[$$-409]#,##0.00</c:formatCode>
                <c:ptCount val="4"/>
                <c:pt idx="0">
                  <c:v>12391.170799999998</c:v>
                </c:pt>
                <c:pt idx="1">
                  <c:v>17820.321299999996</c:v>
                </c:pt>
                <c:pt idx="2">
                  <c:v>3024.3151199999993</c:v>
                </c:pt>
                <c:pt idx="3">
                  <c:v>3323.7306399999998</c:v>
                </c:pt>
              </c:numCache>
            </c:numRef>
          </c:val>
          <c:extLst>
            <c:ext xmlns:c16="http://schemas.microsoft.com/office/drawing/2014/chart" uri="{C3380CC4-5D6E-409C-BE32-E72D297353CC}">
              <c16:uniqueId val="{0000001F-193E-4BED-8114-270592A1DDBB}"/>
            </c:ext>
          </c:extLst>
        </c:ser>
        <c:ser>
          <c:idx val="4"/>
          <c:order val="4"/>
          <c:tx>
            <c:strRef>
              <c:f>'Profit by R n C'!$F$3:$F$4</c:f>
              <c:strCache>
                <c:ptCount val="1"/>
                <c:pt idx="0">
                  <c:v>Retail</c:v>
                </c:pt>
              </c:strCache>
            </c:strRef>
          </c:tx>
          <c:spPr>
            <a:solidFill>
              <a:schemeClr val="accent5">
                <a:tint val="70000"/>
              </a:schemeClr>
            </a:solidFill>
            <a:ln>
              <a:noFill/>
            </a:ln>
            <a:effectLst/>
          </c:spPr>
          <c:invertIfNegative val="0"/>
          <c:cat>
            <c:strRef>
              <c:f>'Profit by R n C'!$A$5:$A$9</c:f>
              <c:strCache>
                <c:ptCount val="4"/>
                <c:pt idx="0">
                  <c:v>Africa</c:v>
                </c:pt>
                <c:pt idx="1">
                  <c:v>Americas</c:v>
                </c:pt>
                <c:pt idx="2">
                  <c:v>Asia</c:v>
                </c:pt>
                <c:pt idx="3">
                  <c:v>Europe</c:v>
                </c:pt>
              </c:strCache>
            </c:strRef>
          </c:cat>
          <c:val>
            <c:numRef>
              <c:f>'Profit by R n C'!$F$5:$F$9</c:f>
              <c:numCache>
                <c:formatCode>[$$-409]#,##0.00</c:formatCode>
                <c:ptCount val="4"/>
                <c:pt idx="0">
                  <c:v>42270.584419999985</c:v>
                </c:pt>
                <c:pt idx="1">
                  <c:v>8125.0872199999985</c:v>
                </c:pt>
                <c:pt idx="2">
                  <c:v>29912.052980000008</c:v>
                </c:pt>
                <c:pt idx="3">
                  <c:v>14048.371399999998</c:v>
                </c:pt>
              </c:numCache>
            </c:numRef>
          </c:val>
          <c:extLst>
            <c:ext xmlns:c16="http://schemas.microsoft.com/office/drawing/2014/chart" uri="{C3380CC4-5D6E-409C-BE32-E72D297353CC}">
              <c16:uniqueId val="{00000020-193E-4BED-8114-270592A1DDBB}"/>
            </c:ext>
          </c:extLst>
        </c:ser>
        <c:ser>
          <c:idx val="5"/>
          <c:order val="5"/>
          <c:tx>
            <c:strRef>
              <c:f>'Profit by R n C'!$G$3:$G$4</c:f>
              <c:strCache>
                <c:ptCount val="1"/>
                <c:pt idx="0">
                  <c:v>Uknown</c:v>
                </c:pt>
              </c:strCache>
            </c:strRef>
          </c:tx>
          <c:spPr>
            <a:solidFill>
              <a:schemeClr val="accent5">
                <a:tint val="50000"/>
              </a:schemeClr>
            </a:solidFill>
            <a:ln>
              <a:noFill/>
            </a:ln>
            <a:effectLst/>
          </c:spPr>
          <c:invertIfNegative val="0"/>
          <c:cat>
            <c:strRef>
              <c:f>'Profit by R n C'!$A$5:$A$9</c:f>
              <c:strCache>
                <c:ptCount val="4"/>
                <c:pt idx="0">
                  <c:v>Africa</c:v>
                </c:pt>
                <c:pt idx="1">
                  <c:v>Americas</c:v>
                </c:pt>
                <c:pt idx="2">
                  <c:v>Asia</c:v>
                </c:pt>
                <c:pt idx="3">
                  <c:v>Europe</c:v>
                </c:pt>
              </c:strCache>
            </c:strRef>
          </c:cat>
          <c:val>
            <c:numRef>
              <c:f>'Profit by R n C'!$G$5:$G$9</c:f>
              <c:numCache>
                <c:formatCode>[$$-409]#,##0.00</c:formatCode>
                <c:ptCount val="4"/>
                <c:pt idx="2">
                  <c:v>16530.425009999999</c:v>
                </c:pt>
              </c:numCache>
            </c:numRef>
          </c:val>
          <c:extLst>
            <c:ext xmlns:c16="http://schemas.microsoft.com/office/drawing/2014/chart" uri="{C3380CC4-5D6E-409C-BE32-E72D297353CC}">
              <c16:uniqueId val="{00000021-193E-4BED-8114-270592A1DDBB}"/>
            </c:ext>
          </c:extLst>
        </c:ser>
        <c:dLbls>
          <c:showLegendKey val="0"/>
          <c:showVal val="0"/>
          <c:showCatName val="0"/>
          <c:showSerName val="0"/>
          <c:showPercent val="0"/>
          <c:showBubbleSize val="0"/>
        </c:dLbls>
        <c:gapWidth val="150"/>
        <c:overlap val="100"/>
        <c:axId val="2013298831"/>
        <c:axId val="2013299311"/>
      </c:barChart>
      <c:catAx>
        <c:axId val="201329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3299311"/>
        <c:crosses val="autoZero"/>
        <c:auto val="1"/>
        <c:lblAlgn val="ctr"/>
        <c:lblOffset val="100"/>
        <c:noMultiLvlLbl val="0"/>
      </c:catAx>
      <c:valAx>
        <c:axId val="201329931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329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[DashboardAssignment.xlsx]10 SKU!PivotTable11</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rgbClr val="C00000"/>
                </a:solidFill>
                <a:latin typeface="Aptos" panose="020B0004020202020204" pitchFamily="34" charset="0"/>
              </a:rPr>
              <a:t>Top</a:t>
            </a:r>
            <a:r>
              <a:rPr lang="en-US" baseline="0">
                <a:solidFill>
                  <a:srgbClr val="C00000"/>
                </a:solidFill>
                <a:latin typeface="Aptos" panose="020B0004020202020204" pitchFamily="34" charset="0"/>
              </a:rPr>
              <a:t> 10 SKUs by Revenue</a:t>
            </a:r>
            <a:endParaRPr lang="en-US">
              <a:solidFill>
                <a:srgbClr val="C00000"/>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'10 SKU'!$B$3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'10 SKU'!$A$4:$A$14</c:f>
              <c:strCache>
                <c:ptCount val="10"/>
                <c:pt idx="0">
                  <c:v>ACC-6626</c:v>
                </c:pt>
                <c:pt idx="1">
                  <c:v>ACC-2988</c:v>
                </c:pt>
                <c:pt idx="2">
                  <c:v>ACC-9283</c:v>
                </c:pt>
                <c:pt idx="3">
                  <c:v>ACC-9533</c:v>
                </c:pt>
                <c:pt idx="4">
                  <c:v>ACC-8098</c:v>
                </c:pt>
                <c:pt idx="5">
                  <c:v>ACC-4490</c:v>
                </c:pt>
                <c:pt idx="6">
                  <c:v>ACC-7838</c:v>
                </c:pt>
                <c:pt idx="7">
                  <c:v>ACC-5177</c:v>
                </c:pt>
                <c:pt idx="8">
                  <c:v>ACC-9162</c:v>
                </c:pt>
                <c:pt idx="9">
                  <c:v>ACC-7078</c:v>
                </c:pt>
              </c:strCache>
            </c:strRef>
          </c:cat>
          <c:val>
            <c:numRef>
              <c:f>'10 SKU'!$B$4:$B$14</c:f>
              <c:numCache>
                <c:formatCode>[$$-409]#,##0.00</c:formatCode>
                <c:ptCount val="10"/>
                <c:pt idx="0">
                  <c:v>79082.507010000001</c:v>
                </c:pt>
                <c:pt idx="1">
                  <c:v>53034.364139999991</c:v>
                </c:pt>
                <c:pt idx="2">
                  <c:v>46450.26</c:v>
                </c:pt>
                <c:pt idx="3">
                  <c:v>43084.872000000003</c:v>
                </c:pt>
                <c:pt idx="4">
                  <c:v>38096.18406</c:v>
                </c:pt>
                <c:pt idx="5">
                  <c:v>35396.277799999996</c:v>
                </c:pt>
                <c:pt idx="6">
                  <c:v>35167.7448</c:v>
                </c:pt>
                <c:pt idx="7">
                  <c:v>34139.159999999996</c:v>
                </c:pt>
                <c:pt idx="8">
                  <c:v>33062.236480000007</c:v>
                </c:pt>
                <c:pt idx="9">
                  <c:v>32086.37586</c:v>
                </c:pt>
              </c:numCache>
            </c:numRef>
          </c:val>
          <c:extLst>
            <c:ext xmlns:c16="http://schemas.microsoft.com/office/drawing/2014/chart" uri="{C3380CC4-5D6E-409C-BE32-E72D297353CC}">
              <c16:uniqueId val="{00000000-EC24-4C56-BAB1-941BBD410B73}"/>
            </c:ext>
          </c:extLst>
        </c:ser>
        <c:dLbls>
          <c:showLegendKey val="0"/>
          <c:showVal val="0"/>
          <c:showCatName val="0"/>
          <c:showSerName val="0"/>
          <c:showPercent val="0"/>
          <c:showBubbleSize val="0"/>
        </c:dLbls>
        <c:gapWidth val="100"/>
        <c:axId val="216367039"/>
        <c:axId val="216367519"/>
      </c:barChart>
      <c:catAx>
        <c:axId val="21636703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KE"/>
          </a:p>
        </c:txPr>
        <c:crossAx val="216367519"/>
        <c:crosses val="autoZero"/>
        <c:auto val="1"/>
        <c:lblAlgn val="ctr"/>
        <c:lblOffset val="100"/>
        <c:noMultiLvlLbl val="0"/>
      </c:catAx>
      <c:valAx>
        <c:axId val="216367519"/>
        <c:scaling>
          <c:orientation val="minMax"/>
        </c:scaling>
        <c:delete val="0"/>
        <c:axPos val="b"/>
        <c:majorGridlines>
          <c:spPr>
            <a:ln w="9525" cap="flat" cmpd="sng" algn="ctr">
              <a:solidFill>
                <a:schemeClr val="tx2">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KE"/>
          </a:p>
        </c:txPr>
        <c:crossAx val="21636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Discount Outliers</cx:v>
        </cx:txData>
      </cx:tx>
      <cx:txPr>
        <a:bodyPr spcFirstLastPara="1" vertOverflow="ellipsis" horzOverflow="overflow" wrap="square" lIns="0" tIns="0" rIns="0" bIns="0" anchor="ctr" anchorCtr="1"/>
        <a:lstStyle/>
        <a:p>
          <a:pPr algn="ctr" rtl="0">
            <a:defRPr/>
          </a:pPr>
          <a:r>
            <a:rPr lang="en-US" sz="1600" b="1" i="0" u="none" strike="noStrike" baseline="0">
              <a:solidFill>
                <a:srgbClr val="C00000"/>
              </a:solidFill>
              <a:latin typeface="Aptos" panose="020B0004020202020204" pitchFamily="34" charset="0"/>
            </a:rPr>
            <a:t>Discount Outliers</a:t>
          </a:r>
        </a:p>
      </cx:txPr>
    </cx:title>
    <cx:plotArea>
      <cx:plotAreaRegion>
        <cx:series layoutId="boxWhisker" uniqueId="{3D9E5C9C-3730-4F55-B64B-4151B031F4D3}">
          <cx:tx>
            <cx:txData>
              <cx:f>_xlchart.v1.1</cx:f>
              <cx:v>Average of DiscountPct</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Discount Outliers</cx:v>
        </cx:txData>
      </cx:tx>
      <cx:txPr>
        <a:bodyPr spcFirstLastPara="1" vertOverflow="ellipsis" horzOverflow="overflow" wrap="square" lIns="0" tIns="0" rIns="0" bIns="0" anchor="ctr" anchorCtr="1"/>
        <a:lstStyle/>
        <a:p>
          <a:pPr algn="ctr" rtl="0">
            <a:defRPr/>
          </a:pPr>
          <a:r>
            <a:rPr lang="en-US" sz="1600" b="1" i="0" u="none" strike="noStrike" baseline="0">
              <a:solidFill>
                <a:srgbClr val="C00000"/>
              </a:solidFill>
              <a:latin typeface="Aptos" panose="020B0004020202020204" pitchFamily="34" charset="0"/>
            </a:rPr>
            <a:t>Discount Outliers</a:t>
          </a:r>
        </a:p>
      </cx:txPr>
    </cx:title>
    <cx:plotArea>
      <cx:plotAreaRegion>
        <cx:series layoutId="boxWhisker" uniqueId="{3D9E5C9C-3730-4F55-B64B-4151B031F4D3}">
          <cx:tx>
            <cx:txData>
              <cx:f>_xlchart.v1.4</cx:f>
              <cx:v>Average of DiscountPct</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542925</xdr:colOff>
      <xdr:row>3</xdr:row>
      <xdr:rowOff>61912</xdr:rowOff>
    </xdr:from>
    <xdr:to>
      <xdr:col>11</xdr:col>
      <xdr:colOff>238125</xdr:colOff>
      <xdr:row>17</xdr:row>
      <xdr:rowOff>138112</xdr:rowOff>
    </xdr:to>
    <xdr:graphicFrame macro="">
      <xdr:nvGraphicFramePr>
        <xdr:cNvPr id="2" name="Chart 1">
          <a:extLst>
            <a:ext uri="{FF2B5EF4-FFF2-40B4-BE49-F238E27FC236}">
              <a16:creationId xmlns:a16="http://schemas.microsoft.com/office/drawing/2014/main" id="{5800FE8B-799B-1144-D602-597EC6AC83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295275</xdr:colOff>
      <xdr:row>4</xdr:row>
      <xdr:rowOff>138112</xdr:rowOff>
    </xdr:from>
    <xdr:to>
      <xdr:col>9</xdr:col>
      <xdr:colOff>438150</xdr:colOff>
      <xdr:row>19</xdr:row>
      <xdr:rowOff>23812</xdr:rowOff>
    </xdr:to>
    <xdr:graphicFrame macro="">
      <xdr:nvGraphicFramePr>
        <xdr:cNvPr id="2" name="Chart 1">
          <a:extLst>
            <a:ext uri="{FF2B5EF4-FFF2-40B4-BE49-F238E27FC236}">
              <a16:creationId xmlns:a16="http://schemas.microsoft.com/office/drawing/2014/main" id="{E46C76D0-D0D0-F297-7E63-B75BBEBAD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185737</xdr:colOff>
      <xdr:row>3</xdr:row>
      <xdr:rowOff>90487</xdr:rowOff>
    </xdr:from>
    <xdr:to>
      <xdr:col>9</xdr:col>
      <xdr:colOff>490537</xdr:colOff>
      <xdr:row>17</xdr:row>
      <xdr:rowOff>166687</xdr:rowOff>
    </xdr:to>
    <xdr:graphicFrame macro="">
      <xdr:nvGraphicFramePr>
        <xdr:cNvPr id="3" name="Chart 2">
          <a:extLst>
            <a:ext uri="{FF2B5EF4-FFF2-40B4-BE49-F238E27FC236}">
              <a16:creationId xmlns:a16="http://schemas.microsoft.com/office/drawing/2014/main" id="{ECE46E5B-3C2B-5FA6-4481-BB9938FCF8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400050</xdr:colOff>
      <xdr:row>1</xdr:row>
      <xdr:rowOff>0</xdr:rowOff>
    </xdr:from>
    <xdr:to>
      <xdr:col>4</xdr:col>
      <xdr:colOff>400050</xdr:colOff>
      <xdr:row>14</xdr:row>
      <xdr:rowOff>47625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E9005778-6233-9C75-99D1-6AA9546A23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9650" y="1905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38100</xdr:colOff>
      <xdr:row>0</xdr:row>
      <xdr:rowOff>171450</xdr:rowOff>
    </xdr:from>
    <xdr:to>
      <xdr:col>8</xdr:col>
      <xdr:colOff>38100</xdr:colOff>
      <xdr:row>14</xdr:row>
      <xdr:rowOff>28575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530DBAD6-4E5F-D1BA-CB6F-EF2ADBA3159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086100" y="1714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552450</xdr:colOff>
      <xdr:row>2</xdr:row>
      <xdr:rowOff>85725</xdr:rowOff>
    </xdr:from>
    <xdr:to>
      <xdr:col>11</xdr:col>
      <xdr:colOff>552450</xdr:colOff>
      <xdr:row>15</xdr:row>
      <xdr:rowOff>133350</xdr:rowOff>
    </xdr:to>
    <mc:AlternateContent xmlns:mc="http://schemas.openxmlformats.org/markup-compatibility/2006" xmlns:a14="http://schemas.microsoft.com/office/drawing/2010/main">
      <mc:Choice Requires="a14">
        <xdr:graphicFrame macro="">
          <xdr:nvGraphicFramePr>
            <xdr:cNvPr id="5" name="Channel">
              <a:extLst>
                <a:ext uri="{FF2B5EF4-FFF2-40B4-BE49-F238E27FC236}">
                  <a16:creationId xmlns:a16="http://schemas.microsoft.com/office/drawing/2014/main" id="{45E5F771-94CB-C511-8112-ED8260DE03BD}"/>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5429250" y="46672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180975</xdr:colOff>
      <xdr:row>2</xdr:row>
      <xdr:rowOff>19050</xdr:rowOff>
    </xdr:from>
    <xdr:to>
      <xdr:col>15</xdr:col>
      <xdr:colOff>180975</xdr:colOff>
      <xdr:row>15</xdr:row>
      <xdr:rowOff>66675</xdr:rowOff>
    </xdr:to>
    <mc:AlternateContent xmlns:mc="http://schemas.openxmlformats.org/markup-compatibility/2006" xmlns:a14="http://schemas.microsoft.com/office/drawing/2010/main">
      <mc:Choice Requires="a14">
        <xdr:graphicFrame macro="">
          <xdr:nvGraphicFramePr>
            <xdr:cNvPr id="6" name="Salesperson">
              <a:extLst>
                <a:ext uri="{FF2B5EF4-FFF2-40B4-BE49-F238E27FC236}">
                  <a16:creationId xmlns:a16="http://schemas.microsoft.com/office/drawing/2014/main" id="{45F9361A-4E8A-237F-14EC-84ACDB2E1F13}"/>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496175" y="4000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504825</xdr:colOff>
      <xdr:row>1</xdr:row>
      <xdr:rowOff>161925</xdr:rowOff>
    </xdr:from>
    <xdr:to>
      <xdr:col>18</xdr:col>
      <xdr:colOff>504825</xdr:colOff>
      <xdr:row>15</xdr:row>
      <xdr:rowOff>19050</xdr:rowOff>
    </xdr:to>
    <mc:AlternateContent xmlns:mc="http://schemas.openxmlformats.org/markup-compatibility/2006" xmlns:a14="http://schemas.microsoft.com/office/drawing/2010/main">
      <mc:Choice Requires="a14">
        <xdr:graphicFrame macro="">
          <xdr:nvGraphicFramePr>
            <xdr:cNvPr id="7" name="ProductCategory">
              <a:extLst>
                <a:ext uri="{FF2B5EF4-FFF2-40B4-BE49-F238E27FC236}">
                  <a16:creationId xmlns:a16="http://schemas.microsoft.com/office/drawing/2014/main" id="{684B9F35-4B99-6D47-B5DF-C75449D5950E}"/>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9648825" y="35242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85725</xdr:colOff>
      <xdr:row>1</xdr:row>
      <xdr:rowOff>133350</xdr:rowOff>
    </xdr:from>
    <xdr:to>
      <xdr:col>22</xdr:col>
      <xdr:colOff>85725</xdr:colOff>
      <xdr:row>14</xdr:row>
      <xdr:rowOff>180975</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1EE97C94-3073-2077-6328-371BFDF2834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668125" y="3238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533399</xdr:colOff>
      <xdr:row>590</xdr:row>
      <xdr:rowOff>180975</xdr:rowOff>
    </xdr:from>
    <xdr:to>
      <xdr:col>16</xdr:col>
      <xdr:colOff>352424</xdr:colOff>
      <xdr:row>606</xdr:row>
      <xdr:rowOff>80962</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7467F6AE-2158-1B61-023A-A57697C0C7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24624" y="112575975"/>
              <a:ext cx="4695825" cy="2947987"/>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9</xdr:col>
      <xdr:colOff>76610</xdr:colOff>
      <xdr:row>0</xdr:row>
      <xdr:rowOff>107540</xdr:rowOff>
    </xdr:from>
    <xdr:to>
      <xdr:col>20</xdr:col>
      <xdr:colOff>380947</xdr:colOff>
      <xdr:row>6</xdr:row>
      <xdr:rowOff>46088</xdr:rowOff>
    </xdr:to>
    <xdr:sp macro="" textlink="">
      <xdr:nvSpPr>
        <xdr:cNvPr id="2" name="Rectangle: Rounded Corners 1">
          <a:extLst>
            <a:ext uri="{FF2B5EF4-FFF2-40B4-BE49-F238E27FC236}">
              <a16:creationId xmlns:a16="http://schemas.microsoft.com/office/drawing/2014/main" id="{CAEAFE9D-4F72-F0DA-AB26-CC96CB8ACF10}"/>
            </a:ext>
          </a:extLst>
        </xdr:cNvPr>
        <xdr:cNvSpPr/>
      </xdr:nvSpPr>
      <xdr:spPr>
        <a:xfrm>
          <a:off x="5597881" y="107540"/>
          <a:ext cx="7052558" cy="1100921"/>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1">
              <a:solidFill>
                <a:srgbClr val="C00000"/>
              </a:solidFill>
              <a:latin typeface="Aptos" panose="020B0004020202020204" pitchFamily="34" charset="0"/>
            </a:rPr>
            <a:t>Interactive Sales &amp; Profit Performance Dashboard</a:t>
          </a:r>
          <a:endParaRPr lang="en-US" sz="2800">
            <a:solidFill>
              <a:srgbClr val="C00000"/>
            </a:solidFill>
            <a:latin typeface="Aptos" panose="020B0004020202020204" pitchFamily="34" charset="0"/>
          </a:endParaRPr>
        </a:p>
        <a:p>
          <a:pPr algn="l"/>
          <a:endParaRPr lang="en-KE" sz="1100"/>
        </a:p>
      </xdr:txBody>
    </xdr:sp>
    <xdr:clientData/>
  </xdr:twoCellAnchor>
  <xdr:twoCellAnchor>
    <xdr:from>
      <xdr:col>4</xdr:col>
      <xdr:colOff>419010</xdr:colOff>
      <xdr:row>8</xdr:row>
      <xdr:rowOff>23860</xdr:rowOff>
    </xdr:from>
    <xdr:to>
      <xdr:col>8</xdr:col>
      <xdr:colOff>387457</xdr:colOff>
      <xdr:row>13</xdr:row>
      <xdr:rowOff>48432</xdr:rowOff>
    </xdr:to>
    <xdr:sp macro="" textlink="">
      <xdr:nvSpPr>
        <xdr:cNvPr id="3" name="Rectangle: Rounded Corners 2">
          <a:extLst>
            <a:ext uri="{FF2B5EF4-FFF2-40B4-BE49-F238E27FC236}">
              <a16:creationId xmlns:a16="http://schemas.microsoft.com/office/drawing/2014/main" id="{60AC88B9-8067-AADB-0C4A-4F2465CDAC48}"/>
            </a:ext>
          </a:extLst>
        </xdr:cNvPr>
        <xdr:cNvSpPr/>
      </xdr:nvSpPr>
      <xdr:spPr>
        <a:xfrm>
          <a:off x="2872908" y="1573691"/>
          <a:ext cx="2422346" cy="993216"/>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2400" b="1">
              <a:latin typeface="Aptos" panose="020B0004020202020204" pitchFamily="34" charset="0"/>
            </a:rPr>
            <a:t>Total</a:t>
          </a:r>
          <a:r>
            <a:rPr lang="en-US" sz="2400" b="1" baseline="0">
              <a:latin typeface="Aptos" panose="020B0004020202020204" pitchFamily="34" charset="0"/>
            </a:rPr>
            <a:t> Revenue</a:t>
          </a:r>
        </a:p>
        <a:p>
          <a:pPr algn="l"/>
          <a:r>
            <a:rPr lang="en-US" sz="2400" b="1" baseline="0">
              <a:latin typeface="Aptos" panose="020B0004020202020204" pitchFamily="34" charset="0"/>
            </a:rPr>
            <a:t>$10,944,328.86</a:t>
          </a:r>
          <a:endParaRPr lang="en-KE" sz="2400" b="1">
            <a:latin typeface="Aptos" panose="020B0004020202020204" pitchFamily="34" charset="0"/>
          </a:endParaRPr>
        </a:p>
      </xdr:txBody>
    </xdr:sp>
    <xdr:clientData/>
  </xdr:twoCellAnchor>
  <xdr:twoCellAnchor>
    <xdr:from>
      <xdr:col>9</xdr:col>
      <xdr:colOff>106332</xdr:colOff>
      <xdr:row>7</xdr:row>
      <xdr:rowOff>137484</xdr:rowOff>
    </xdr:from>
    <xdr:to>
      <xdr:col>12</xdr:col>
      <xdr:colOff>597330</xdr:colOff>
      <xdr:row>13</xdr:row>
      <xdr:rowOff>16144</xdr:rowOff>
    </xdr:to>
    <xdr:sp macro="" textlink="">
      <xdr:nvSpPr>
        <xdr:cNvPr id="4" name="Rectangle: Rounded Corners 3">
          <a:extLst>
            <a:ext uri="{FF2B5EF4-FFF2-40B4-BE49-F238E27FC236}">
              <a16:creationId xmlns:a16="http://schemas.microsoft.com/office/drawing/2014/main" id="{3D6A7983-4BAF-BDC1-679A-20D2CAD5065E}"/>
            </a:ext>
          </a:extLst>
        </xdr:cNvPr>
        <xdr:cNvSpPr/>
      </xdr:nvSpPr>
      <xdr:spPr>
        <a:xfrm>
          <a:off x="5627603" y="1493586"/>
          <a:ext cx="2331422" cy="1041033"/>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2400" b="1">
              <a:latin typeface="Aptos" panose="020B0004020202020204" pitchFamily="34" charset="0"/>
            </a:rPr>
            <a:t>Gross Profit</a:t>
          </a:r>
        </a:p>
        <a:p>
          <a:pPr algn="l"/>
          <a:r>
            <a:rPr lang="en-US" sz="2400" b="1">
              <a:latin typeface="Aptos" panose="020B0004020202020204" pitchFamily="34" charset="0"/>
            </a:rPr>
            <a:t>$3,416,581.15</a:t>
          </a:r>
          <a:endParaRPr lang="en-KE" sz="2400" b="1">
            <a:latin typeface="Aptos" panose="020B0004020202020204" pitchFamily="34" charset="0"/>
          </a:endParaRPr>
        </a:p>
      </xdr:txBody>
    </xdr:sp>
    <xdr:clientData/>
  </xdr:twoCellAnchor>
  <xdr:twoCellAnchor>
    <xdr:from>
      <xdr:col>13</xdr:col>
      <xdr:colOff>354910</xdr:colOff>
      <xdr:row>7</xdr:row>
      <xdr:rowOff>154410</xdr:rowOff>
    </xdr:from>
    <xdr:to>
      <xdr:col>16</xdr:col>
      <xdr:colOff>516612</xdr:colOff>
      <xdr:row>13</xdr:row>
      <xdr:rowOff>16145</xdr:rowOff>
    </xdr:to>
    <xdr:sp macro="" textlink="">
      <xdr:nvSpPr>
        <xdr:cNvPr id="5" name="Rectangle: Rounded Corners 4">
          <a:extLst>
            <a:ext uri="{FF2B5EF4-FFF2-40B4-BE49-F238E27FC236}">
              <a16:creationId xmlns:a16="http://schemas.microsoft.com/office/drawing/2014/main" id="{B115E642-C71D-95CE-F53A-A3B02D32DE05}"/>
            </a:ext>
          </a:extLst>
        </xdr:cNvPr>
        <xdr:cNvSpPr/>
      </xdr:nvSpPr>
      <xdr:spPr>
        <a:xfrm>
          <a:off x="8330079" y="1510512"/>
          <a:ext cx="2002126" cy="1024108"/>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2400" b="1">
              <a:latin typeface="Aptos" panose="020B0004020202020204" pitchFamily="34" charset="0"/>
            </a:rPr>
            <a:t>Margin %</a:t>
          </a:r>
        </a:p>
        <a:p>
          <a:pPr algn="l"/>
          <a:r>
            <a:rPr lang="en-US" sz="2400" b="1">
              <a:latin typeface="Aptos" panose="020B0004020202020204" pitchFamily="34" charset="0"/>
            </a:rPr>
            <a:t>0.31</a:t>
          </a:r>
          <a:endParaRPr lang="en-KE" sz="2400" b="1">
            <a:latin typeface="Aptos" panose="020B0004020202020204" pitchFamily="34" charset="0"/>
          </a:endParaRPr>
        </a:p>
      </xdr:txBody>
    </xdr:sp>
    <xdr:clientData/>
  </xdr:twoCellAnchor>
  <xdr:twoCellAnchor>
    <xdr:from>
      <xdr:col>17</xdr:col>
      <xdr:colOff>293075</xdr:colOff>
      <xdr:row>7</xdr:row>
      <xdr:rowOff>177583</xdr:rowOff>
    </xdr:from>
    <xdr:to>
      <xdr:col>22</xdr:col>
      <xdr:colOff>322881</xdr:colOff>
      <xdr:row>13</xdr:row>
      <xdr:rowOff>105197</xdr:rowOff>
    </xdr:to>
    <xdr:sp macro="" textlink="">
      <xdr:nvSpPr>
        <xdr:cNvPr id="6" name="Rectangle: Rounded Corners 5">
          <a:extLst>
            <a:ext uri="{FF2B5EF4-FFF2-40B4-BE49-F238E27FC236}">
              <a16:creationId xmlns:a16="http://schemas.microsoft.com/office/drawing/2014/main" id="{46CBE18C-917A-A296-01AB-759A1B19B629}"/>
            </a:ext>
          </a:extLst>
        </xdr:cNvPr>
        <xdr:cNvSpPr/>
      </xdr:nvSpPr>
      <xdr:spPr>
        <a:xfrm>
          <a:off x="10722143" y="1533685"/>
          <a:ext cx="3097179" cy="1089987"/>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2400" b="1">
              <a:latin typeface="Aptos" panose="020B0004020202020204" pitchFamily="34" charset="0"/>
            </a:rPr>
            <a:t>Avg</a:t>
          </a:r>
          <a:r>
            <a:rPr lang="en-US" sz="2400" b="1" baseline="0">
              <a:latin typeface="Aptos" panose="020B0004020202020204" pitchFamily="34" charset="0"/>
            </a:rPr>
            <a:t> Order Value</a:t>
          </a:r>
        </a:p>
        <a:p>
          <a:pPr algn="l"/>
          <a:r>
            <a:rPr lang="en-US" sz="2400" b="1">
              <a:latin typeface="Aptos" panose="020B0004020202020204" pitchFamily="34" charset="0"/>
            </a:rPr>
            <a:t>$17,316.98</a:t>
          </a:r>
          <a:endParaRPr lang="en-KE" sz="2400" b="1">
            <a:latin typeface="Aptos" panose="020B0004020202020204" pitchFamily="34" charset="0"/>
          </a:endParaRPr>
        </a:p>
      </xdr:txBody>
    </xdr:sp>
    <xdr:clientData/>
  </xdr:twoCellAnchor>
  <xdr:twoCellAnchor>
    <xdr:from>
      <xdr:col>23</xdr:col>
      <xdr:colOff>273407</xdr:colOff>
      <xdr:row>7</xdr:row>
      <xdr:rowOff>72907</xdr:rowOff>
    </xdr:from>
    <xdr:to>
      <xdr:col>27</xdr:col>
      <xdr:colOff>196393</xdr:colOff>
      <xdr:row>13</xdr:row>
      <xdr:rowOff>72908</xdr:rowOff>
    </xdr:to>
    <xdr:sp macro="" textlink="">
      <xdr:nvSpPr>
        <xdr:cNvPr id="7" name="Rectangle: Rounded Corners 6">
          <a:extLst>
            <a:ext uri="{FF2B5EF4-FFF2-40B4-BE49-F238E27FC236}">
              <a16:creationId xmlns:a16="http://schemas.microsoft.com/office/drawing/2014/main" id="{CB29DD89-8521-DB9B-B5F0-9CE9769504ED}"/>
            </a:ext>
          </a:extLst>
        </xdr:cNvPr>
        <xdr:cNvSpPr/>
      </xdr:nvSpPr>
      <xdr:spPr>
        <a:xfrm>
          <a:off x="14383322" y="1429009"/>
          <a:ext cx="2376885" cy="1162374"/>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2400" b="1">
              <a:latin typeface="Aptos" panose="020B0004020202020204" pitchFamily="34" charset="0"/>
            </a:rPr>
            <a:t>On-Time %</a:t>
          </a:r>
        </a:p>
        <a:p>
          <a:pPr algn="l"/>
          <a:r>
            <a:rPr lang="en-US" sz="2400" b="1">
              <a:latin typeface="Aptos" panose="020B0004020202020204" pitchFamily="34" charset="0"/>
            </a:rPr>
            <a:t>27.22%</a:t>
          </a:r>
          <a:endParaRPr lang="en-KE" sz="2400" b="1">
            <a:latin typeface="Aptos" panose="020B0004020202020204" pitchFamily="34" charset="0"/>
          </a:endParaRPr>
        </a:p>
      </xdr:txBody>
    </xdr:sp>
    <xdr:clientData/>
  </xdr:twoCellAnchor>
  <xdr:twoCellAnchor>
    <xdr:from>
      <xdr:col>4</xdr:col>
      <xdr:colOff>225203</xdr:colOff>
      <xdr:row>15</xdr:row>
      <xdr:rowOff>14883</xdr:rowOff>
    </xdr:from>
    <xdr:to>
      <xdr:col>13</xdr:col>
      <xdr:colOff>535781</xdr:colOff>
      <xdr:row>39</xdr:row>
      <xdr:rowOff>102922</xdr:rowOff>
    </xdr:to>
    <xdr:graphicFrame macro="">
      <xdr:nvGraphicFramePr>
        <xdr:cNvPr id="8" name="Chart 7">
          <a:extLst>
            <a:ext uri="{FF2B5EF4-FFF2-40B4-BE49-F238E27FC236}">
              <a16:creationId xmlns:a16="http://schemas.microsoft.com/office/drawing/2014/main" id="{6B2E6CF7-353A-4947-A98B-8C54C48BC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215901</xdr:colOff>
      <xdr:row>14</xdr:row>
      <xdr:rowOff>184675</xdr:rowOff>
    </xdr:from>
    <xdr:to>
      <xdr:col>23</xdr:col>
      <xdr:colOff>393701</xdr:colOff>
      <xdr:row>39</xdr:row>
      <xdr:rowOff>127000</xdr:rowOff>
    </xdr:to>
    <xdr:graphicFrame macro="">
      <xdr:nvGraphicFramePr>
        <xdr:cNvPr id="9" name="Chart 8">
          <a:extLst>
            <a:ext uri="{FF2B5EF4-FFF2-40B4-BE49-F238E27FC236}">
              <a16:creationId xmlns:a16="http://schemas.microsoft.com/office/drawing/2014/main" id="{7AB2EBEC-4A9A-440F-A1DD-AF40E79F9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175581</xdr:colOff>
      <xdr:row>40</xdr:row>
      <xdr:rowOff>133945</xdr:rowOff>
    </xdr:from>
    <xdr:to>
      <xdr:col>13</xdr:col>
      <xdr:colOff>580431</xdr:colOff>
      <xdr:row>70</xdr:row>
      <xdr:rowOff>145893</xdr:rowOff>
    </xdr:to>
    <xdr:graphicFrame macro="">
      <xdr:nvGraphicFramePr>
        <xdr:cNvPr id="11" name="Chart 10">
          <a:extLst>
            <a:ext uri="{FF2B5EF4-FFF2-40B4-BE49-F238E27FC236}">
              <a16:creationId xmlns:a16="http://schemas.microsoft.com/office/drawing/2014/main" id="{46188BAF-BA74-464F-B437-3F30ABE1B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316969</xdr:colOff>
      <xdr:row>16</xdr:row>
      <xdr:rowOff>31834</xdr:rowOff>
    </xdr:from>
    <xdr:to>
      <xdr:col>4</xdr:col>
      <xdr:colOff>25467</xdr:colOff>
      <xdr:row>25</xdr:row>
      <xdr:rowOff>185317</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0D8FF1F0-33E9-4BCA-9E82-2B9E99BAF76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16969" y="3127459"/>
              <a:ext cx="2149279" cy="189477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66437</xdr:colOff>
      <xdr:row>15</xdr:row>
      <xdr:rowOff>17178</xdr:rowOff>
    </xdr:from>
    <xdr:to>
      <xdr:col>27</xdr:col>
      <xdr:colOff>415240</xdr:colOff>
      <xdr:row>29</xdr:row>
      <xdr:rowOff>130162</xdr:rowOff>
    </xdr:to>
    <mc:AlternateContent xmlns:mc="http://schemas.openxmlformats.org/markup-compatibility/2006" xmlns:a14="http://schemas.microsoft.com/office/drawing/2010/main">
      <mc:Choice Requires="a14">
        <xdr:graphicFrame macro="">
          <xdr:nvGraphicFramePr>
            <xdr:cNvPr id="14" name="Country 1">
              <a:extLst>
                <a:ext uri="{FF2B5EF4-FFF2-40B4-BE49-F238E27FC236}">
                  <a16:creationId xmlns:a16="http://schemas.microsoft.com/office/drawing/2014/main" id="{6B562E04-6588-44BE-9F93-FE1D8253708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4711125" y="2919326"/>
              <a:ext cx="2179388" cy="282165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305020</xdr:colOff>
      <xdr:row>27</xdr:row>
      <xdr:rowOff>56576</xdr:rowOff>
    </xdr:from>
    <xdr:to>
      <xdr:col>4</xdr:col>
      <xdr:colOff>26934</xdr:colOff>
      <xdr:row>38</xdr:row>
      <xdr:rowOff>183226</xdr:rowOff>
    </xdr:to>
    <mc:AlternateContent xmlns:mc="http://schemas.openxmlformats.org/markup-compatibility/2006" xmlns:a14="http://schemas.microsoft.com/office/drawing/2010/main">
      <mc:Choice Requires="a14">
        <xdr:graphicFrame macro="">
          <xdr:nvGraphicFramePr>
            <xdr:cNvPr id="15" name="Channel 1">
              <a:extLst>
                <a:ext uri="{FF2B5EF4-FFF2-40B4-BE49-F238E27FC236}">
                  <a16:creationId xmlns:a16="http://schemas.microsoft.com/office/drawing/2014/main" id="{2A6ED9AB-2B9D-476F-B8AB-A08148E374A0}"/>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305020" y="5280443"/>
              <a:ext cx="2162695" cy="225489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286147</xdr:colOff>
      <xdr:row>40</xdr:row>
      <xdr:rowOff>120119</xdr:rowOff>
    </xdr:from>
    <xdr:to>
      <xdr:col>3</xdr:col>
      <xdr:colOff>608119</xdr:colOff>
      <xdr:row>55</xdr:row>
      <xdr:rowOff>120120</xdr:rowOff>
    </xdr:to>
    <mc:AlternateContent xmlns:mc="http://schemas.openxmlformats.org/markup-compatibility/2006" xmlns:a14="http://schemas.microsoft.com/office/drawing/2010/main">
      <mc:Choice Requires="a14">
        <xdr:graphicFrame macro="">
          <xdr:nvGraphicFramePr>
            <xdr:cNvPr id="16" name="Salesperson 1">
              <a:extLst>
                <a:ext uri="{FF2B5EF4-FFF2-40B4-BE49-F238E27FC236}">
                  <a16:creationId xmlns:a16="http://schemas.microsoft.com/office/drawing/2014/main" id="{A15FC9C7-91B0-4984-A5A3-D6496CD7C41D}"/>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286147" y="7859182"/>
              <a:ext cx="2152558" cy="290214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135416</xdr:colOff>
      <xdr:row>30</xdr:row>
      <xdr:rowOff>152178</xdr:rowOff>
    </xdr:from>
    <xdr:to>
      <xdr:col>27</xdr:col>
      <xdr:colOff>484219</xdr:colOff>
      <xdr:row>44</xdr:row>
      <xdr:rowOff>41206</xdr:rowOff>
    </xdr:to>
    <mc:AlternateContent xmlns:mc="http://schemas.openxmlformats.org/markup-compatibility/2006" xmlns:a14="http://schemas.microsoft.com/office/drawing/2010/main">
      <mc:Choice Requires="a14">
        <xdr:graphicFrame macro="">
          <xdr:nvGraphicFramePr>
            <xdr:cNvPr id="18" name="ProductCategory 1">
              <a:extLst>
                <a:ext uri="{FF2B5EF4-FFF2-40B4-BE49-F238E27FC236}">
                  <a16:creationId xmlns:a16="http://schemas.microsoft.com/office/drawing/2014/main" id="{9BFC8828-211E-455A-863F-83259DF3F617}"/>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14780104" y="5956475"/>
              <a:ext cx="2179388" cy="25977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141058</xdr:colOff>
      <xdr:row>45</xdr:row>
      <xdr:rowOff>128720</xdr:rowOff>
    </xdr:from>
    <xdr:to>
      <xdr:col>27</xdr:col>
      <xdr:colOff>463029</xdr:colOff>
      <xdr:row>59</xdr:row>
      <xdr:rowOff>142137</xdr:rowOff>
    </xdr:to>
    <mc:AlternateContent xmlns:mc="http://schemas.openxmlformats.org/markup-compatibility/2006" xmlns:a14="http://schemas.microsoft.com/office/drawing/2010/main">
      <mc:Choice Requires="a14">
        <xdr:graphicFrame macro="">
          <xdr:nvGraphicFramePr>
            <xdr:cNvPr id="19" name="Month 1">
              <a:extLst>
                <a:ext uri="{FF2B5EF4-FFF2-40B4-BE49-F238E27FC236}">
                  <a16:creationId xmlns:a16="http://schemas.microsoft.com/office/drawing/2014/main" id="{78A8198D-D9B9-47E7-A47D-BBD72AB8F1C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4785746" y="8835165"/>
              <a:ext cx="2152556" cy="272208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203917</xdr:colOff>
      <xdr:row>41</xdr:row>
      <xdr:rowOff>0</xdr:rowOff>
    </xdr:from>
    <xdr:to>
      <xdr:col>23</xdr:col>
      <xdr:colOff>482601</xdr:colOff>
      <xdr:row>70</xdr:row>
      <xdr:rowOff>98916</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D68EF29E-9167-4148-9F61-97DCD019B0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738317" y="7810500"/>
              <a:ext cx="5765084" cy="5623416"/>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73405</xdr:colOff>
      <xdr:row>15</xdr:row>
      <xdr:rowOff>22451</xdr:rowOff>
    </xdr:from>
    <xdr:to>
      <xdr:col>35</xdr:col>
      <xdr:colOff>89549</xdr:colOff>
      <xdr:row>45</xdr:row>
      <xdr:rowOff>87027</xdr:rowOff>
    </xdr:to>
    <xdr:sp macro="" textlink="">
      <xdr:nvSpPr>
        <xdr:cNvPr id="22" name="Rectangle 21">
          <a:extLst>
            <a:ext uri="{FF2B5EF4-FFF2-40B4-BE49-F238E27FC236}">
              <a16:creationId xmlns:a16="http://schemas.microsoft.com/office/drawing/2014/main" id="{E173C8E3-0912-36FD-B9A8-49211395A245}"/>
            </a:ext>
          </a:extLst>
        </xdr:cNvPr>
        <xdr:cNvSpPr/>
      </xdr:nvSpPr>
      <xdr:spPr>
        <a:xfrm>
          <a:off x="17158874" y="2924599"/>
          <a:ext cx="4287511" cy="5868873"/>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2400">
              <a:solidFill>
                <a:srgbClr val="C00000"/>
              </a:solidFill>
              <a:latin typeface="Aptos" panose="020B0004020202020204" pitchFamily="34" charset="0"/>
            </a:rPr>
            <a:t>Insights From</a:t>
          </a:r>
          <a:r>
            <a:rPr lang="en-US" sz="2400" baseline="0">
              <a:solidFill>
                <a:srgbClr val="C00000"/>
              </a:solidFill>
              <a:latin typeface="Aptos" panose="020B0004020202020204" pitchFamily="34" charset="0"/>
            </a:rPr>
            <a:t> Dashboard</a:t>
          </a:r>
        </a:p>
        <a:p>
          <a:pPr algn="l"/>
          <a:r>
            <a:rPr lang="en-US" sz="1800" baseline="0">
              <a:solidFill>
                <a:srgbClr val="C00000"/>
              </a:solidFill>
              <a:latin typeface="Aptos" panose="020B0004020202020204" pitchFamily="34" charset="0"/>
            </a:rPr>
            <a:t>1</a:t>
          </a:r>
          <a:r>
            <a:rPr lang="en-US" sz="2400" baseline="0">
              <a:solidFill>
                <a:srgbClr val="C00000"/>
              </a:solidFill>
              <a:latin typeface="Aptos" panose="020B0004020202020204" pitchFamily="34" charset="0"/>
            </a:rPr>
            <a:t>.</a:t>
          </a:r>
          <a:r>
            <a:rPr lang="en-US" sz="1800"/>
            <a:t>Africa and Americas together generate 70% of total revenue, with Africa showing the highest monthly growth.</a:t>
          </a:r>
        </a:p>
        <a:p>
          <a:pPr algn="l"/>
          <a:r>
            <a:rPr lang="en-US" sz="1800" baseline="0">
              <a:solidFill>
                <a:srgbClr val="C00000"/>
              </a:solidFill>
              <a:latin typeface="Aptos" panose="020B0004020202020204" pitchFamily="34" charset="0"/>
            </a:rPr>
            <a:t>2.</a:t>
          </a:r>
          <a:r>
            <a:rPr lang="en-US" sz="1800"/>
            <a:t>The top 10 SKUs account for 0.030%% of revenue, with SKU ACC-2988 having unusually high discounts.</a:t>
          </a:r>
        </a:p>
        <a:p>
          <a:pPr algn="l"/>
          <a:r>
            <a:rPr lang="en-US" sz="1800" baseline="0">
              <a:solidFill>
                <a:srgbClr val="C00000"/>
              </a:solidFill>
              <a:latin typeface="Aptos" panose="020B0004020202020204" pitchFamily="34" charset="0"/>
            </a:rPr>
            <a:t>3.</a:t>
          </a:r>
          <a:r>
            <a:rPr lang="en-US" sz="1800"/>
            <a:t>Salesperson J.Njeri leads in Gross Profit/Order, while Salesperson D.Smith has the lowest productivity and fewer orders per month.</a:t>
          </a:r>
        </a:p>
        <a:p>
          <a:pPr algn="l"/>
          <a:r>
            <a:rPr lang="en-US" sz="1800" baseline="0">
              <a:solidFill>
                <a:srgbClr val="C00000"/>
              </a:solidFill>
              <a:latin typeface="Aptos" panose="020B0004020202020204" pitchFamily="34" charset="0"/>
            </a:rPr>
            <a:t>4. </a:t>
          </a:r>
          <a:r>
            <a:rPr lang="en-US" sz="1800" baseline="0">
              <a:solidFill>
                <a:schemeClr val="tx1"/>
              </a:solidFill>
              <a:latin typeface="Aptos" panose="020B0004020202020204" pitchFamily="34" charset="0"/>
            </a:rPr>
            <a:t>Africa tends to make more profit through the Distributor and Retail Channel.</a:t>
          </a:r>
        </a:p>
        <a:p>
          <a:pPr algn="l"/>
          <a:r>
            <a:rPr lang="en-US" sz="1800" baseline="0">
              <a:solidFill>
                <a:srgbClr val="C00000"/>
              </a:solidFill>
              <a:latin typeface="Aptos" panose="020B0004020202020204" pitchFamily="34" charset="0"/>
            </a:rPr>
            <a:t>5. </a:t>
          </a:r>
          <a:r>
            <a:rPr lang="en-US" sz="1800" baseline="0">
              <a:solidFill>
                <a:schemeClr val="tx1"/>
              </a:solidFill>
              <a:latin typeface="Aptos" panose="020B0004020202020204" pitchFamily="34" charset="0"/>
            </a:rPr>
            <a:t>Phones only yield large profits in Asia while monitors yield high profits in Europe.</a:t>
          </a:r>
        </a:p>
        <a:p>
          <a:pPr algn="l"/>
          <a:r>
            <a:rPr lang="en-US" sz="1800" baseline="0">
              <a:solidFill>
                <a:srgbClr val="C00000"/>
              </a:solidFill>
              <a:latin typeface="Aptos" panose="020B0004020202020204" pitchFamily="34" charset="0"/>
            </a:rPr>
            <a:t>6</a:t>
          </a:r>
          <a:r>
            <a:rPr lang="en-US" sz="1800" baseline="0">
              <a:solidFill>
                <a:schemeClr val="tx1"/>
              </a:solidFill>
              <a:latin typeface="Aptos" panose="020B0004020202020204" pitchFamily="34" charset="0"/>
            </a:rPr>
            <a:t>.Reduce sales of Accessories in Europe via Market place as it leads to losses.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est user" refreshedDate="46046.538751736109" createdVersion="8" refreshedVersion="8" minRefreshableVersion="3" recordCount="632" xr:uid="{82FF8F3F-C1BE-424F-A61E-127002331E85}">
  <cacheSource type="worksheet">
    <worksheetSource name="Table1"/>
  </cacheSource>
  <cacheFields count="34">
    <cacheField name="OrderID" numFmtId="0">
      <sharedItems/>
    </cacheField>
    <cacheField name="OrderDate" numFmtId="164">
      <sharedItems containsSemiMixedTypes="0" containsNonDate="0" containsDate="1" containsString="0" minDate="2023-01-02T00:00:00" maxDate="2025-09-16T00:00:00"/>
    </cacheField>
    <cacheField name="RequiredDate_Clean" numFmtId="164">
      <sharedItems containsSemiMixedTypes="0" containsNonDate="0" containsDate="1" containsString="0" minDate="2023-01-05T00:00:00" maxDate="2025-10-06T00:00:00"/>
    </cacheField>
    <cacheField name="RequiredDate_Flag" numFmtId="164">
      <sharedItems/>
    </cacheField>
    <cacheField name="RequiredDate" numFmtId="16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Region" numFmtId="0">
      <sharedItems count="4">
        <s v="Africa"/>
        <s v="Asia"/>
        <s v="Americas"/>
        <s v="Europe"/>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CustomerSegment" numFmtId="0">
      <sharedItems/>
    </cacheField>
    <cacheField name="Channel" numFmtId="0">
      <sharedItems count="6">
        <s v="Retail"/>
        <s v="Online"/>
        <s v="Marketplace"/>
        <s v="Distributor"/>
        <s v="Direct"/>
        <s v="Uknown"/>
      </sharedItems>
    </cacheField>
    <cacheField name="Salesperson" numFmtId="0">
      <sharedItems count="16">
        <s v="C. Otieno"/>
        <s v="J. Njeri"/>
        <s v="I. Johnson"/>
        <s v="G. Dubois"/>
        <s v="L. Okafor"/>
        <s v="B. Chen"/>
        <s v="E. Garcia"/>
        <s v="O. Wang"/>
        <s v="A. Patel"/>
        <s v="F. Müller"/>
        <s v="H. Kim"/>
        <s v="K. Singh"/>
        <s v="M. Rossi"/>
        <s v="N. Brown"/>
        <s v="D. Smith"/>
        <s v="Unassigned"/>
      </sharedItems>
    </cacheField>
    <cacheField name="ProductCategory" numFmtId="0">
      <sharedItems count="7">
        <s v="Components"/>
        <s v="Printers"/>
        <s v="Networking"/>
        <s v="Phones"/>
        <s v="Laptops"/>
        <s v="Monitors"/>
        <s v="Accessories"/>
      </sharedItems>
    </cacheField>
    <cacheField name="SKU" numFmtId="0">
      <sharedItems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0">
      <sharedItems containsSemiMixedTypes="0" containsString="0" containsNumber="1" minValue="5.34" maxValue="1495.79"/>
    </cacheField>
    <cacheField name="UnitPrice_Flag" numFmtId="0">
      <sharedItems/>
    </cacheField>
    <cacheField name="UnitPrice_Clean" numFmtId="0">
      <sharedItems containsSemiMixedTypes="0" containsString="0" containsNumber="1" minValue="0" maxValue="3661.07"/>
    </cacheField>
    <cacheField name="UnitPrice" numFmtId="0">
      <sharedItems containsSemiMixedTypes="0" containsString="0" containsNumber="1" minValue="-33.659999999999997" maxValue="3661.07"/>
    </cacheField>
    <cacheField name="Discount_Clean" numFmtId="165">
      <sharedItems containsSemiMixedTypes="0" containsString="0" containsNumber="1" minValue="0" maxValue="0.3"/>
    </cacheField>
    <cacheField name="Discount_Flag" numFmtId="0">
      <sharedItems/>
    </cacheField>
    <cacheField name="DiscountPct" numFmtId="10">
      <sharedItems containsSemiMixedTypes="0" containsString="0" containsNumber="1" minValue="0" maxValue="0.56499999999999995"/>
    </cacheField>
    <cacheField name="DiscountFlag" numFmtId="1">
      <sharedItems containsSemiMixedTypes="0" containsString="0" containsNumber="1" containsInteger="1" minValue="0" maxValue="1"/>
    </cacheField>
    <cacheField name="MarginPct" numFmtId="10">
      <sharedItems containsSemiMixedTypes="0" containsString="0" containsNumber="1" minValue="-0.87167486187856302" maxValue="0.59672531214528945"/>
    </cacheField>
    <cacheField name="CostOfGoods" numFmtId="166">
      <sharedItems containsSemiMixedTypes="0" containsString="0" containsNumber="1" minValue="22" maxValue="83258.290000000008"/>
    </cacheField>
    <cacheField name="GrossProfit" numFmtId="166">
      <sharedItems containsSemiMixedTypes="0" containsString="0" containsNumber="1" minValue="-68628" maxValue="65188.659999999996"/>
    </cacheField>
    <cacheField name="GrossRevenue" numFmtId="166">
      <sharedItems containsSemiMixedTypes="0" containsString="0" containsNumber="1" minValue="0" maxValue="139277.83032000001"/>
    </cacheField>
    <cacheField name="Quarter" numFmtId="166">
      <sharedItems/>
    </cacheField>
    <cacheField name="Month" numFmtId="14">
      <sharedItems count="33">
        <s v="Mar-2024"/>
        <s v="Oct-2024"/>
        <s v="Feb-2023"/>
        <s v="Mar-2025"/>
        <s v="Dec-2023"/>
        <s v="Jan-2023"/>
        <s v="Dec-2024"/>
        <s v="May-2024"/>
        <s v="May-2025"/>
        <s v="Jan-2024"/>
        <s v="Jan-2025"/>
        <s v="Sept-2025"/>
        <s v="Apr-2023"/>
        <s v="Jul-2025"/>
        <s v="Jul-2024"/>
        <s v="May-2023"/>
        <s v="Jun-2025"/>
        <s v="Jun-2024"/>
        <s v="Nov-2024"/>
        <s v="Apr-2025"/>
        <s v="Apr-2024"/>
        <s v="Aug-2024"/>
        <s v="Mar-2023"/>
        <s v="Jun-2023"/>
        <s v="Jul-2023"/>
        <s v="Aug-2023"/>
        <s v="Feb-2025"/>
        <s v="Sept-2023"/>
        <s v="Aug-2025"/>
        <s v="Sept-2024"/>
        <s v="Nov-2023"/>
        <s v="Feb-2024"/>
        <s v="Oct-2023"/>
      </sharedItems>
    </cacheField>
    <cacheField name="PriceBrand" numFmtId="14">
      <sharedItems/>
    </cacheField>
    <cacheField name="Quantity" numFmtId="0">
      <sharedItems containsSemiMixedTypes="0" containsString="0" containsNumber="1" containsInteger="1" minValue="2" maxValue="61"/>
    </cacheField>
    <cacheField name="Country_FirstMonth" numFmtId="14">
      <sharedItems containsSemiMixedTypes="0" containsNonDate="0" containsDate="1" containsString="0" minDate="2023-01-01T00:00:00" maxDate="2023-03-02T00:00:00"/>
    </cacheField>
    <cacheField name="MonthDate" numFmtId="14">
      <sharedItems containsSemiMixedTypes="0" containsNonDate="0" containsDate="1" containsString="0" minDate="2023-01-01T00:00:00" maxDate="2025-09-02T00:00:00"/>
    </cacheField>
    <cacheField name="OnTimeFlag" numFmtId="1">
      <sharedItems containsSemiMixedTypes="0" containsString="0" containsNumber="1" containsInteger="1" minValue="0" maxValue="1"/>
    </cacheField>
    <cacheField name="CohortMonth" numFmtId="49">
      <sharedItems containsSemiMixedTypes="0" containsString="0" containsNumber="1" containsInteger="1" minValue="0" maxValue="32" count="33">
        <n v="14"/>
        <n v="21"/>
        <n v="1"/>
        <n v="26"/>
        <n v="9"/>
        <n v="0"/>
        <n v="23"/>
        <n v="16"/>
        <n v="28"/>
        <n v="12"/>
        <n v="22"/>
        <n v="32"/>
        <n v="3"/>
        <n v="30"/>
        <n v="18"/>
        <n v="4"/>
        <n v="29"/>
        <n v="17"/>
        <n v="27"/>
        <n v="15"/>
        <n v="19"/>
        <n v="2"/>
        <n v="5"/>
        <n v="6"/>
        <n v="24"/>
        <n v="7"/>
        <n v="25"/>
        <n v="11"/>
        <n v="8"/>
        <n v="31"/>
        <n v="20"/>
        <n v="10"/>
        <n v="13"/>
      </sharedItems>
    </cacheField>
  </cacheFields>
  <extLst>
    <ext xmlns:x14="http://schemas.microsoft.com/office/spreadsheetml/2009/9/main" uri="{725AE2AE-9491-48be-B2B4-4EB974FC3084}">
      <x14:pivotCacheDefinition pivotCacheId="9405469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d v="2024-03-11T00:00:00"/>
    <d v="2024-04-06T00:00:00"/>
    <s v="OK"/>
    <d v="2024-04-06T00:00:00"/>
    <n v="26"/>
    <x v="0"/>
    <x v="0"/>
    <s v="Kisumu"/>
    <s v="Corporate"/>
    <x v="0"/>
    <x v="0"/>
    <x v="0"/>
    <x v="0"/>
    <n v="279.24"/>
    <s v="OK"/>
    <n v="608.9"/>
    <n v="608.9"/>
    <n v="0.112"/>
    <s v="OK"/>
    <n v="0.112"/>
    <n v="0"/>
    <n v="0.48356140670149533"/>
    <n v="2513.16"/>
    <n v="2353.1687999999995"/>
    <n v="4866.3287999999993"/>
    <s v="Q1-2024"/>
    <x v="0"/>
    <s v="Medium"/>
    <n v="9"/>
    <d v="2023-01-01T00:00:00"/>
    <d v="2024-03-01T00:00:00"/>
    <n v="0"/>
    <x v="0"/>
  </r>
  <r>
    <s v="ORD-2024-358795"/>
    <d v="2024-10-23T00:00:00"/>
    <d v="2024-10-30T00:00:00"/>
    <s v="Check"/>
    <d v="2024-10-22T00:00:00"/>
    <n v="7"/>
    <x v="0"/>
    <x v="1"/>
    <s v="Port Harcourt"/>
    <s v="Education"/>
    <x v="1"/>
    <x v="1"/>
    <x v="1"/>
    <x v="1"/>
    <n v="1084.3900000000001"/>
    <s v="OK"/>
    <n v="759.33"/>
    <n v="759.33"/>
    <n v="0.23699999999999999"/>
    <s v="OK"/>
    <n v="0.23699999999999999"/>
    <n v="1"/>
    <n v="-0.87167486187856302"/>
    <n v="33616.090000000004"/>
    <n v="-15655.657510000005"/>
    <n v="17960.432489999999"/>
    <s v="Q4-2024"/>
    <x v="1"/>
    <s v="Medium"/>
    <n v="31"/>
    <d v="2023-01-01T00:00:00"/>
    <d v="2024-10-01T00:00:00"/>
    <n v="1"/>
    <x v="1"/>
  </r>
  <r>
    <s v="ORD-2023-373538"/>
    <d v="2023-02-28T00:00:00"/>
    <d v="2023-03-25T00:00:00"/>
    <s v="OK"/>
    <d v="2023-03-25T00:00:00"/>
    <n v="25"/>
    <x v="0"/>
    <x v="0"/>
    <s v="Nairobi"/>
    <s v="Corporate"/>
    <x v="0"/>
    <x v="2"/>
    <x v="2"/>
    <x v="2"/>
    <n v="1460.76"/>
    <s v="Check"/>
    <n v="0"/>
    <n v="-30.66"/>
    <n v="0.13100000000000001"/>
    <s v="OK"/>
    <n v="0.13100000000000001"/>
    <n v="0"/>
    <n v="0"/>
    <n v="17529.12"/>
    <n v="-17529.12"/>
    <n v="0"/>
    <s v="Q1-2023"/>
    <x v="2"/>
    <s v="Low"/>
    <n v="12"/>
    <d v="2023-01-01T00:00:00"/>
    <d v="2023-02-01T00:00:00"/>
    <n v="0"/>
    <x v="2"/>
  </r>
  <r>
    <s v="ORD-2025-168148"/>
    <d v="2025-03-29T00:00:00"/>
    <d v="2025-04-02T00:00:00"/>
    <s v="OK"/>
    <d v="2025-04-02T00:00:00"/>
    <n v="4"/>
    <x v="0"/>
    <x v="1"/>
    <s v="Lagos"/>
    <s v="Non-Profit"/>
    <x v="2"/>
    <x v="3"/>
    <x v="3"/>
    <x v="3"/>
    <n v="259.93"/>
    <s v="OK"/>
    <n v="255.94"/>
    <n v="255.94"/>
    <n v="7.1999999999999995E-2"/>
    <s v="OK"/>
    <n v="7.1999999999999995E-2"/>
    <n v="0"/>
    <n v="-9.4385335463861311E-2"/>
    <n v="5718.46"/>
    <n v="-493.1889599999995"/>
    <n v="5225.2710400000005"/>
    <s v="Q1-2025"/>
    <x v="3"/>
    <s v="Low"/>
    <n v="22"/>
    <d v="2023-01-01T00:00:00"/>
    <d v="2025-03-01T00:00:00"/>
    <n v="1"/>
    <x v="3"/>
  </r>
  <r>
    <s v="ORD-2023-824839"/>
    <d v="2023-12-06T00:00:00"/>
    <d v="2023-12-31T00:00:00"/>
    <s v="OK"/>
    <d v="2023-12-31T00:00:00"/>
    <n v="25"/>
    <x v="1"/>
    <x v="2"/>
    <s v="Osaka"/>
    <s v="Consumer"/>
    <x v="0"/>
    <x v="4"/>
    <x v="1"/>
    <x v="4"/>
    <n v="663.03"/>
    <s v="OK"/>
    <n v="813.51"/>
    <n v="813.51"/>
    <n v="0.10199999999999999"/>
    <s v="OK"/>
    <n v="0.10199999999999999"/>
    <n v="0"/>
    <n v="9.2401129379715952E-2"/>
    <n v="9945.4499999999989"/>
    <n v="1012.529700000001"/>
    <n v="10957.9797"/>
    <s v="Q4-2023"/>
    <x v="4"/>
    <s v="Medium"/>
    <n v="15"/>
    <d v="2023-03-01T00:00:00"/>
    <d v="2023-12-01T00:00:00"/>
    <n v="0"/>
    <x v="4"/>
  </r>
  <r>
    <s v="ORD-2023-723587"/>
    <d v="2023-01-02T00:00:00"/>
    <d v="2023-01-05T00:00:00"/>
    <s v="OK"/>
    <d v="2023-01-05T00:00:00"/>
    <n v="3"/>
    <x v="2"/>
    <x v="3"/>
    <s v="Toronto"/>
    <s v="Corporate"/>
    <x v="3"/>
    <x v="5"/>
    <x v="4"/>
    <x v="5"/>
    <n v="315.87"/>
    <s v="OK"/>
    <n v="591.67999999999995"/>
    <n v="591.67999999999995"/>
    <n v="0"/>
    <s v="OK"/>
    <n v="0"/>
    <n v="0"/>
    <n v="0.46614724175229844"/>
    <n v="2211.09"/>
    <n v="1930.6699999999992"/>
    <n v="4141.7599999999993"/>
    <s v="Q1-2023"/>
    <x v="5"/>
    <s v="Low"/>
    <n v="7"/>
    <d v="2023-01-01T00:00:00"/>
    <d v="2023-01-01T00:00:00"/>
    <n v="1"/>
    <x v="5"/>
  </r>
  <r>
    <s v="ORD-2024-336584"/>
    <d v="2024-12-27T00:00:00"/>
    <d v="2025-01-14T00:00:00"/>
    <s v="OK"/>
    <d v="2025-01-14T00:00:00"/>
    <n v="18"/>
    <x v="1"/>
    <x v="4"/>
    <s v="Bengaluru"/>
    <s v="Small Business"/>
    <x v="2"/>
    <x v="6"/>
    <x v="5"/>
    <x v="6"/>
    <n v="586.07000000000005"/>
    <s v="OK"/>
    <n v="845.97"/>
    <n v="845.97"/>
    <n v="0.14699999999999999"/>
    <s v="OK"/>
    <n v="0.14699999999999999"/>
    <n v="0"/>
    <n v="0.18783270370862928"/>
    <n v="2344.2800000000002"/>
    <n v="542.16963999999962"/>
    <n v="2886.4496399999998"/>
    <s v="Q4-2024"/>
    <x v="6"/>
    <s v="Medium"/>
    <n v="4"/>
    <d v="2023-01-01T00:00:00"/>
    <d v="2024-12-01T00:00:00"/>
    <n v="0"/>
    <x v="6"/>
  </r>
  <r>
    <s v="ORD-2023-112666"/>
    <d v="2023-01-15T00:00:00"/>
    <d v="2023-01-22T00:00:00"/>
    <s v="Check"/>
    <d v="2023-01-13T00:00:00"/>
    <n v="7"/>
    <x v="0"/>
    <x v="1"/>
    <s v="Abuja"/>
    <s v="Education"/>
    <x v="1"/>
    <x v="7"/>
    <x v="1"/>
    <x v="7"/>
    <n v="28.38"/>
    <s v="OK"/>
    <n v="47.22"/>
    <n v="47.22"/>
    <n v="0.19400000000000001"/>
    <s v="OK"/>
    <n v="0.19400000000000001"/>
    <n v="0"/>
    <n v="0.25432193743871417"/>
    <n v="510.84"/>
    <n v="174.22776000000005"/>
    <n v="685.06776000000002"/>
    <s v="Q1-2023"/>
    <x v="5"/>
    <s v="Low"/>
    <n v="18"/>
    <d v="2023-01-01T00:00:00"/>
    <d v="2023-01-01T00:00:00"/>
    <n v="1"/>
    <x v="5"/>
  </r>
  <r>
    <s v="ORD-2024-589570"/>
    <d v="2024-05-04T00:00:00"/>
    <d v="2024-05-29T00:00:00"/>
    <s v="OK"/>
    <d v="2024-05-29T00:00:00"/>
    <n v="25"/>
    <x v="0"/>
    <x v="1"/>
    <s v="Abuja"/>
    <s v="Non-Profit"/>
    <x v="2"/>
    <x v="7"/>
    <x v="5"/>
    <x v="8"/>
    <n v="1295.3399999999999"/>
    <s v="OK"/>
    <n v="2530.81"/>
    <n v="2530.81"/>
    <n v="3.1E-2"/>
    <s v="OK"/>
    <n v="3.1E-2"/>
    <n v="0"/>
    <n v="0.4717974933880798"/>
    <n v="7772.0399999999991"/>
    <n v="6942.0893400000004"/>
    <n v="14714.12934"/>
    <s v="Q2-2024"/>
    <x v="7"/>
    <s v="High"/>
    <n v="6"/>
    <d v="2023-01-01T00:00:00"/>
    <d v="2024-05-01T00:00:00"/>
    <n v="0"/>
    <x v="7"/>
  </r>
  <r>
    <s v="ORD-2025-997421"/>
    <d v="2025-05-21T00:00:00"/>
    <d v="2025-06-09T00:00:00"/>
    <s v="OK"/>
    <d v="2025-06-09T00:00:00"/>
    <n v="19"/>
    <x v="2"/>
    <x v="5"/>
    <s v="São Paulo"/>
    <s v="Non-Profit"/>
    <x v="1"/>
    <x v="8"/>
    <x v="0"/>
    <x v="9"/>
    <n v="1331.38"/>
    <s v="OK"/>
    <n v="2309.56"/>
    <n v="2309.56"/>
    <n v="0.14899999999999999"/>
    <s v="OK"/>
    <n v="0.14899999999999999"/>
    <n v="0"/>
    <n v="0.32260307735553528"/>
    <n v="41272.780000000006"/>
    <n v="19655.722359999992"/>
    <n v="60928.502359999999"/>
    <s v="Q2-2025"/>
    <x v="8"/>
    <s v="High"/>
    <n v="31"/>
    <d v="2023-01-01T00:00:00"/>
    <d v="2025-05-01T00:00:00"/>
    <n v="0"/>
    <x v="8"/>
  </r>
  <r>
    <s v="ORD-2024-210687"/>
    <d v="2024-01-28T00:00:00"/>
    <d v="2024-02-09T00:00:00"/>
    <s v="OK"/>
    <d v="2024-02-09T00:00:00"/>
    <n v="12"/>
    <x v="3"/>
    <x v="6"/>
    <s v="Berlin"/>
    <s v="Corporate"/>
    <x v="1"/>
    <x v="3"/>
    <x v="6"/>
    <x v="10"/>
    <n v="644.16999999999996"/>
    <s v="OK"/>
    <n v="700.12"/>
    <n v="700.12"/>
    <n v="6.0000000000000001E-3"/>
    <s v="OK"/>
    <n v="6.0000000000000001E-3"/>
    <n v="0"/>
    <n v="7.436103796405813E-2"/>
    <n v="14815.91"/>
    <n v="1190.23344"/>
    <n v="16006.14344"/>
    <s v="Q1-2024"/>
    <x v="9"/>
    <s v="Medium"/>
    <n v="23"/>
    <d v="2023-01-01T00:00:00"/>
    <d v="2024-01-01T00:00:00"/>
    <n v="0"/>
    <x v="9"/>
  </r>
  <r>
    <s v="ORD-2025-515515"/>
    <d v="2025-01-03T00:00:00"/>
    <d v="2025-01-23T00:00:00"/>
    <s v="OK"/>
    <d v="2025-01-23T00:00:00"/>
    <n v="20"/>
    <x v="1"/>
    <x v="2"/>
    <s v="Osaka"/>
    <s v="Corporate"/>
    <x v="3"/>
    <x v="9"/>
    <x v="3"/>
    <x v="11"/>
    <n v="908.6"/>
    <s v="OK"/>
    <n v="691.37"/>
    <n v="691.37"/>
    <n v="0.25"/>
    <s v="OK"/>
    <n v="0.25"/>
    <n v="1"/>
    <n v="-0.75226964818645115"/>
    <n v="18172"/>
    <n v="-7801.4500000000007"/>
    <n v="10370.549999999999"/>
    <s v="Q1-2025"/>
    <x v="10"/>
    <s v="Medium"/>
    <n v="20"/>
    <d v="2023-03-01T00:00:00"/>
    <d v="2025-01-01T00:00:00"/>
    <n v="0"/>
    <x v="10"/>
  </r>
  <r>
    <s v="ORD-2025-487261"/>
    <d v="2025-03-06T00:00:00"/>
    <d v="2025-03-31T00:00:00"/>
    <s v="OK"/>
    <d v="2025-03-31T00:00:00"/>
    <n v="25"/>
    <x v="2"/>
    <x v="5"/>
    <s v="Brasília"/>
    <s v="Non-Profit"/>
    <x v="1"/>
    <x v="1"/>
    <x v="0"/>
    <x v="12"/>
    <n v="331.57"/>
    <s v="OK"/>
    <n v="548.4"/>
    <n v="548.4"/>
    <n v="9.4E-2"/>
    <s v="OK"/>
    <n v="9.4E-2"/>
    <n v="0"/>
    <n v="0.33265626836568918"/>
    <n v="3315.7"/>
    <n v="1652.8040000000001"/>
    <n v="4968.5039999999999"/>
    <s v="Q1-2025"/>
    <x v="3"/>
    <s v="Low"/>
    <n v="10"/>
    <d v="2023-01-01T00:00:00"/>
    <d v="2025-03-01T00:00:00"/>
    <n v="0"/>
    <x v="3"/>
  </r>
  <r>
    <s v="ORD-2024-890180"/>
    <d v="2024-01-20T00:00:00"/>
    <d v="2024-02-13T00:00:00"/>
    <s v="OK"/>
    <d v="2024-02-13T00:00:00"/>
    <n v="24"/>
    <x v="3"/>
    <x v="7"/>
    <s v="Marseille"/>
    <s v="Corporate"/>
    <x v="0"/>
    <x v="10"/>
    <x v="1"/>
    <x v="13"/>
    <n v="643.53"/>
    <s v="OK"/>
    <n v="1439.01"/>
    <n v="1439.01"/>
    <n v="0"/>
    <s v="OK"/>
    <n v="0"/>
    <n v="0"/>
    <n v="0.55279671440782208"/>
    <n v="9652.9499999999989"/>
    <n v="11932.200000000003"/>
    <n v="21585.15"/>
    <s v="Q1-2024"/>
    <x v="9"/>
    <s v="Medium"/>
    <n v="15"/>
    <d v="2023-01-01T00:00:00"/>
    <d v="2024-01-01T00:00:00"/>
    <n v="0"/>
    <x v="9"/>
  </r>
  <r>
    <s v="ORD-2025-840976"/>
    <d v="2025-09-01T00:00:00"/>
    <d v="2025-09-30T00:00:00"/>
    <s v="OK"/>
    <d v="2025-09-30T00:00:00"/>
    <n v="29"/>
    <x v="2"/>
    <x v="5"/>
    <s v="Brasília"/>
    <s v="Education"/>
    <x v="0"/>
    <x v="11"/>
    <x v="6"/>
    <x v="14"/>
    <n v="780.59"/>
    <s v="OK"/>
    <n v="631.57000000000005"/>
    <n v="631.57000000000005"/>
    <n v="0"/>
    <s v="OK"/>
    <n v="0"/>
    <n v="0"/>
    <n v="-0.23595167598207639"/>
    <n v="9367.08"/>
    <n v="-1788.2399999999998"/>
    <n v="7578.84"/>
    <s v="Q3-2025"/>
    <x v="11"/>
    <s v="Medium"/>
    <n v="12"/>
    <d v="2023-01-01T00:00:00"/>
    <d v="2025-09-01T00:00:00"/>
    <n v="0"/>
    <x v="11"/>
  </r>
  <r>
    <s v="ORD-2023-937291"/>
    <d v="2023-04-23T00:00:00"/>
    <d v="2023-04-30T00:00:00"/>
    <s v="Check"/>
    <d v="2023-04-22T00:00:00"/>
    <n v="7"/>
    <x v="0"/>
    <x v="0"/>
    <s v="Nairobi"/>
    <s v="Small Business"/>
    <x v="4"/>
    <x v="6"/>
    <x v="4"/>
    <x v="15"/>
    <n v="756.51"/>
    <s v="OK"/>
    <n v="850.8"/>
    <n v="850.8"/>
    <n v="7.3999999999999996E-2"/>
    <s v="OK"/>
    <n v="7.3999999999999996E-2"/>
    <n v="0"/>
    <n v="3.9767932810791252E-2"/>
    <n v="6808.59"/>
    <n v="281.97720000000027"/>
    <n v="7090.5672000000004"/>
    <s v="Q2-2023"/>
    <x v="12"/>
    <s v="Medium"/>
    <n v="9"/>
    <d v="2023-01-01T00:00:00"/>
    <d v="2023-04-01T00:00:00"/>
    <n v="1"/>
    <x v="12"/>
  </r>
  <r>
    <s v="ORD-2024-206081"/>
    <d v="2024-12-10T00:00:00"/>
    <d v="2025-01-08T00:00:00"/>
    <s v="OK"/>
    <d v="2025-01-08T00:00:00"/>
    <n v="29"/>
    <x v="3"/>
    <x v="7"/>
    <s v="Marseille"/>
    <s v="Small Business"/>
    <x v="0"/>
    <x v="11"/>
    <x v="1"/>
    <x v="16"/>
    <n v="891.08"/>
    <s v="OK"/>
    <n v="1040.0999999999999"/>
    <n v="1040.0999999999999"/>
    <n v="0.109"/>
    <s v="OK"/>
    <n v="0.109"/>
    <n v="0"/>
    <n v="3.8467660074556598E-2"/>
    <n v="24950.240000000002"/>
    <n v="998.17479999999341"/>
    <n v="25948.414799999995"/>
    <s v="Q4-2024"/>
    <x v="6"/>
    <s v="Medium"/>
    <n v="28"/>
    <d v="2023-01-01T00:00:00"/>
    <d v="2024-12-01T00:00:00"/>
    <n v="0"/>
    <x v="6"/>
  </r>
  <r>
    <s v="ORD-2025-233883"/>
    <d v="2025-09-08T00:00:00"/>
    <d v="2025-09-16T00:00:00"/>
    <s v="OK"/>
    <d v="2025-09-16T00:00:00"/>
    <n v="8"/>
    <x v="1"/>
    <x v="2"/>
    <s v="Osaka"/>
    <s v="Corporate"/>
    <x v="3"/>
    <x v="0"/>
    <x v="3"/>
    <x v="17"/>
    <n v="1225.57"/>
    <s v="OK"/>
    <n v="2705.57"/>
    <n v="2705.57"/>
    <n v="0.183"/>
    <s v="OK"/>
    <n v="0.183"/>
    <n v="0"/>
    <n v="0.44555650775453404"/>
    <n v="19609.12"/>
    <n v="15758.091040000003"/>
    <n v="35367.211040000002"/>
    <s v="Q3-2025"/>
    <x v="11"/>
    <s v="High"/>
    <n v="16"/>
    <d v="2023-03-01T00:00:00"/>
    <d v="2025-09-01T00:00:00"/>
    <n v="0"/>
    <x v="13"/>
  </r>
  <r>
    <s v="ORD-2025-843974"/>
    <d v="2025-07-20T00:00:00"/>
    <d v="2025-08-05T00:00:00"/>
    <s v="OK"/>
    <d v="2025-08-05T00:00:00"/>
    <n v="16"/>
    <x v="2"/>
    <x v="5"/>
    <s v="Brasília"/>
    <s v="Enterprise"/>
    <x v="2"/>
    <x v="3"/>
    <x v="6"/>
    <x v="18"/>
    <n v="1068.17"/>
    <s v="OK"/>
    <n v="2375.37"/>
    <n v="2375.37"/>
    <n v="0.109"/>
    <s v="OK"/>
    <n v="0.109"/>
    <n v="0"/>
    <n v="0.49530220744108822"/>
    <n v="19227.060000000001"/>
    <n v="18869.124059999998"/>
    <n v="38096.18406"/>
    <s v="Q3-2025"/>
    <x v="13"/>
    <s v="High"/>
    <n v="18"/>
    <d v="2023-01-01T00:00:00"/>
    <d v="2025-07-01T00:00:00"/>
    <n v="0"/>
    <x v="13"/>
  </r>
  <r>
    <s v="ORD-2025-745263"/>
    <d v="2025-05-21T00:00:00"/>
    <d v="2025-05-28T00:00:00"/>
    <s v="Check"/>
    <d v="2025-05-19T00:00:00"/>
    <n v="7"/>
    <x v="3"/>
    <x v="8"/>
    <s v="Birmingham"/>
    <s v="Enterprise"/>
    <x v="1"/>
    <x v="12"/>
    <x v="4"/>
    <x v="19"/>
    <n v="1015.16"/>
    <s v="OK"/>
    <n v="2148.14"/>
    <n v="2148.14"/>
    <n v="3.7999999999999999E-2"/>
    <s v="OK"/>
    <n v="3.7999999999999999E-2"/>
    <n v="0"/>
    <n v="0.50875647059322227"/>
    <n v="19288.04"/>
    <n v="19975.662919999995"/>
    <n v="39263.702919999996"/>
    <s v="Q2-2025"/>
    <x v="8"/>
    <s v="High"/>
    <n v="19"/>
    <d v="2023-01-01T00:00:00"/>
    <d v="2025-05-01T00:00:00"/>
    <n v="1"/>
    <x v="8"/>
  </r>
  <r>
    <s v="ORD-2024-798002"/>
    <d v="2024-07-25T00:00:00"/>
    <d v="2024-08-01T00:00:00"/>
    <s v="Check"/>
    <d v="2024-07-24T00:00:00"/>
    <n v="7"/>
    <x v="0"/>
    <x v="0"/>
    <s v="Mombasa"/>
    <s v="Non-Profit"/>
    <x v="4"/>
    <x v="1"/>
    <x v="4"/>
    <x v="20"/>
    <n v="1494.4"/>
    <s v="OK"/>
    <n v="3661.07"/>
    <n v="3661.07"/>
    <n v="7.1999999999999995E-2"/>
    <s v="OK"/>
    <n v="7.1999999999999995E-2"/>
    <n v="0"/>
    <n v="0.56014366630897339"/>
    <n v="10460.800000000001"/>
    <n v="13321.51072"/>
    <n v="23782.310720000001"/>
    <s v="Q3-2024"/>
    <x v="14"/>
    <s v="High"/>
    <n v="7"/>
    <d v="2023-01-01T00:00:00"/>
    <d v="2024-07-01T00:00:00"/>
    <n v="1"/>
    <x v="14"/>
  </r>
  <r>
    <s v="ORD-2023-867836"/>
    <d v="2023-05-11T00:00:00"/>
    <d v="2023-05-28T00:00:00"/>
    <s v="OK"/>
    <d v="2023-05-28T00:00:00"/>
    <n v="17"/>
    <x v="1"/>
    <x v="9"/>
    <s v="Shenzhen"/>
    <s v="Enterprise"/>
    <x v="2"/>
    <x v="6"/>
    <x v="2"/>
    <x v="21"/>
    <n v="1331.19"/>
    <s v="OK"/>
    <n v="2903.09"/>
    <n v="2903.09"/>
    <n v="0.14299999999999999"/>
    <s v="OK"/>
    <n v="0.14299999999999999"/>
    <n v="0"/>
    <n v="0.46494463290920784"/>
    <n v="10649.52"/>
    <n v="9254.0650400000013"/>
    <n v="19903.585040000002"/>
    <s v="Q2-2023"/>
    <x v="15"/>
    <s v="High"/>
    <n v="8"/>
    <d v="2023-01-01T00:00:00"/>
    <d v="2023-05-01T00:00:00"/>
    <n v="0"/>
    <x v="15"/>
  </r>
  <r>
    <s v="ORD-2025-580047"/>
    <d v="2025-06-14T00:00:00"/>
    <d v="2025-06-29T00:00:00"/>
    <s v="OK"/>
    <d v="2025-06-29T00:00:00"/>
    <n v="15"/>
    <x v="0"/>
    <x v="1"/>
    <s v="Port Harcourt"/>
    <s v="Consumer"/>
    <x v="2"/>
    <x v="12"/>
    <x v="6"/>
    <x v="22"/>
    <n v="730.99"/>
    <s v="OK"/>
    <n v="1242.8399999999999"/>
    <n v="1242.8399999999999"/>
    <n v="0.12"/>
    <s v="OK"/>
    <n v="0.12"/>
    <n v="0"/>
    <n v="0.33163524303574515"/>
    <n v="7309.9"/>
    <n v="3627.0920000000006"/>
    <n v="10936.992"/>
    <s v="Q2-2025"/>
    <x v="16"/>
    <s v="Medium"/>
    <n v="10"/>
    <d v="2023-01-01T00:00:00"/>
    <d v="2025-06-01T00:00:00"/>
    <n v="0"/>
    <x v="16"/>
  </r>
  <r>
    <s v="ORD-2024-500109"/>
    <d v="2024-05-18T00:00:00"/>
    <d v="2024-05-23T00:00:00"/>
    <s v="OK"/>
    <d v="2024-05-23T00:00:00"/>
    <n v="5"/>
    <x v="2"/>
    <x v="10"/>
    <s v="Chicago"/>
    <s v="Enterprise"/>
    <x v="0"/>
    <x v="10"/>
    <x v="4"/>
    <x v="23"/>
    <n v="1274.5899999999999"/>
    <s v="OK"/>
    <n v="2553.69"/>
    <n v="2553.69"/>
    <n v="0.01"/>
    <s v="OK"/>
    <n v="0.01"/>
    <n v="0"/>
    <n v="0.49584145042481803"/>
    <n v="10196.719999999999"/>
    <n v="10028.504800000001"/>
    <n v="20225.2248"/>
    <s v="Q2-2024"/>
    <x v="7"/>
    <s v="High"/>
    <n v="8"/>
    <d v="2023-01-01T00:00:00"/>
    <d v="2024-05-01T00:00:00"/>
    <n v="1"/>
    <x v="7"/>
  </r>
  <r>
    <s v="ORD-2023-271836"/>
    <d v="2023-02-07T00:00:00"/>
    <d v="2023-02-12T00:00:00"/>
    <s v="OK"/>
    <d v="2023-02-12T00:00:00"/>
    <n v="5"/>
    <x v="2"/>
    <x v="5"/>
    <s v="São Paulo"/>
    <s v="Education"/>
    <x v="1"/>
    <x v="13"/>
    <x v="0"/>
    <x v="24"/>
    <n v="948.55"/>
    <s v="OK"/>
    <n v="2089.16"/>
    <n v="2089.16"/>
    <n v="7.0000000000000001E-3"/>
    <s v="OK"/>
    <n v="7.0000000000000001E-3"/>
    <n v="0"/>
    <n v="0.54276519912492427"/>
    <n v="11382.599999999999"/>
    <n v="13511.830559999999"/>
    <n v="24894.430559999997"/>
    <s v="Q1-2023"/>
    <x v="2"/>
    <s v="High"/>
    <n v="12"/>
    <d v="2023-01-01T00:00:00"/>
    <d v="2023-02-01T00:00:00"/>
    <n v="1"/>
    <x v="2"/>
  </r>
  <r>
    <s v="ORD-2024-215294"/>
    <d v="2024-06-30T00:00:00"/>
    <d v="2024-07-14T00:00:00"/>
    <s v="OK"/>
    <d v="2024-07-14T00:00:00"/>
    <n v="14"/>
    <x v="2"/>
    <x v="5"/>
    <s v="Brasília"/>
    <s v="Education"/>
    <x v="0"/>
    <x v="0"/>
    <x v="6"/>
    <x v="25"/>
    <n v="1491.85"/>
    <s v="OK"/>
    <n v="2583.02"/>
    <n v="2583.02"/>
    <n v="0.16800000000000001"/>
    <s v="OK"/>
    <n v="0.16800000000000001"/>
    <n v="0"/>
    <n v="0.30581685689321325"/>
    <n v="5967.4"/>
    <n v="2628.8905599999998"/>
    <n v="8596.2905599999995"/>
    <s v="Q2-2024"/>
    <x v="17"/>
    <s v="High"/>
    <n v="4"/>
    <d v="2023-01-01T00:00:00"/>
    <d v="2024-06-01T00:00:00"/>
    <n v="0"/>
    <x v="17"/>
  </r>
  <r>
    <s v="ORD-2024-788105"/>
    <d v="2024-11-30T00:00:00"/>
    <d v="2024-12-30T00:00:00"/>
    <s v="OK"/>
    <d v="2024-12-30T00:00:00"/>
    <n v="30"/>
    <x v="3"/>
    <x v="7"/>
    <s v="Marseille"/>
    <s v="Consumer"/>
    <x v="2"/>
    <x v="9"/>
    <x v="1"/>
    <x v="26"/>
    <n v="117.64"/>
    <s v="OK"/>
    <n v="175.67"/>
    <n v="175.67"/>
    <n v="0"/>
    <s v="OK"/>
    <n v="0"/>
    <n v="0"/>
    <n v="0.33033528775545046"/>
    <n v="1176.4000000000001"/>
    <n v="580.29999999999973"/>
    <n v="1756.6999999999998"/>
    <s v="Q4-2024"/>
    <x v="18"/>
    <s v="Low"/>
    <n v="10"/>
    <d v="2023-01-01T00:00:00"/>
    <d v="2024-11-01T00:00:00"/>
    <n v="0"/>
    <x v="10"/>
  </r>
  <r>
    <s v="ORD-2024-855073"/>
    <d v="2024-07-19T00:00:00"/>
    <d v="2024-07-19T00:00:00"/>
    <s v="OK"/>
    <d v="2024-07-19T00:00:00"/>
    <n v="0"/>
    <x v="0"/>
    <x v="0"/>
    <s v="Kisumu"/>
    <s v="Small Business"/>
    <x v="0"/>
    <x v="8"/>
    <x v="3"/>
    <x v="27"/>
    <n v="857.24"/>
    <s v="OK"/>
    <n v="758.23"/>
    <n v="758.23"/>
    <n v="0.125"/>
    <s v="OK"/>
    <n v="0.125"/>
    <n v="0"/>
    <n v="-0.29209192084572921"/>
    <n v="5143.4400000000005"/>
    <n v="-1162.7325000000005"/>
    <n v="3980.7075"/>
    <s v="Q3-2024"/>
    <x v="14"/>
    <s v="Medium"/>
    <n v="6"/>
    <d v="2023-01-01T00:00:00"/>
    <d v="2024-07-01T00:00:00"/>
    <n v="1"/>
    <x v="14"/>
  </r>
  <r>
    <s v="ORD-2023-897079"/>
    <d v="2023-04-14T00:00:00"/>
    <d v="2023-05-14T00:00:00"/>
    <s v="OK"/>
    <d v="2023-05-14T00:00:00"/>
    <n v="30"/>
    <x v="0"/>
    <x v="0"/>
    <s v="Nakuru"/>
    <s v="Consumer"/>
    <x v="2"/>
    <x v="12"/>
    <x v="3"/>
    <x v="28"/>
    <n v="209.25"/>
    <s v="OK"/>
    <n v="434.8"/>
    <n v="434.8"/>
    <n v="0"/>
    <s v="OK"/>
    <n v="0"/>
    <n v="0"/>
    <n v="0.51874425022999082"/>
    <n v="1883.25"/>
    <n v="2029.9500000000003"/>
    <n v="3913.2000000000003"/>
    <s v="Q2-2023"/>
    <x v="12"/>
    <s v="Low"/>
    <n v="9"/>
    <d v="2023-01-01T00:00:00"/>
    <d v="2023-04-01T00:00:00"/>
    <n v="0"/>
    <x v="12"/>
  </r>
  <r>
    <s v="ORD-2025-548982"/>
    <d v="2025-04-07T00:00:00"/>
    <d v="2025-04-11T00:00:00"/>
    <s v="OK"/>
    <d v="2025-04-11T00:00:00"/>
    <n v="4"/>
    <x v="3"/>
    <x v="7"/>
    <s v="Lyon"/>
    <s v="Education"/>
    <x v="0"/>
    <x v="6"/>
    <x v="2"/>
    <x v="29"/>
    <n v="754.77"/>
    <s v="OK"/>
    <n v="1666.18"/>
    <n v="1666.18"/>
    <n v="0.13900000000000001"/>
    <s v="OK"/>
    <n v="0.13900000000000001"/>
    <n v="0"/>
    <n v="0.47387424584424653"/>
    <n v="10566.779999999999"/>
    <n v="9517.3537200000028"/>
    <n v="20084.133720000002"/>
    <s v="Q2-2025"/>
    <x v="19"/>
    <s v="Medium"/>
    <n v="14"/>
    <d v="2023-01-01T00:00:00"/>
    <d v="2025-04-01T00:00:00"/>
    <n v="1"/>
    <x v="18"/>
  </r>
  <r>
    <s v="ORD-2024-170313"/>
    <d v="2024-12-27T00:00:00"/>
    <d v="2025-01-15T00:00:00"/>
    <s v="OK"/>
    <d v="2025-01-15T00:00:00"/>
    <n v="19"/>
    <x v="1"/>
    <x v="4"/>
    <s v="Delhi"/>
    <s v="Non-Profit"/>
    <x v="3"/>
    <x v="3"/>
    <x v="0"/>
    <x v="30"/>
    <n v="495.59"/>
    <s v="OK"/>
    <n v="631.78"/>
    <n v="631.78"/>
    <n v="8.6999999999999994E-2"/>
    <s v="OK"/>
    <n v="8.6999999999999994E-2"/>
    <n v="0"/>
    <n v="0.14081658813601899"/>
    <n v="8425.0299999999988"/>
    <n v="1380.8273800000024"/>
    <n v="9805.8573800000013"/>
    <s v="Q4-2024"/>
    <x v="6"/>
    <s v="Medium"/>
    <n v="17"/>
    <d v="2023-01-01T00:00:00"/>
    <d v="2024-12-01T00:00:00"/>
    <n v="0"/>
    <x v="6"/>
  </r>
  <r>
    <s v="ORD-2023-562894"/>
    <d v="2023-02-23T00:00:00"/>
    <d v="2023-03-25T00:00:00"/>
    <s v="OK"/>
    <d v="2023-03-25T00:00:00"/>
    <n v="30"/>
    <x v="2"/>
    <x v="3"/>
    <s v="Montreal"/>
    <s v="Enterprise"/>
    <x v="1"/>
    <x v="14"/>
    <x v="3"/>
    <x v="31"/>
    <n v="1242.6600000000001"/>
    <s v="OK"/>
    <n v="1794.07"/>
    <n v="1794.07"/>
    <n v="8.8999999999999996E-2"/>
    <s v="OK"/>
    <n v="8.8999999999999996E-2"/>
    <n v="0"/>
    <n v="0.23968325042440553"/>
    <n v="19882.560000000001"/>
    <n v="6267.8043199999993"/>
    <n v="26150.364320000001"/>
    <s v="Q1-2023"/>
    <x v="2"/>
    <s v="Medium"/>
    <n v="16"/>
    <d v="2023-01-01T00:00:00"/>
    <d v="2023-02-01T00:00:00"/>
    <n v="0"/>
    <x v="2"/>
  </r>
  <r>
    <s v="ORD-2025-474710"/>
    <d v="2025-07-24T00:00:00"/>
    <d v="2025-08-06T00:00:00"/>
    <s v="OK"/>
    <d v="2025-08-06T00:00:00"/>
    <n v="13"/>
    <x v="0"/>
    <x v="11"/>
    <s v="Johannesburg"/>
    <s v="Education"/>
    <x v="2"/>
    <x v="14"/>
    <x v="2"/>
    <x v="32"/>
    <n v="1463.9"/>
    <s v="OK"/>
    <n v="2633.02"/>
    <n v="2633.02"/>
    <n v="8.4000000000000005E-2"/>
    <s v="OK"/>
    <n v="8.4000000000000005E-2"/>
    <n v="0"/>
    <n v="0.39303761277791527"/>
    <n v="5855.6"/>
    <n v="3791.7852800000001"/>
    <n v="9647.3852800000004"/>
    <s v="Q3-2025"/>
    <x v="13"/>
    <s v="High"/>
    <n v="4"/>
    <d v="2023-01-01T00:00:00"/>
    <d v="2025-07-01T00:00:00"/>
    <n v="0"/>
    <x v="13"/>
  </r>
  <r>
    <s v="ORD-2024-629525"/>
    <d v="2024-04-18T00:00:00"/>
    <d v="2024-05-08T00:00:00"/>
    <s v="OK"/>
    <d v="2024-05-08T00:00:00"/>
    <n v="20"/>
    <x v="3"/>
    <x v="8"/>
    <s v="London"/>
    <s v="Non-Profit"/>
    <x v="5"/>
    <x v="14"/>
    <x v="4"/>
    <x v="33"/>
    <n v="645.33000000000004"/>
    <s v="OK"/>
    <n v="1321.85"/>
    <n v="1321.85"/>
    <n v="0"/>
    <s v="OK"/>
    <n v="0"/>
    <n v="0"/>
    <n v="0.51179785906116426"/>
    <n v="6453.3"/>
    <n v="6765.2"/>
    <n v="13218.5"/>
    <s v="Q2-2024"/>
    <x v="20"/>
    <s v="Medium"/>
    <n v="10"/>
    <d v="2023-01-01T00:00:00"/>
    <d v="2024-04-01T00:00:00"/>
    <n v="0"/>
    <x v="19"/>
  </r>
  <r>
    <s v="ORD-2024-167215"/>
    <d v="2024-08-23T00:00:00"/>
    <d v="2024-08-30T00:00:00"/>
    <s v="Check"/>
    <d v="2024-08-21T00:00:00"/>
    <n v="7"/>
    <x v="0"/>
    <x v="11"/>
    <s v="Johannesburg"/>
    <s v="Education"/>
    <x v="0"/>
    <x v="6"/>
    <x v="0"/>
    <x v="34"/>
    <n v="1432.52"/>
    <s v="OK"/>
    <n v="3036.87"/>
    <n v="3036.87"/>
    <n v="0"/>
    <s v="OK"/>
    <n v="0"/>
    <n v="0"/>
    <n v="0.52829064135112791"/>
    <n v="12892.68"/>
    <n v="14439.149999999998"/>
    <n v="27331.829999999998"/>
    <s v="Q3-2024"/>
    <x v="21"/>
    <s v="High"/>
    <n v="9"/>
    <d v="2023-01-01T00:00:00"/>
    <d v="2024-08-01T00:00:00"/>
    <n v="1"/>
    <x v="20"/>
  </r>
  <r>
    <s v="ORD-2023-864121"/>
    <d v="2023-03-27T00:00:00"/>
    <d v="2023-04-22T00:00:00"/>
    <s v="OK"/>
    <d v="2023-04-22T00:00:00"/>
    <n v="26"/>
    <x v="1"/>
    <x v="4"/>
    <s v="Delhi"/>
    <s v="Non-Profit"/>
    <x v="2"/>
    <x v="1"/>
    <x v="1"/>
    <x v="35"/>
    <n v="178.53"/>
    <s v="OK"/>
    <n v="199.37"/>
    <n v="199.37"/>
    <n v="0.10100000000000001"/>
    <s v="OK"/>
    <n v="0.10100000000000001"/>
    <n v="0"/>
    <n v="3.9257699573457538E-3"/>
    <n v="6605.61"/>
    <n v="26.034310000000914"/>
    <n v="6631.6443100000006"/>
    <s v="Q1-2023"/>
    <x v="22"/>
    <s v="Low"/>
    <n v="37"/>
    <d v="2023-01-01T00:00:00"/>
    <d v="2023-03-01T00:00:00"/>
    <n v="0"/>
    <x v="21"/>
  </r>
  <r>
    <s v="ORD-2024-692673"/>
    <d v="2024-03-07T00:00:00"/>
    <d v="2024-03-25T00:00:00"/>
    <s v="OK"/>
    <d v="2024-03-25T00:00:00"/>
    <n v="18"/>
    <x v="3"/>
    <x v="6"/>
    <s v="Munich"/>
    <s v="Corporate"/>
    <x v="1"/>
    <x v="5"/>
    <x v="0"/>
    <x v="36"/>
    <n v="712.84"/>
    <s v="OK"/>
    <n v="927.51"/>
    <n v="927.51"/>
    <n v="0.24299999999999999"/>
    <s v="OK"/>
    <n v="0.24299999999999999"/>
    <n v="1"/>
    <n v="-1.5260714163076427E-2"/>
    <n v="19246.68"/>
    <n v="-289.30311000000074"/>
    <n v="18957.37689"/>
    <s v="Q1-2024"/>
    <x v="0"/>
    <s v="Medium"/>
    <n v="27"/>
    <d v="2023-01-01T00:00:00"/>
    <d v="2024-03-01T00:00:00"/>
    <n v="0"/>
    <x v="0"/>
  </r>
  <r>
    <s v="ORD-2025-718992"/>
    <d v="2025-06-24T00:00:00"/>
    <d v="2025-07-10T00:00:00"/>
    <s v="OK"/>
    <d v="2025-07-10T00:00:00"/>
    <n v="16"/>
    <x v="1"/>
    <x v="9"/>
    <s v="Shanghai"/>
    <s v="Enterprise"/>
    <x v="4"/>
    <x v="13"/>
    <x v="0"/>
    <x v="37"/>
    <n v="757.19"/>
    <s v="OK"/>
    <n v="1735.41"/>
    <n v="1735.41"/>
    <n v="0.13600000000000001"/>
    <s v="OK"/>
    <n v="0.13600000000000001"/>
    <n v="0"/>
    <n v="0.4950027285685718"/>
    <n v="6057.52"/>
    <n v="5937.6339200000002"/>
    <n v="11995.153920000001"/>
    <s v="Q2-2025"/>
    <x v="16"/>
    <s v="Medium"/>
    <n v="8"/>
    <d v="2023-01-01T00:00:00"/>
    <d v="2025-06-01T00:00:00"/>
    <n v="0"/>
    <x v="16"/>
  </r>
  <r>
    <s v="ORD-2024-599522"/>
    <d v="2024-04-19T00:00:00"/>
    <d v="2024-05-06T00:00:00"/>
    <s v="OK"/>
    <d v="2024-05-06T00:00:00"/>
    <n v="17"/>
    <x v="0"/>
    <x v="1"/>
    <s v="Port Harcourt"/>
    <s v="Non-Profit"/>
    <x v="1"/>
    <x v="8"/>
    <x v="1"/>
    <x v="38"/>
    <n v="865.33"/>
    <s v="OK"/>
    <n v="1395.64"/>
    <n v="1395.64"/>
    <n v="0.17499999999999999"/>
    <s v="OK"/>
    <n v="0.17499999999999999"/>
    <n v="0"/>
    <n v="0.24845601409758347"/>
    <n v="11249.29"/>
    <n v="3718.9489999999987"/>
    <n v="14968.239"/>
    <s v="Q2-2024"/>
    <x v="20"/>
    <s v="Medium"/>
    <n v="13"/>
    <d v="2023-01-01T00:00:00"/>
    <d v="2024-04-01T00:00:00"/>
    <n v="0"/>
    <x v="19"/>
  </r>
  <r>
    <s v="ORD-2023-651638"/>
    <d v="2023-06-17T00:00:00"/>
    <d v="2023-06-24T00:00:00"/>
    <s v="OK"/>
    <d v="2023-06-24T00:00:00"/>
    <n v="7"/>
    <x v="2"/>
    <x v="10"/>
    <s v="San Francisco"/>
    <s v="Corporate"/>
    <x v="0"/>
    <x v="2"/>
    <x v="1"/>
    <x v="39"/>
    <n v="313.99"/>
    <s v="OK"/>
    <n v="454.42"/>
    <n v="454.42"/>
    <n v="0.129"/>
    <s v="OK"/>
    <n v="0.129"/>
    <n v="0"/>
    <n v="0.20669493988147858"/>
    <n v="2825.91"/>
    <n v="736.28838000000042"/>
    <n v="3562.1983800000003"/>
    <s v="Q2-2023"/>
    <x v="23"/>
    <s v="Low"/>
    <n v="9"/>
    <d v="2023-01-01T00:00:00"/>
    <d v="2023-06-01T00:00:00"/>
    <n v="1"/>
    <x v="22"/>
  </r>
  <r>
    <s v="ORD-2024-635626"/>
    <d v="2024-08-27T00:00:00"/>
    <d v="2024-09-19T00:00:00"/>
    <s v="OK"/>
    <d v="2024-09-19T00:00:00"/>
    <n v="23"/>
    <x v="3"/>
    <x v="6"/>
    <s v="Berlin"/>
    <s v="Small Business"/>
    <x v="4"/>
    <x v="14"/>
    <x v="5"/>
    <x v="40"/>
    <n v="1024.01"/>
    <s v="OK"/>
    <n v="1580.97"/>
    <n v="1580.97"/>
    <n v="3.6999999999999998E-2"/>
    <s v="OK"/>
    <n v="3.6999999999999998E-2"/>
    <n v="0"/>
    <n v="0.3274039976942531"/>
    <n v="27648.27"/>
    <n v="13458.530970000003"/>
    <n v="41106.800970000004"/>
    <s v="Q3-2024"/>
    <x v="21"/>
    <s v="Medium"/>
    <n v="27"/>
    <d v="2023-01-01T00:00:00"/>
    <d v="2024-08-01T00:00:00"/>
    <n v="0"/>
    <x v="20"/>
  </r>
  <r>
    <s v="ORD-2024-296582"/>
    <d v="2024-01-11T00:00:00"/>
    <d v="2024-02-02T00:00:00"/>
    <s v="OK"/>
    <d v="2024-02-02T00:00:00"/>
    <n v="22"/>
    <x v="0"/>
    <x v="11"/>
    <s v="Durban"/>
    <s v="Consumer"/>
    <x v="1"/>
    <x v="11"/>
    <x v="2"/>
    <x v="41"/>
    <n v="1206.2"/>
    <s v="OK"/>
    <n v="1759.79"/>
    <n v="1759.79"/>
    <n v="0"/>
    <s v="OK"/>
    <n v="0"/>
    <n v="0"/>
    <n v="0.31457730751964713"/>
    <n v="7237.2000000000007"/>
    <n v="3321.5399999999991"/>
    <n v="10558.74"/>
    <s v="Q1-2024"/>
    <x v="9"/>
    <s v="Medium"/>
    <n v="6"/>
    <d v="2023-01-01T00:00:00"/>
    <d v="2024-01-01T00:00:00"/>
    <n v="0"/>
    <x v="9"/>
  </r>
  <r>
    <s v="ORD-2024-998320"/>
    <d v="2024-10-25T00:00:00"/>
    <d v="2024-11-14T00:00:00"/>
    <s v="OK"/>
    <d v="2024-11-14T00:00:00"/>
    <n v="20"/>
    <x v="0"/>
    <x v="0"/>
    <s v="Mombasa"/>
    <s v="Corporate"/>
    <x v="4"/>
    <x v="10"/>
    <x v="1"/>
    <x v="42"/>
    <n v="1396.48"/>
    <s v="OK"/>
    <n v="3204.5"/>
    <n v="3204.5"/>
    <n v="0.3"/>
    <s v="Check"/>
    <n v="0.318"/>
    <n v="1"/>
    <n v="0.3774468938769141"/>
    <n v="19550.72"/>
    <n v="11853.379999999997"/>
    <n v="31404.1"/>
    <s v="Q4-2024"/>
    <x v="1"/>
    <s v="High"/>
    <n v="14"/>
    <d v="2023-01-01T00:00:00"/>
    <d v="2024-10-01T00:00:00"/>
    <n v="0"/>
    <x v="1"/>
  </r>
  <r>
    <s v="ORD-2025-820255"/>
    <d v="2025-05-29T00:00:00"/>
    <d v="2025-06-20T00:00:00"/>
    <s v="OK"/>
    <d v="2025-06-20T00:00:00"/>
    <n v="22"/>
    <x v="3"/>
    <x v="6"/>
    <s v="Berlin"/>
    <s v="Corporate"/>
    <x v="4"/>
    <x v="8"/>
    <x v="1"/>
    <x v="43"/>
    <n v="483.47"/>
    <s v="OK"/>
    <n v="1135.43"/>
    <n v="1135.43"/>
    <n v="0.14599999999999999"/>
    <s v="OK"/>
    <n v="0.14599999999999999"/>
    <n v="0"/>
    <n v="0.50140112399719983"/>
    <n v="5318.17"/>
    <n v="5348.0594200000014"/>
    <n v="10666.229420000001"/>
    <s v="Q2-2025"/>
    <x v="8"/>
    <s v="Medium"/>
    <n v="11"/>
    <d v="2023-01-01T00:00:00"/>
    <d v="2025-05-01T00:00:00"/>
    <n v="0"/>
    <x v="8"/>
  </r>
  <r>
    <s v="ORD-2024-389336"/>
    <d v="2024-05-20T00:00:00"/>
    <d v="2024-06-02T00:00:00"/>
    <s v="OK"/>
    <d v="2024-06-02T00:00:00"/>
    <n v="13"/>
    <x v="2"/>
    <x v="3"/>
    <s v="Vancouver"/>
    <s v="Enterprise"/>
    <x v="2"/>
    <x v="11"/>
    <x v="0"/>
    <x v="44"/>
    <n v="675.43"/>
    <s v="OK"/>
    <n v="996.36"/>
    <n v="996.36"/>
    <n v="0.182"/>
    <s v="OK"/>
    <n v="0.182"/>
    <n v="0"/>
    <n v="0.17127439233332575"/>
    <n v="14859.46"/>
    <n v="3071.0345600000037"/>
    <n v="17930.494560000003"/>
    <s v="Q2-2024"/>
    <x v="7"/>
    <s v="Medium"/>
    <n v="22"/>
    <d v="2023-01-01T00:00:00"/>
    <d v="2024-05-01T00:00:00"/>
    <n v="0"/>
    <x v="7"/>
  </r>
  <r>
    <s v="ORD-2023-308124"/>
    <d v="2023-04-19T00:00:00"/>
    <d v="2023-04-30T00:00:00"/>
    <s v="OK"/>
    <d v="2023-04-30T00:00:00"/>
    <n v="11"/>
    <x v="1"/>
    <x v="4"/>
    <s v="Delhi"/>
    <s v="Small Business"/>
    <x v="0"/>
    <x v="8"/>
    <x v="2"/>
    <x v="45"/>
    <n v="826.55"/>
    <s v="OK"/>
    <n v="1397.05"/>
    <n v="1397.05"/>
    <n v="0.16900000000000001"/>
    <s v="OK"/>
    <n v="0.16900000000000001"/>
    <n v="0"/>
    <n v="0.28803907804527601"/>
    <n v="23143.399999999998"/>
    <n v="9363.1594000000005"/>
    <n v="32506.559399999998"/>
    <s v="Q2-2023"/>
    <x v="12"/>
    <s v="Medium"/>
    <n v="28"/>
    <d v="2023-01-01T00:00:00"/>
    <d v="2023-04-01T00:00:00"/>
    <n v="0"/>
    <x v="12"/>
  </r>
  <r>
    <s v="ORD-2023-128295"/>
    <d v="2023-06-23T00:00:00"/>
    <d v="2023-07-03T00:00:00"/>
    <s v="OK"/>
    <d v="2023-07-03T00:00:00"/>
    <n v="10"/>
    <x v="0"/>
    <x v="1"/>
    <s v="Abuja"/>
    <s v="Consumer"/>
    <x v="1"/>
    <x v="1"/>
    <x v="1"/>
    <x v="46"/>
    <n v="337.75"/>
    <s v="OK"/>
    <n v="548.89"/>
    <n v="548.89"/>
    <n v="0"/>
    <s v="OK"/>
    <n v="0"/>
    <n v="0"/>
    <n v="0.38466723751571352"/>
    <n v="4390.75"/>
    <n v="2744.8199999999997"/>
    <n v="7135.57"/>
    <s v="Q2-2023"/>
    <x v="23"/>
    <s v="Low"/>
    <n v="13"/>
    <d v="2023-01-01T00:00:00"/>
    <d v="2023-06-01T00:00:00"/>
    <n v="0"/>
    <x v="22"/>
  </r>
  <r>
    <s v="ORD-2024-548345"/>
    <d v="2024-05-14T00:00:00"/>
    <d v="2024-05-28T00:00:00"/>
    <s v="OK"/>
    <d v="2024-05-28T00:00:00"/>
    <n v="14"/>
    <x v="3"/>
    <x v="8"/>
    <s v="Birmingham"/>
    <s v="Consumer"/>
    <x v="0"/>
    <x v="5"/>
    <x v="2"/>
    <x v="47"/>
    <n v="1421.14"/>
    <s v="OK"/>
    <n v="3524"/>
    <n v="3524"/>
    <n v="0"/>
    <s v="OK"/>
    <n v="0"/>
    <n v="0"/>
    <n v="0.59672531214528945"/>
    <n v="44055.340000000004"/>
    <n v="65188.659999999996"/>
    <n v="109244"/>
    <s v="Q2-2024"/>
    <x v="7"/>
    <s v="High"/>
    <n v="31"/>
    <d v="2023-01-01T00:00:00"/>
    <d v="2024-05-01T00:00:00"/>
    <n v="0"/>
    <x v="7"/>
  </r>
  <r>
    <s v="ORD-2024-966651"/>
    <d v="2024-10-14T00:00:00"/>
    <d v="2024-11-08T00:00:00"/>
    <s v="OK"/>
    <d v="2024-11-08T00:00:00"/>
    <n v="25"/>
    <x v="0"/>
    <x v="1"/>
    <s v="Lagos"/>
    <s v="Enterprise"/>
    <x v="1"/>
    <x v="7"/>
    <x v="2"/>
    <x v="48"/>
    <n v="859.35"/>
    <s v="OK"/>
    <n v="1825.61"/>
    <n v="1825.61"/>
    <n v="0.187"/>
    <s v="OK"/>
    <n v="0.187"/>
    <n v="0"/>
    <n v="0.42100937762681989"/>
    <n v="20624.400000000001"/>
    <n v="14996.902319999994"/>
    <n v="35621.302319999995"/>
    <s v="Q4-2024"/>
    <x v="1"/>
    <s v="Medium"/>
    <n v="24"/>
    <d v="2023-01-01T00:00:00"/>
    <d v="2024-10-01T00:00:00"/>
    <n v="0"/>
    <x v="1"/>
  </r>
  <r>
    <s v="ORD-2023-292714"/>
    <d v="2023-07-10T00:00:00"/>
    <d v="2023-08-01T00:00:00"/>
    <s v="OK"/>
    <d v="2023-08-01T00:00:00"/>
    <n v="22"/>
    <x v="3"/>
    <x v="7"/>
    <s v="Marseille"/>
    <s v="Consumer"/>
    <x v="2"/>
    <x v="5"/>
    <x v="1"/>
    <x v="49"/>
    <n v="1303.56"/>
    <s v="OK"/>
    <n v="1791.37"/>
    <n v="1791.37"/>
    <n v="0.126"/>
    <s v="OK"/>
    <n v="0.126"/>
    <n v="0"/>
    <n v="0.16740404596055358"/>
    <n v="28678.32"/>
    <n v="5766.142359999998"/>
    <n v="34444.462359999998"/>
    <s v="Q3-2023"/>
    <x v="24"/>
    <s v="Medium"/>
    <n v="22"/>
    <d v="2023-01-01T00:00:00"/>
    <d v="2023-07-01T00:00:00"/>
    <n v="0"/>
    <x v="23"/>
  </r>
  <r>
    <s v="ORD-2024-468501"/>
    <d v="2024-11-06T00:00:00"/>
    <d v="2024-11-22T00:00:00"/>
    <s v="OK"/>
    <d v="2024-11-22T00:00:00"/>
    <n v="16"/>
    <x v="2"/>
    <x v="3"/>
    <s v="Toronto"/>
    <s v="Non-Profit"/>
    <x v="3"/>
    <x v="14"/>
    <x v="6"/>
    <x v="50"/>
    <n v="1454.11"/>
    <s v="OK"/>
    <n v="2629.75"/>
    <n v="2629.75"/>
    <n v="0.29199999999999998"/>
    <s v="OK"/>
    <n v="0.29199999999999998"/>
    <n v="1"/>
    <n v="0.21900268709351867"/>
    <n v="11632.88"/>
    <n v="3262.0239999999994"/>
    <n v="14894.903999999999"/>
    <s v="Q4-2024"/>
    <x v="18"/>
    <s v="High"/>
    <n v="8"/>
    <d v="2023-01-01T00:00:00"/>
    <d v="2024-11-01T00:00:00"/>
    <n v="0"/>
    <x v="10"/>
  </r>
  <r>
    <s v="ORD-2024-260775"/>
    <d v="2024-10-17T00:00:00"/>
    <d v="2024-11-06T00:00:00"/>
    <s v="OK"/>
    <d v="2024-11-06T00:00:00"/>
    <n v="20"/>
    <x v="1"/>
    <x v="4"/>
    <s v="Bengaluru"/>
    <s v="Enterprise"/>
    <x v="3"/>
    <x v="7"/>
    <x v="5"/>
    <x v="51"/>
    <n v="72.94"/>
    <s v="OK"/>
    <n v="106.3"/>
    <n v="106.3"/>
    <n v="0.29499999999999998"/>
    <s v="OK"/>
    <n v="0.29499999999999998"/>
    <n v="1"/>
    <n v="2.6707498515508857E-2"/>
    <n v="583.52"/>
    <n v="16.012000000000057"/>
    <n v="599.53200000000004"/>
    <s v="Q4-2024"/>
    <x v="1"/>
    <s v="Low"/>
    <n v="8"/>
    <d v="2023-01-01T00:00:00"/>
    <d v="2024-10-01T00:00:00"/>
    <n v="0"/>
    <x v="1"/>
  </r>
  <r>
    <s v="ORD-2023-419187"/>
    <d v="2023-03-31T00:00:00"/>
    <d v="2023-04-05T00:00:00"/>
    <s v="OK"/>
    <d v="2023-04-05T00:00:00"/>
    <n v="5"/>
    <x v="0"/>
    <x v="0"/>
    <s v="Nakuru"/>
    <s v="Education"/>
    <x v="2"/>
    <x v="5"/>
    <x v="4"/>
    <x v="52"/>
    <n v="533.26"/>
    <s v="OK"/>
    <n v="385.72"/>
    <n v="385.72"/>
    <n v="0"/>
    <s v="OK"/>
    <n v="0"/>
    <n v="0"/>
    <n v="-0.38250544436378708"/>
    <n v="7998.9"/>
    <n v="-2213.0999999999995"/>
    <n v="5785.8"/>
    <s v="Q1-2023"/>
    <x v="22"/>
    <s v="Low"/>
    <n v="15"/>
    <d v="2023-01-01T00:00:00"/>
    <d v="2023-03-01T00:00:00"/>
    <n v="1"/>
    <x v="21"/>
  </r>
  <r>
    <s v="ORD-2025-578007"/>
    <d v="2025-01-21T00:00:00"/>
    <d v="2025-02-16T00:00:00"/>
    <s v="OK"/>
    <d v="2025-02-16T00:00:00"/>
    <n v="26"/>
    <x v="3"/>
    <x v="7"/>
    <s v="Lyon"/>
    <s v="Corporate"/>
    <x v="3"/>
    <x v="7"/>
    <x v="4"/>
    <x v="53"/>
    <n v="204.11"/>
    <s v="OK"/>
    <n v="236.87"/>
    <n v="236.87"/>
    <n v="0.182"/>
    <s v="OK"/>
    <n v="0.182"/>
    <n v="0"/>
    <n v="-5.3418446337075494E-2"/>
    <n v="2653.4300000000003"/>
    <n v="-134.55441999999994"/>
    <n v="2518.8755800000004"/>
    <s v="Q1-2025"/>
    <x v="10"/>
    <s v="Low"/>
    <n v="13"/>
    <d v="2023-01-01T00:00:00"/>
    <d v="2025-01-01T00:00:00"/>
    <n v="0"/>
    <x v="24"/>
  </r>
  <r>
    <s v="ORD-2023-235230"/>
    <d v="2023-08-30T00:00:00"/>
    <d v="2023-09-01T00:00:00"/>
    <s v="OK"/>
    <d v="2023-09-01T00:00:00"/>
    <n v="2"/>
    <x v="3"/>
    <x v="6"/>
    <s v="Munich"/>
    <s v="Corporate"/>
    <x v="4"/>
    <x v="13"/>
    <x v="2"/>
    <x v="54"/>
    <n v="44.42"/>
    <s v="OK"/>
    <n v="41.9"/>
    <n v="41.9"/>
    <n v="0.14399999999999999"/>
    <s v="OK"/>
    <n v="0.14399999999999999"/>
    <n v="0"/>
    <n v="-0.23848504449847224"/>
    <n v="266.52"/>
    <n v="-51.321600000000018"/>
    <n v="215.19839999999996"/>
    <s v="Q3-2023"/>
    <x v="25"/>
    <s v="Low"/>
    <n v="6"/>
    <d v="2023-01-01T00:00:00"/>
    <d v="2023-08-01T00:00:00"/>
    <n v="1"/>
    <x v="25"/>
  </r>
  <r>
    <s v="ORD-2025-765220"/>
    <d v="2025-04-06T00:00:00"/>
    <d v="2025-04-30T00:00:00"/>
    <s v="OK"/>
    <d v="2025-04-30T00:00:00"/>
    <n v="24"/>
    <x v="2"/>
    <x v="5"/>
    <s v="Brasília"/>
    <s v="Education"/>
    <x v="1"/>
    <x v="11"/>
    <x v="5"/>
    <x v="55"/>
    <n v="855.78"/>
    <s v="OK"/>
    <n v="977.38"/>
    <n v="977.38"/>
    <n v="0.14699999999999999"/>
    <s v="OK"/>
    <n v="0.14699999999999999"/>
    <n v="0"/>
    <n v="-2.6478018355506307E-2"/>
    <n v="32519.64"/>
    <n v="-838.84467999999833"/>
    <n v="31680.795320000001"/>
    <s v="Q2-2025"/>
    <x v="19"/>
    <s v="Medium"/>
    <n v="38"/>
    <d v="2023-01-01T00:00:00"/>
    <d v="2025-04-01T00:00:00"/>
    <n v="0"/>
    <x v="18"/>
  </r>
  <r>
    <s v="ORD-2025-931538"/>
    <d v="2025-02-09T00:00:00"/>
    <d v="2025-03-01T00:00:00"/>
    <s v="OK"/>
    <d v="2025-03-01T00:00:00"/>
    <n v="20"/>
    <x v="2"/>
    <x v="5"/>
    <s v="São Paulo"/>
    <s v="Corporate"/>
    <x v="3"/>
    <x v="5"/>
    <x v="4"/>
    <x v="56"/>
    <n v="1154.6400000000001"/>
    <s v="OK"/>
    <n v="2794.13"/>
    <n v="2794.13"/>
    <n v="3.5000000000000003E-2"/>
    <s v="OK"/>
    <n v="3.5000000000000003E-2"/>
    <n v="0"/>
    <n v="0.57177435025749479"/>
    <n v="12701.04"/>
    <n v="16958.649949999999"/>
    <n v="29659.68995"/>
    <s v="Q1-2025"/>
    <x v="26"/>
    <s v="High"/>
    <n v="11"/>
    <d v="2023-01-01T00:00:00"/>
    <d v="2025-02-01T00:00:00"/>
    <n v="0"/>
    <x v="26"/>
  </r>
  <r>
    <s v="ORD-2024-289089"/>
    <d v="2024-12-17T00:00:00"/>
    <d v="2024-12-18T00:00:00"/>
    <s v="OK"/>
    <d v="2024-12-18T00:00:00"/>
    <n v="1"/>
    <x v="3"/>
    <x v="6"/>
    <s v="Munich"/>
    <s v="Education"/>
    <x v="0"/>
    <x v="4"/>
    <x v="6"/>
    <x v="57"/>
    <n v="346.82"/>
    <s v="OK"/>
    <n v="701.95"/>
    <n v="701.95"/>
    <n v="0.14699999999999999"/>
    <s v="OK"/>
    <n v="0.14699999999999999"/>
    <n v="0"/>
    <n v="0.42077283120284509"/>
    <n v="2774.56"/>
    <n v="2015.5468000000005"/>
    <n v="4790.1068000000005"/>
    <s v="Q4-2024"/>
    <x v="6"/>
    <s v="Medium"/>
    <n v="8"/>
    <d v="2023-01-01T00:00:00"/>
    <d v="2024-12-01T00:00:00"/>
    <n v="1"/>
    <x v="6"/>
  </r>
  <r>
    <s v="ORD-2025-639542"/>
    <d v="2025-06-09T00:00:00"/>
    <d v="2025-06-18T00:00:00"/>
    <s v="OK"/>
    <d v="2025-06-18T00:00:00"/>
    <n v="9"/>
    <x v="3"/>
    <x v="7"/>
    <s v="Marseille"/>
    <s v="Small Business"/>
    <x v="2"/>
    <x v="10"/>
    <x v="6"/>
    <x v="58"/>
    <n v="1225.5"/>
    <s v="Check"/>
    <n v="0"/>
    <n v="-5.27"/>
    <n v="7.4999999999999997E-2"/>
    <s v="OK"/>
    <n v="7.4999999999999997E-2"/>
    <n v="0"/>
    <n v="0"/>
    <n v="68628"/>
    <n v="-68628"/>
    <n v="0"/>
    <s v="Q2-2025"/>
    <x v="16"/>
    <s v="Low"/>
    <n v="56"/>
    <d v="2023-01-01T00:00:00"/>
    <d v="2025-06-01T00:00:00"/>
    <n v="0"/>
    <x v="16"/>
  </r>
  <r>
    <s v="ORD-2025-762301"/>
    <d v="2025-05-02T00:00:00"/>
    <d v="2025-05-13T00:00:00"/>
    <s v="OK"/>
    <d v="2025-05-13T00:00:00"/>
    <n v="11"/>
    <x v="0"/>
    <x v="0"/>
    <s v="Nakuru"/>
    <s v="Small Business"/>
    <x v="1"/>
    <x v="8"/>
    <x v="6"/>
    <x v="59"/>
    <n v="1057.5999999999999"/>
    <s v="OK"/>
    <n v="1437.06"/>
    <n v="1437.06"/>
    <n v="0.20499999999999999"/>
    <s v="OK"/>
    <n v="0.20499999999999999"/>
    <n v="1"/>
    <n v="7.4280499485891424E-2"/>
    <n v="4230.3999999999996"/>
    <n v="339.45080000000053"/>
    <n v="4569.8508000000002"/>
    <s v="Q2-2025"/>
    <x v="8"/>
    <s v="Medium"/>
    <n v="4"/>
    <d v="2023-01-01T00:00:00"/>
    <d v="2025-05-01T00:00:00"/>
    <n v="0"/>
    <x v="8"/>
  </r>
  <r>
    <s v="ORD-2024-906395"/>
    <d v="2024-03-10T00:00:00"/>
    <d v="2024-04-09T00:00:00"/>
    <s v="OK"/>
    <d v="2024-04-09T00:00:00"/>
    <n v="30"/>
    <x v="3"/>
    <x v="7"/>
    <s v="Lyon"/>
    <s v="Corporate"/>
    <x v="4"/>
    <x v="2"/>
    <x v="0"/>
    <x v="60"/>
    <n v="1176.56"/>
    <s v="OK"/>
    <n v="1911.89"/>
    <n v="1911.89"/>
    <n v="0.11899999999999999"/>
    <s v="OK"/>
    <n v="0.11899999999999999"/>
    <n v="0"/>
    <n v="0.30148575160892477"/>
    <n v="23531.199999999997"/>
    <n v="10156.301800000008"/>
    <n v="33687.501800000005"/>
    <s v="Q1-2024"/>
    <x v="0"/>
    <s v="Medium"/>
    <n v="20"/>
    <d v="2023-01-01T00:00:00"/>
    <d v="2024-03-01T00:00:00"/>
    <n v="0"/>
    <x v="0"/>
  </r>
  <r>
    <s v="ORD-2025-779574"/>
    <d v="2025-09-10T00:00:00"/>
    <d v="2025-09-12T00:00:00"/>
    <s v="OK"/>
    <d v="2025-09-12T00:00:00"/>
    <n v="2"/>
    <x v="1"/>
    <x v="2"/>
    <s v="Tokyo"/>
    <s v="Consumer"/>
    <x v="1"/>
    <x v="7"/>
    <x v="0"/>
    <x v="61"/>
    <n v="1470.15"/>
    <s v="OK"/>
    <n v="2593.7800000000002"/>
    <n v="2593.7800000000002"/>
    <n v="0.11"/>
    <s v="OK"/>
    <n v="0.11"/>
    <n v="0"/>
    <n v="0.36314801849645306"/>
    <n v="17641.800000000003"/>
    <n v="10059.770399999998"/>
    <n v="27701.570400000001"/>
    <s v="Q3-2025"/>
    <x v="11"/>
    <s v="High"/>
    <n v="12"/>
    <d v="2023-03-01T00:00:00"/>
    <d v="2025-09-01T00:00:00"/>
    <n v="1"/>
    <x v="13"/>
  </r>
  <r>
    <s v="ORD-2025-526650"/>
    <d v="2025-04-27T00:00:00"/>
    <d v="2025-05-25T00:00:00"/>
    <s v="OK"/>
    <d v="2025-05-25T00:00:00"/>
    <n v="28"/>
    <x v="3"/>
    <x v="7"/>
    <s v="Paris"/>
    <s v="Small Business"/>
    <x v="2"/>
    <x v="2"/>
    <x v="3"/>
    <x v="62"/>
    <n v="603.45000000000005"/>
    <s v="OK"/>
    <n v="1244.08"/>
    <n v="1244.08"/>
    <n v="0.2"/>
    <s v="OK"/>
    <n v="0.2"/>
    <n v="0"/>
    <n v="0.39367846119220623"/>
    <n v="6637.9500000000007"/>
    <n v="4309.9539999999997"/>
    <n v="10947.904"/>
    <s v="Q2-2025"/>
    <x v="19"/>
    <s v="Medium"/>
    <n v="11"/>
    <d v="2023-01-01T00:00:00"/>
    <d v="2025-04-01T00:00:00"/>
    <n v="0"/>
    <x v="18"/>
  </r>
  <r>
    <s v="ORD-2024-247979"/>
    <d v="2024-11-02T00:00:00"/>
    <d v="2024-11-18T00:00:00"/>
    <s v="OK"/>
    <d v="2024-11-18T00:00:00"/>
    <n v="16"/>
    <x v="1"/>
    <x v="4"/>
    <s v="Mumbai"/>
    <s v="Small Business"/>
    <x v="3"/>
    <x v="7"/>
    <x v="5"/>
    <x v="63"/>
    <n v="1233.58"/>
    <s v="OK"/>
    <n v="1912.51"/>
    <n v="1912.51"/>
    <n v="0.255"/>
    <s v="OK"/>
    <n v="0.255"/>
    <n v="1"/>
    <n v="0.134220432553601"/>
    <n v="62912.579999999994"/>
    <n v="9753.2374500000078"/>
    <n v="72665.817450000002"/>
    <s v="Q4-2024"/>
    <x v="18"/>
    <s v="High"/>
    <n v="51"/>
    <d v="2023-01-01T00:00:00"/>
    <d v="2024-11-01T00:00:00"/>
    <n v="0"/>
    <x v="10"/>
  </r>
  <r>
    <s v="ORD-2023-480975"/>
    <d v="2023-02-15T00:00:00"/>
    <d v="2023-02-26T00:00:00"/>
    <s v="OK"/>
    <d v="2023-02-26T00:00:00"/>
    <n v="11"/>
    <x v="0"/>
    <x v="11"/>
    <s v="Johannesburg"/>
    <s v="Non-Profit"/>
    <x v="0"/>
    <x v="11"/>
    <x v="4"/>
    <x v="64"/>
    <n v="498.5"/>
    <s v="OK"/>
    <n v="755.87"/>
    <n v="755.87"/>
    <n v="0.13"/>
    <s v="OK"/>
    <n v="0.13"/>
    <n v="0"/>
    <n v="0.24194834330357537"/>
    <n v="19940"/>
    <n v="6364.275999999998"/>
    <n v="26304.275999999998"/>
    <s v="Q1-2023"/>
    <x v="2"/>
    <s v="Medium"/>
    <n v="40"/>
    <d v="2023-01-01T00:00:00"/>
    <d v="2023-02-01T00:00:00"/>
    <n v="0"/>
    <x v="2"/>
  </r>
  <r>
    <s v="ORD-2023-239789"/>
    <d v="2023-12-03T00:00:00"/>
    <d v="2023-12-26T00:00:00"/>
    <s v="OK"/>
    <d v="2023-12-26T00:00:00"/>
    <n v="23"/>
    <x v="2"/>
    <x v="5"/>
    <s v="Rio de Janeiro"/>
    <s v="Education"/>
    <x v="0"/>
    <x v="7"/>
    <x v="3"/>
    <x v="65"/>
    <n v="1303.1099999999999"/>
    <s v="OK"/>
    <n v="1145.67"/>
    <n v="1145.67"/>
    <n v="0.184"/>
    <s v="OK"/>
    <n v="0.184"/>
    <n v="0"/>
    <n v="-0.39389922875851208"/>
    <n v="16940.43"/>
    <n v="-4787.1626399999986"/>
    <n v="12153.267360000002"/>
    <s v="Q4-2023"/>
    <x v="4"/>
    <s v="Medium"/>
    <n v="13"/>
    <d v="2023-01-01T00:00:00"/>
    <d v="2023-12-01T00:00:00"/>
    <n v="0"/>
    <x v="27"/>
  </r>
  <r>
    <s v="ORD-2023-548874"/>
    <d v="2023-03-19T00:00:00"/>
    <d v="2023-04-09T00:00:00"/>
    <s v="OK"/>
    <d v="2023-04-09T00:00:00"/>
    <n v="21"/>
    <x v="3"/>
    <x v="8"/>
    <s v="Manchester"/>
    <s v="Consumer"/>
    <x v="0"/>
    <x v="4"/>
    <x v="6"/>
    <x v="66"/>
    <n v="1082.17"/>
    <s v="OK"/>
    <n v="1234.0999999999999"/>
    <n v="1234.0999999999999"/>
    <n v="0.189"/>
    <s v="OK"/>
    <n v="0.189"/>
    <n v="0"/>
    <n v="-8.124542703534228E-2"/>
    <n v="17314.72"/>
    <n v="-1301.0384000000031"/>
    <n v="16013.681599999998"/>
    <s v="Q1-2023"/>
    <x v="22"/>
    <s v="Medium"/>
    <n v="16"/>
    <d v="2023-01-01T00:00:00"/>
    <d v="2023-03-01T00:00:00"/>
    <n v="0"/>
    <x v="21"/>
  </r>
  <r>
    <s v="ORD-2024-347736"/>
    <d v="2024-05-22T00:00:00"/>
    <d v="2024-06-06T00:00:00"/>
    <s v="OK"/>
    <d v="2024-06-06T00:00:00"/>
    <n v="15"/>
    <x v="1"/>
    <x v="2"/>
    <s v="Nagoya"/>
    <s v="Corporate"/>
    <x v="3"/>
    <x v="0"/>
    <x v="5"/>
    <x v="67"/>
    <n v="673.88"/>
    <s v="OK"/>
    <n v="1228.01"/>
    <n v="1228.01"/>
    <n v="0.105"/>
    <s v="OK"/>
    <n v="0.105"/>
    <n v="0"/>
    <n v="0.38686285332689996"/>
    <n v="8760.44"/>
    <n v="5527.4563499999986"/>
    <n v="14287.896349999999"/>
    <s v="Q2-2024"/>
    <x v="7"/>
    <s v="Medium"/>
    <n v="13"/>
    <d v="2023-03-01T00:00:00"/>
    <d v="2024-05-01T00:00:00"/>
    <n v="0"/>
    <x v="0"/>
  </r>
  <r>
    <s v="ORD-2023-749324"/>
    <d v="2023-08-19T00:00:00"/>
    <d v="2023-09-07T00:00:00"/>
    <s v="OK"/>
    <d v="2023-09-07T00:00:00"/>
    <n v="19"/>
    <x v="0"/>
    <x v="11"/>
    <s v="Johannesburg"/>
    <s v="Enterprise"/>
    <x v="0"/>
    <x v="14"/>
    <x v="5"/>
    <x v="68"/>
    <n v="494.61"/>
    <s v="OK"/>
    <n v="605.23"/>
    <n v="605.23"/>
    <n v="0.20399999999999999"/>
    <s v="OK"/>
    <n v="0.20399999999999999"/>
    <n v="1"/>
    <n v="-2.6666468505639647E-2"/>
    <n v="8902.98"/>
    <n v="-231.24455999999918"/>
    <n v="8671.7354400000004"/>
    <s v="Q3-2023"/>
    <x v="25"/>
    <s v="Low"/>
    <n v="18"/>
    <d v="2023-01-01T00:00:00"/>
    <d v="2023-08-01T00:00:00"/>
    <n v="0"/>
    <x v="25"/>
  </r>
  <r>
    <s v="ORD-2023-809913"/>
    <d v="2023-04-21T00:00:00"/>
    <d v="2023-05-10T00:00:00"/>
    <s v="OK"/>
    <d v="2023-05-10T00:00:00"/>
    <n v="19"/>
    <x v="1"/>
    <x v="9"/>
    <s v="Shanghai"/>
    <s v="Corporate"/>
    <x v="0"/>
    <x v="8"/>
    <x v="0"/>
    <x v="69"/>
    <n v="882.33"/>
    <s v="OK"/>
    <n v="1880.15"/>
    <n v="1880.15"/>
    <n v="0.05"/>
    <s v="OK"/>
    <n v="0.05"/>
    <n v="0"/>
    <n v="0.50601365792482955"/>
    <n v="4411.6500000000005"/>
    <n v="4519.0624999999991"/>
    <n v="8930.7124999999996"/>
    <s v="Q2-2023"/>
    <x v="12"/>
    <s v="Medium"/>
    <n v="5"/>
    <d v="2023-01-01T00:00:00"/>
    <d v="2023-04-01T00:00:00"/>
    <n v="0"/>
    <x v="12"/>
  </r>
  <r>
    <s v="ORD-2024-287210"/>
    <d v="2024-03-18T00:00:00"/>
    <d v="2024-03-21T00:00:00"/>
    <s v="OK"/>
    <d v="2024-03-21T00:00:00"/>
    <n v="3"/>
    <x v="3"/>
    <x v="6"/>
    <s v="Munich"/>
    <s v="Small Business"/>
    <x v="1"/>
    <x v="12"/>
    <x v="6"/>
    <x v="70"/>
    <n v="910.63"/>
    <s v="OK"/>
    <n v="1269.4000000000001"/>
    <n v="1269.4000000000001"/>
    <n v="6.8000000000000005E-2"/>
    <s v="OK"/>
    <n v="6.8000000000000005E-2"/>
    <n v="0"/>
    <n v="0.23028925834989455"/>
    <n v="8195.67"/>
    <n v="2452.0571999999993"/>
    <n v="10647.727199999999"/>
    <s v="Q1-2024"/>
    <x v="0"/>
    <s v="Medium"/>
    <n v="9"/>
    <d v="2023-01-01T00:00:00"/>
    <d v="2024-03-01T00:00:00"/>
    <n v="1"/>
    <x v="0"/>
  </r>
  <r>
    <s v="ORD-2025-640677"/>
    <d v="2025-04-09T00:00:00"/>
    <d v="2025-05-06T00:00:00"/>
    <s v="OK"/>
    <d v="2025-05-06T00:00:00"/>
    <n v="27"/>
    <x v="2"/>
    <x v="5"/>
    <s v="Brasília"/>
    <s v="Enterprise"/>
    <x v="2"/>
    <x v="9"/>
    <x v="4"/>
    <x v="71"/>
    <n v="264.19"/>
    <s v="OK"/>
    <n v="620.92999999999995"/>
    <n v="620.92999999999995"/>
    <n v="0.14199999999999999"/>
    <s v="OK"/>
    <n v="0.14199999999999999"/>
    <n v="0"/>
    <n v="0.50410875152794532"/>
    <n v="3170.2799999999997"/>
    <n v="3222.8152799999998"/>
    <n v="6393.0952799999995"/>
    <s v="Q2-2025"/>
    <x v="19"/>
    <s v="Medium"/>
    <n v="12"/>
    <d v="2023-01-01T00:00:00"/>
    <d v="2025-04-01T00:00:00"/>
    <n v="0"/>
    <x v="18"/>
  </r>
  <r>
    <s v="ORD-2024-939873"/>
    <d v="2024-04-12T00:00:00"/>
    <d v="2024-05-07T00:00:00"/>
    <s v="OK"/>
    <d v="2024-05-07T00:00:00"/>
    <n v="25"/>
    <x v="0"/>
    <x v="11"/>
    <s v="Johannesburg"/>
    <s v="Education"/>
    <x v="3"/>
    <x v="8"/>
    <x v="4"/>
    <x v="72"/>
    <n v="1376.51"/>
    <s v="OK"/>
    <n v="1455.91"/>
    <n v="1455.91"/>
    <n v="0.185"/>
    <s v="OK"/>
    <n v="0.185"/>
    <n v="0"/>
    <n v="-0.1600781127634085"/>
    <n v="23400.67"/>
    <n v="-3229.0369499999979"/>
    <n v="20171.63305"/>
    <s v="Q2-2024"/>
    <x v="20"/>
    <s v="Medium"/>
    <n v="17"/>
    <d v="2023-01-01T00:00:00"/>
    <d v="2024-04-01T00:00:00"/>
    <n v="0"/>
    <x v="19"/>
  </r>
  <r>
    <s v="ORD-2024-800947"/>
    <d v="2024-12-15T00:00:00"/>
    <d v="2024-12-20T00:00:00"/>
    <s v="OK"/>
    <d v="2024-12-20T00:00:00"/>
    <n v="5"/>
    <x v="1"/>
    <x v="9"/>
    <s v="Shenzhen"/>
    <s v="Small Business"/>
    <x v="4"/>
    <x v="1"/>
    <x v="2"/>
    <x v="73"/>
    <n v="717.55"/>
    <s v="OK"/>
    <n v="546.42999999999995"/>
    <n v="546.42999999999995"/>
    <n v="4.7E-2"/>
    <s v="OK"/>
    <n v="4.7E-2"/>
    <n v="0"/>
    <n v="-0.37792231437026369"/>
    <n v="12915.9"/>
    <n v="-3542.4397800000006"/>
    <n v="9373.460219999999"/>
    <s v="Q4-2024"/>
    <x v="6"/>
    <s v="Low"/>
    <n v="18"/>
    <d v="2023-01-01T00:00:00"/>
    <d v="2024-12-01T00:00:00"/>
    <n v="1"/>
    <x v="6"/>
  </r>
  <r>
    <s v="ORD-2023-382272"/>
    <d v="2023-05-20T00:00:00"/>
    <d v="2023-05-27T00:00:00"/>
    <s v="Check"/>
    <d v="2023-05-18T00:00:00"/>
    <n v="7"/>
    <x v="0"/>
    <x v="11"/>
    <s v="Durban"/>
    <s v="Corporate"/>
    <x v="3"/>
    <x v="8"/>
    <x v="0"/>
    <x v="74"/>
    <n v="917.88"/>
    <s v="OK"/>
    <n v="1347.92"/>
    <n v="1347.92"/>
    <n v="0.3"/>
    <s v="Check"/>
    <n v="0.34300000000000003"/>
    <n v="1"/>
    <n v="2.7199579457873848E-2"/>
    <n v="4589.3999999999996"/>
    <n v="128.32000000000062"/>
    <n v="4717.72"/>
    <s v="Q2-2023"/>
    <x v="15"/>
    <s v="Medium"/>
    <n v="5"/>
    <d v="2023-01-01T00:00:00"/>
    <d v="2023-05-01T00:00:00"/>
    <n v="1"/>
    <x v="15"/>
  </r>
  <r>
    <s v="ORD-2023-722117"/>
    <d v="2023-09-18T00:00:00"/>
    <d v="2023-10-08T00:00:00"/>
    <s v="OK"/>
    <d v="2023-10-08T00:00:00"/>
    <n v="20"/>
    <x v="1"/>
    <x v="4"/>
    <s v="Delhi"/>
    <s v="Small Business"/>
    <x v="4"/>
    <x v="5"/>
    <x v="0"/>
    <x v="75"/>
    <n v="825.64"/>
    <s v="OK"/>
    <n v="1108.43"/>
    <n v="1108.43"/>
    <n v="0.114"/>
    <s v="OK"/>
    <n v="0.114"/>
    <n v="0"/>
    <n v="0.15928512475773349"/>
    <n v="5779.48"/>
    <n v="1095.0028600000005"/>
    <n v="6874.4828600000001"/>
    <s v="Q3-2023"/>
    <x v="27"/>
    <s v="Medium"/>
    <n v="7"/>
    <d v="2023-01-01T00:00:00"/>
    <d v="2023-09-01T00:00:00"/>
    <n v="0"/>
    <x v="28"/>
  </r>
  <r>
    <s v="ORD-2024-446699"/>
    <d v="2024-08-28T00:00:00"/>
    <d v="2024-09-25T00:00:00"/>
    <s v="OK"/>
    <d v="2024-09-25T00:00:00"/>
    <n v="28"/>
    <x v="2"/>
    <x v="5"/>
    <s v="Rio de Janeiro"/>
    <s v="Non-Profit"/>
    <x v="1"/>
    <x v="15"/>
    <x v="6"/>
    <x v="76"/>
    <n v="1394.65"/>
    <s v="OK"/>
    <n v="3144.1"/>
    <n v="3144.1"/>
    <n v="0.13400000000000001"/>
    <s v="OK"/>
    <n v="0.13400000000000001"/>
    <n v="0"/>
    <n v="0.4877865378263021"/>
    <n v="18130.45"/>
    <n v="17265.827799999995"/>
    <n v="35396.277799999996"/>
    <s v="Q3-2024"/>
    <x v="21"/>
    <s v="High"/>
    <n v="13"/>
    <d v="2023-01-01T00:00:00"/>
    <d v="2024-08-01T00:00:00"/>
    <n v="0"/>
    <x v="20"/>
  </r>
  <r>
    <s v="ORD-2024-451005"/>
    <d v="2024-06-30T00:00:00"/>
    <d v="2024-07-07T00:00:00"/>
    <s v="Check"/>
    <d v="2024-06-28T00:00:00"/>
    <n v="7"/>
    <x v="2"/>
    <x v="5"/>
    <s v="Rio de Janeiro"/>
    <s v="Small Business"/>
    <x v="4"/>
    <x v="4"/>
    <x v="6"/>
    <x v="77"/>
    <n v="1112.98"/>
    <s v="OK"/>
    <n v="2095.73"/>
    <n v="2095.73"/>
    <n v="7.1999999999999995E-2"/>
    <s v="OK"/>
    <n v="7.1999999999999995E-2"/>
    <n v="0"/>
    <n v="0.42772594916724777"/>
    <n v="18920.66"/>
    <n v="14141.576480000007"/>
    <n v="33062.236480000007"/>
    <s v="Q2-2024"/>
    <x v="17"/>
    <s v="High"/>
    <n v="17"/>
    <d v="2023-01-01T00:00:00"/>
    <d v="2024-06-01T00:00:00"/>
    <n v="1"/>
    <x v="17"/>
  </r>
  <r>
    <s v="ORD-2023-290279"/>
    <d v="2023-06-14T00:00:00"/>
    <d v="2023-06-16T00:00:00"/>
    <s v="OK"/>
    <d v="2023-06-16T00:00:00"/>
    <n v="2"/>
    <x v="3"/>
    <x v="8"/>
    <s v="Manchester"/>
    <s v="Non-Profit"/>
    <x v="4"/>
    <x v="11"/>
    <x v="0"/>
    <x v="78"/>
    <n v="357.36"/>
    <s v="OK"/>
    <n v="703.62"/>
    <n v="703.62"/>
    <n v="0.25700000000000001"/>
    <s v="OK"/>
    <n v="0.25700000000000001"/>
    <n v="1"/>
    <n v="0.31643636563125593"/>
    <n v="7147.2000000000007"/>
    <n v="3308.5931999999993"/>
    <n v="10455.7932"/>
    <s v="Q2-2023"/>
    <x v="23"/>
    <s v="Medium"/>
    <n v="20"/>
    <d v="2023-01-01T00:00:00"/>
    <d v="2023-06-01T00:00:00"/>
    <n v="1"/>
    <x v="22"/>
  </r>
  <r>
    <s v="ORD-2024-192263"/>
    <d v="2024-11-21T00:00:00"/>
    <d v="2024-12-21T00:00:00"/>
    <s v="OK"/>
    <d v="2024-12-21T00:00:00"/>
    <n v="30"/>
    <x v="3"/>
    <x v="7"/>
    <s v="Marseille"/>
    <s v="Small Business"/>
    <x v="4"/>
    <x v="2"/>
    <x v="5"/>
    <x v="79"/>
    <n v="1122.68"/>
    <s v="OK"/>
    <n v="1997.19"/>
    <n v="1997.19"/>
    <n v="0.186"/>
    <s v="OK"/>
    <n v="0.186"/>
    <n v="0"/>
    <n v="0.30942285951073306"/>
    <n v="3368.04"/>
    <n v="1509.0979800000005"/>
    <n v="4877.1379800000004"/>
    <s v="Q4-2024"/>
    <x v="18"/>
    <s v="High"/>
    <n v="3"/>
    <d v="2023-01-01T00:00:00"/>
    <d v="2024-11-01T00:00:00"/>
    <n v="0"/>
    <x v="10"/>
  </r>
  <r>
    <s v="ORD-2023-159379"/>
    <d v="2023-02-08T00:00:00"/>
    <d v="2023-02-11T00:00:00"/>
    <s v="OK"/>
    <d v="2023-02-11T00:00:00"/>
    <n v="3"/>
    <x v="0"/>
    <x v="11"/>
    <s v="Cape Town"/>
    <s v="Corporate"/>
    <x v="4"/>
    <x v="12"/>
    <x v="2"/>
    <x v="80"/>
    <n v="1410.05"/>
    <s v="OK"/>
    <n v="2763.95"/>
    <n v="2763.95"/>
    <n v="0.161"/>
    <s v="OK"/>
    <n v="0.161"/>
    <n v="0"/>
    <n v="0.39194569206750779"/>
    <n v="36661.299999999996"/>
    <n v="23631.505299999997"/>
    <n v="60292.805299999993"/>
    <s v="Q1-2023"/>
    <x v="2"/>
    <s v="High"/>
    <n v="26"/>
    <d v="2023-01-01T00:00:00"/>
    <d v="2023-02-01T00:00:00"/>
    <n v="1"/>
    <x v="2"/>
  </r>
  <r>
    <s v="ORD-2023-343322"/>
    <d v="2023-08-19T00:00:00"/>
    <d v="2023-09-12T00:00:00"/>
    <s v="OK"/>
    <d v="2023-09-12T00:00:00"/>
    <n v="24"/>
    <x v="2"/>
    <x v="3"/>
    <s v="Vancouver"/>
    <s v="Enterprise"/>
    <x v="0"/>
    <x v="2"/>
    <x v="1"/>
    <x v="81"/>
    <n v="1183.95"/>
    <s v="OK"/>
    <n v="1503.53"/>
    <n v="1503.53"/>
    <n v="0.24099999999999999"/>
    <s v="OK"/>
    <n v="0.24099999999999999"/>
    <n v="1"/>
    <n v="-3.7479413729623705E-2"/>
    <n v="18943.2"/>
    <n v="-684.33167999999932"/>
    <n v="18258.868320000001"/>
    <s v="Q3-2023"/>
    <x v="25"/>
    <s v="Medium"/>
    <n v="16"/>
    <d v="2023-01-01T00:00:00"/>
    <d v="2023-08-01T00:00:00"/>
    <n v="0"/>
    <x v="25"/>
  </r>
  <r>
    <s v="ORD-2025-114382"/>
    <d v="2025-05-14T00:00:00"/>
    <d v="2025-05-24T00:00:00"/>
    <s v="OK"/>
    <d v="2025-05-24T00:00:00"/>
    <n v="10"/>
    <x v="3"/>
    <x v="7"/>
    <s v="Paris"/>
    <s v="Small Business"/>
    <x v="2"/>
    <x v="11"/>
    <x v="0"/>
    <x v="82"/>
    <n v="170.39"/>
    <s v="OK"/>
    <n v="388.04"/>
    <n v="388.04"/>
    <n v="8.4000000000000005E-2"/>
    <s v="OK"/>
    <n v="8.4000000000000005E-2"/>
    <n v="0"/>
    <n v="0.52062858508711796"/>
    <n v="2555.85"/>
    <n v="2775.8196000000003"/>
    <n v="5331.6696000000002"/>
    <s v="Q2-2025"/>
    <x v="8"/>
    <s v="Low"/>
    <n v="15"/>
    <d v="2023-01-01T00:00:00"/>
    <d v="2025-05-01T00:00:00"/>
    <n v="0"/>
    <x v="8"/>
  </r>
  <r>
    <s v="ORD-2025-488349"/>
    <d v="2025-04-23T00:00:00"/>
    <d v="2025-04-30T00:00:00"/>
    <s v="Check"/>
    <d v="2025-04-22T00:00:00"/>
    <n v="7"/>
    <x v="2"/>
    <x v="10"/>
    <s v="San Francisco"/>
    <s v="Non-Profit"/>
    <x v="3"/>
    <x v="14"/>
    <x v="5"/>
    <x v="83"/>
    <n v="23.24"/>
    <s v="OK"/>
    <n v="44.57"/>
    <n v="44.57"/>
    <n v="0.215"/>
    <s v="OK"/>
    <n v="0.215"/>
    <n v="1"/>
    <n v="0.33576182316802167"/>
    <n v="348.59999999999997"/>
    <n v="176.21174999999999"/>
    <n v="524.81174999999996"/>
    <s v="Q2-2025"/>
    <x v="19"/>
    <s v="Low"/>
    <n v="15"/>
    <d v="2023-01-01T00:00:00"/>
    <d v="2025-04-01T00:00:00"/>
    <n v="1"/>
    <x v="18"/>
  </r>
  <r>
    <s v="ORD-2025-330203"/>
    <d v="2025-03-25T00:00:00"/>
    <d v="2025-04-17T00:00:00"/>
    <s v="OK"/>
    <d v="2025-04-17T00:00:00"/>
    <n v="23"/>
    <x v="3"/>
    <x v="8"/>
    <s v="London"/>
    <s v="Consumer"/>
    <x v="0"/>
    <x v="10"/>
    <x v="2"/>
    <x v="84"/>
    <n v="1421.19"/>
    <s v="OK"/>
    <n v="1808.26"/>
    <n v="1808.26"/>
    <n v="0.104"/>
    <s v="OK"/>
    <n v="0.104"/>
    <n v="0"/>
    <n v="0.12283103449093123"/>
    <n v="18475.47"/>
    <n v="2587.1424799999986"/>
    <n v="21062.61248"/>
    <s v="Q1-2025"/>
    <x v="3"/>
    <s v="Medium"/>
    <n v="13"/>
    <d v="2023-01-01T00:00:00"/>
    <d v="2025-03-01T00:00:00"/>
    <n v="0"/>
    <x v="3"/>
  </r>
  <r>
    <s v="ORD-2023-841426"/>
    <d v="2023-12-22T00:00:00"/>
    <d v="2023-12-23T00:00:00"/>
    <s v="OK"/>
    <d v="2023-12-23T00:00:00"/>
    <n v="1"/>
    <x v="0"/>
    <x v="11"/>
    <s v="Cape Town"/>
    <s v="Non-Profit"/>
    <x v="2"/>
    <x v="14"/>
    <x v="0"/>
    <x v="85"/>
    <n v="1186.18"/>
    <s v="OK"/>
    <n v="1285.0899999999999"/>
    <n v="1285.0899999999999"/>
    <n v="7.0000000000000007E-2"/>
    <s v="OK"/>
    <n v="7.0000000000000007E-2"/>
    <n v="0"/>
    <n v="7.4917977796121861E-3"/>
    <n v="13047.980000000001"/>
    <n v="98.49069999999665"/>
    <n v="13146.470699999998"/>
    <s v="Q4-2023"/>
    <x v="4"/>
    <s v="Medium"/>
    <n v="11"/>
    <d v="2023-01-01T00:00:00"/>
    <d v="2023-12-01T00:00:00"/>
    <n v="1"/>
    <x v="27"/>
  </r>
  <r>
    <s v="ORD-2024-594592"/>
    <d v="2024-04-06T00:00:00"/>
    <d v="2024-04-25T00:00:00"/>
    <s v="OK"/>
    <d v="2024-04-25T00:00:00"/>
    <n v="19"/>
    <x v="1"/>
    <x v="9"/>
    <s v="Shanghai"/>
    <s v="Corporate"/>
    <x v="0"/>
    <x v="11"/>
    <x v="0"/>
    <x v="86"/>
    <n v="1366.48"/>
    <s v="OK"/>
    <n v="1678.14"/>
    <n v="1678.14"/>
    <n v="0.154"/>
    <s v="OK"/>
    <n v="0.154"/>
    <n v="0"/>
    <n v="3.7491159087790132E-2"/>
    <n v="13664.8"/>
    <n v="532.26440000000184"/>
    <n v="14197.064400000001"/>
    <s v="Q2-2024"/>
    <x v="20"/>
    <s v="Medium"/>
    <n v="10"/>
    <d v="2023-01-01T00:00:00"/>
    <d v="2024-04-01T00:00:00"/>
    <n v="0"/>
    <x v="19"/>
  </r>
  <r>
    <s v="ORD-2025-863978"/>
    <d v="2025-08-07T00:00:00"/>
    <d v="2025-08-19T00:00:00"/>
    <s v="OK"/>
    <d v="2025-08-19T00:00:00"/>
    <n v="12"/>
    <x v="0"/>
    <x v="0"/>
    <s v="Nakuru"/>
    <s v="Corporate"/>
    <x v="5"/>
    <x v="12"/>
    <x v="0"/>
    <x v="87"/>
    <n v="601.51"/>
    <s v="OK"/>
    <n v="679.35"/>
    <n v="679.35"/>
    <n v="0.188"/>
    <s v="OK"/>
    <n v="0.188"/>
    <n v="0"/>
    <n v="-9.0418579626062243E-2"/>
    <n v="1804.53"/>
    <n v="-149.63339999999971"/>
    <n v="1654.8966000000003"/>
    <s v="Q3-2025"/>
    <x v="28"/>
    <s v="Medium"/>
    <n v="3"/>
    <d v="2023-01-01T00:00:00"/>
    <d v="2025-08-01T00:00:00"/>
    <n v="0"/>
    <x v="29"/>
  </r>
  <r>
    <s v="ORD-2024-604471"/>
    <d v="2024-01-21T00:00:00"/>
    <d v="2024-01-25T00:00:00"/>
    <s v="OK"/>
    <d v="2024-01-25T00:00:00"/>
    <n v="4"/>
    <x v="1"/>
    <x v="4"/>
    <s v="Delhi"/>
    <s v="Consumer"/>
    <x v="4"/>
    <x v="0"/>
    <x v="5"/>
    <x v="88"/>
    <n v="523.70000000000005"/>
    <s v="OK"/>
    <n v="1109.92"/>
    <n v="1109.92"/>
    <n v="0.03"/>
    <s v="OK"/>
    <n v="0.03"/>
    <n v="0"/>
    <n v="0.51357133197302973"/>
    <n v="5760.7000000000007"/>
    <n v="6082.1463999999996"/>
    <n v="11842.8464"/>
    <s v="Q1-2024"/>
    <x v="9"/>
    <s v="Medium"/>
    <n v="11"/>
    <d v="2023-01-01T00:00:00"/>
    <d v="2024-01-01T00:00:00"/>
    <n v="1"/>
    <x v="9"/>
  </r>
  <r>
    <s v="ORD-2023-258768"/>
    <d v="2023-06-29T00:00:00"/>
    <d v="2023-07-02T00:00:00"/>
    <s v="OK"/>
    <d v="2023-07-02T00:00:00"/>
    <n v="3"/>
    <x v="1"/>
    <x v="2"/>
    <s v="Nagoya"/>
    <s v="Education"/>
    <x v="2"/>
    <x v="9"/>
    <x v="5"/>
    <x v="89"/>
    <n v="55.65"/>
    <s v="OK"/>
    <n v="83.57"/>
    <n v="83.57"/>
    <n v="6.6000000000000003E-2"/>
    <s v="OK"/>
    <n v="6.6000000000000003E-2"/>
    <n v="0"/>
    <n v="0.2870355257449998"/>
    <n v="445.2"/>
    <n v="179.23503999999997"/>
    <n v="624.43503999999996"/>
    <s v="Q2-2023"/>
    <x v="23"/>
    <s v="Low"/>
    <n v="8"/>
    <d v="2023-03-01T00:00:00"/>
    <d v="2023-06-01T00:00:00"/>
    <n v="1"/>
    <x v="12"/>
  </r>
  <r>
    <s v="ORD-2025-626047"/>
    <d v="2025-04-28T00:00:00"/>
    <d v="2025-05-15T00:00:00"/>
    <s v="OK"/>
    <d v="2025-05-15T00:00:00"/>
    <n v="17"/>
    <x v="1"/>
    <x v="2"/>
    <s v="Nagoya"/>
    <s v="Education"/>
    <x v="4"/>
    <x v="13"/>
    <x v="2"/>
    <x v="90"/>
    <n v="691.19"/>
    <s v="OK"/>
    <n v="1284.3"/>
    <n v="1284.3"/>
    <n v="7.3999999999999996E-2"/>
    <s v="OK"/>
    <n v="7.3999999999999996E-2"/>
    <n v="0"/>
    <n v="0.41880753253825198"/>
    <n v="4838.33"/>
    <n v="3486.5026000000016"/>
    <n v="8324.8326000000015"/>
    <s v="Q2-2025"/>
    <x v="19"/>
    <s v="Medium"/>
    <n v="7"/>
    <d v="2023-03-01T00:00:00"/>
    <d v="2025-04-01T00:00:00"/>
    <n v="0"/>
    <x v="26"/>
  </r>
  <r>
    <s v="ORD-2025-526752"/>
    <d v="2025-06-09T00:00:00"/>
    <d v="2025-06-25T00:00:00"/>
    <s v="OK"/>
    <d v="2025-06-25T00:00:00"/>
    <n v="16"/>
    <x v="1"/>
    <x v="4"/>
    <s v="Hyderabad"/>
    <s v="Enterprise"/>
    <x v="3"/>
    <x v="12"/>
    <x v="3"/>
    <x v="91"/>
    <n v="527.33000000000004"/>
    <s v="OK"/>
    <n v="911.72"/>
    <n v="911.72"/>
    <n v="0.14399999999999999"/>
    <s v="OK"/>
    <n v="0.14399999999999999"/>
    <n v="0"/>
    <n v="0.32431040272652978"/>
    <n v="13183.250000000002"/>
    <n v="6327.5579999999991"/>
    <n v="19510.808000000001"/>
    <s v="Q2-2025"/>
    <x v="16"/>
    <s v="Medium"/>
    <n v="25"/>
    <d v="2023-01-01T00:00:00"/>
    <d v="2025-06-01T00:00:00"/>
    <n v="0"/>
    <x v="16"/>
  </r>
  <r>
    <s v="ORD-2023-374486"/>
    <d v="2023-06-24T00:00:00"/>
    <d v="2023-07-01T00:00:00"/>
    <s v="Check"/>
    <d v="2023-06-23T00:00:00"/>
    <n v="7"/>
    <x v="2"/>
    <x v="5"/>
    <s v="Rio de Janeiro"/>
    <s v="Non-Profit"/>
    <x v="0"/>
    <x v="6"/>
    <x v="1"/>
    <x v="92"/>
    <n v="804.01"/>
    <s v="OK"/>
    <n v="1405.07"/>
    <n v="1405.07"/>
    <n v="9.6000000000000002E-2"/>
    <s v="OK"/>
    <n v="9.6000000000000002E-2"/>
    <n v="0"/>
    <n v="0.36701260939287439"/>
    <n v="6432.08"/>
    <n v="3729.3862399999998"/>
    <n v="10161.46624"/>
    <s v="Q2-2023"/>
    <x v="23"/>
    <s v="Medium"/>
    <n v="8"/>
    <d v="2023-01-01T00:00:00"/>
    <d v="2023-06-01T00:00:00"/>
    <n v="1"/>
    <x v="22"/>
  </r>
  <r>
    <s v="ORD-2024-997336"/>
    <d v="2024-10-04T00:00:00"/>
    <d v="2024-11-02T00:00:00"/>
    <s v="OK"/>
    <d v="2024-11-02T00:00:00"/>
    <n v="29"/>
    <x v="0"/>
    <x v="1"/>
    <s v="Abuja"/>
    <s v="Corporate"/>
    <x v="3"/>
    <x v="9"/>
    <x v="6"/>
    <x v="93"/>
    <n v="412.09"/>
    <s v="OK"/>
    <n v="968.94"/>
    <n v="968.94"/>
    <n v="9.9000000000000005E-2"/>
    <s v="OK"/>
    <n v="9.9000000000000005E-2"/>
    <n v="0"/>
    <n v="0.52796913189137418"/>
    <n v="9478.07"/>
    <n v="10601.273620000004"/>
    <n v="20079.343620000003"/>
    <s v="Q4-2024"/>
    <x v="1"/>
    <s v="Medium"/>
    <n v="23"/>
    <d v="2023-01-01T00:00:00"/>
    <d v="2024-10-01T00:00:00"/>
    <n v="0"/>
    <x v="1"/>
  </r>
  <r>
    <s v="ORD-2025-725646"/>
    <d v="2025-09-10T00:00:00"/>
    <d v="2025-09-30T00:00:00"/>
    <s v="OK"/>
    <d v="2025-09-30T00:00:00"/>
    <n v="20"/>
    <x v="0"/>
    <x v="0"/>
    <s v="Mombasa"/>
    <s v="Corporate"/>
    <x v="4"/>
    <x v="4"/>
    <x v="3"/>
    <x v="94"/>
    <n v="1009.48"/>
    <s v="OK"/>
    <n v="1088.81"/>
    <n v="1088.81"/>
    <n v="0.16"/>
    <s v="OK"/>
    <n v="0.16"/>
    <n v="0"/>
    <n v="-0.10373885688219693"/>
    <n v="6056.88"/>
    <n v="-569.27760000000035"/>
    <n v="5487.6023999999998"/>
    <s v="Q3-2025"/>
    <x v="11"/>
    <s v="Medium"/>
    <n v="6"/>
    <d v="2023-01-01T00:00:00"/>
    <d v="2025-09-01T00:00:00"/>
    <n v="0"/>
    <x v="11"/>
  </r>
  <r>
    <s v="ORD-2023-868734"/>
    <d v="2023-04-06T00:00:00"/>
    <d v="2023-04-27T00:00:00"/>
    <s v="OK"/>
    <d v="2023-04-27T00:00:00"/>
    <n v="21"/>
    <x v="3"/>
    <x v="8"/>
    <s v="Manchester"/>
    <s v="Enterprise"/>
    <x v="3"/>
    <x v="2"/>
    <x v="1"/>
    <x v="95"/>
    <n v="1084.79"/>
    <s v="OK"/>
    <n v="2484.9899999999998"/>
    <n v="2484.9899999999998"/>
    <n v="3.4000000000000002E-2"/>
    <s v="OK"/>
    <n v="3.4000000000000002E-2"/>
    <n v="0"/>
    <n v="0.54809837685755114"/>
    <n v="19526.22"/>
    <n v="23682.78611999999"/>
    <n v="43209.006119999991"/>
    <s v="Q2-2023"/>
    <x v="12"/>
    <s v="High"/>
    <n v="18"/>
    <d v="2023-01-01T00:00:00"/>
    <d v="2023-04-01T00:00:00"/>
    <n v="0"/>
    <x v="12"/>
  </r>
  <r>
    <s v="ORD-2025-262491"/>
    <d v="2025-08-01T00:00:00"/>
    <d v="2025-08-16T00:00:00"/>
    <s v="OK"/>
    <d v="2025-08-16T00:00:00"/>
    <n v="15"/>
    <x v="1"/>
    <x v="4"/>
    <s v="Unkown"/>
    <s v="Enterprise"/>
    <x v="4"/>
    <x v="7"/>
    <x v="5"/>
    <x v="96"/>
    <n v="24.44"/>
    <s v="OK"/>
    <n v="28.69"/>
    <n v="28.69"/>
    <n v="0.14599999999999999"/>
    <s v="OK"/>
    <n v="0.14599999999999999"/>
    <n v="0"/>
    <n v="2.5002795774584476E-3"/>
    <n v="146.64000000000001"/>
    <n v="0.36755999999999744"/>
    <n v="147.00756000000001"/>
    <s v="Q3-2025"/>
    <x v="28"/>
    <s v="Low"/>
    <n v="6"/>
    <d v="2023-01-01T00:00:00"/>
    <d v="2025-08-01T00:00:00"/>
    <n v="0"/>
    <x v="29"/>
  </r>
  <r>
    <s v="ORD-2024-638884"/>
    <d v="2024-05-28T00:00:00"/>
    <d v="2024-06-04T00:00:00"/>
    <s v="Check"/>
    <d v="2024-05-26T00:00:00"/>
    <n v="7"/>
    <x v="0"/>
    <x v="1"/>
    <s v="Abuja"/>
    <s v="Enterprise"/>
    <x v="1"/>
    <x v="9"/>
    <x v="6"/>
    <x v="97"/>
    <n v="1227.08"/>
    <s v="OK"/>
    <n v="1896.62"/>
    <n v="1896.62"/>
    <n v="0"/>
    <s v="OK"/>
    <n v="0"/>
    <n v="0"/>
    <n v="0.353017473189147"/>
    <n v="22087.439999999999"/>
    <n v="12051.719999999998"/>
    <n v="34139.159999999996"/>
    <s v="Q2-2024"/>
    <x v="7"/>
    <s v="Medium"/>
    <n v="18"/>
    <d v="2023-01-01T00:00:00"/>
    <d v="2024-05-01T00:00:00"/>
    <n v="1"/>
    <x v="7"/>
  </r>
  <r>
    <s v="ORD-2025-541501"/>
    <d v="2025-07-22T00:00:00"/>
    <d v="2025-08-18T00:00:00"/>
    <s v="OK"/>
    <d v="2025-08-18T00:00:00"/>
    <n v="27"/>
    <x v="1"/>
    <x v="9"/>
    <s v="Shenzhen"/>
    <s v="Non-Profit"/>
    <x v="2"/>
    <x v="12"/>
    <x v="2"/>
    <x v="98"/>
    <n v="547.32000000000005"/>
    <s v="OK"/>
    <n v="419.17"/>
    <n v="419.17"/>
    <n v="9.1999999999999998E-2"/>
    <s v="OK"/>
    <n v="9.1999999999999998E-2"/>
    <n v="0"/>
    <n v="-0.43802116181137907"/>
    <n v="7662.4800000000005"/>
    <n v="-2333.9909600000001"/>
    <n v="5328.4890400000004"/>
    <s v="Q3-2025"/>
    <x v="13"/>
    <s v="Low"/>
    <n v="14"/>
    <d v="2023-01-01T00:00:00"/>
    <d v="2025-07-01T00:00:00"/>
    <n v="0"/>
    <x v="13"/>
  </r>
  <r>
    <s v="ORD-2023-422918"/>
    <d v="2023-02-28T00:00:00"/>
    <d v="2023-03-20T00:00:00"/>
    <s v="OK"/>
    <d v="2023-03-20T00:00:00"/>
    <n v="20"/>
    <x v="3"/>
    <x v="6"/>
    <s v="Berlin"/>
    <s v="Small Business"/>
    <x v="4"/>
    <x v="10"/>
    <x v="4"/>
    <x v="99"/>
    <n v="1200.78"/>
    <s v="OK"/>
    <n v="2001.17"/>
    <n v="2001.17"/>
    <n v="0.29199999999999998"/>
    <s v="OK"/>
    <n v="0.29199999999999998"/>
    <n v="1"/>
    <n v="0.15248732034132906"/>
    <n v="21614.04"/>
    <n v="3888.8704799999978"/>
    <n v="25502.910479999999"/>
    <s v="Q1-2023"/>
    <x v="2"/>
    <s v="High"/>
    <n v="18"/>
    <d v="2023-01-01T00:00:00"/>
    <d v="2023-02-01T00:00:00"/>
    <n v="0"/>
    <x v="2"/>
  </r>
  <r>
    <s v="ORD-2025-328504"/>
    <d v="2025-01-27T00:00:00"/>
    <d v="2025-02-15T00:00:00"/>
    <s v="OK"/>
    <d v="2025-02-15T00:00:00"/>
    <n v="19"/>
    <x v="1"/>
    <x v="9"/>
    <s v="Shenzhen"/>
    <s v="Non-Profit"/>
    <x v="4"/>
    <x v="4"/>
    <x v="3"/>
    <x v="100"/>
    <n v="1253.22"/>
    <s v="OK"/>
    <n v="3104.71"/>
    <n v="3104.71"/>
    <n v="0"/>
    <s v="OK"/>
    <n v="0"/>
    <n v="0"/>
    <n v="0.59634877331538205"/>
    <n v="21304.74"/>
    <n v="31475.329999999998"/>
    <n v="52780.07"/>
    <s v="Q1-2025"/>
    <x v="10"/>
    <s v="High"/>
    <n v="17"/>
    <d v="2023-01-01T00:00:00"/>
    <d v="2025-01-01T00:00:00"/>
    <n v="0"/>
    <x v="24"/>
  </r>
  <r>
    <s v="ORD-2024-851883"/>
    <d v="2024-01-13T00:00:00"/>
    <d v="2024-01-22T00:00:00"/>
    <s v="OK"/>
    <d v="2024-01-22T00:00:00"/>
    <n v="9"/>
    <x v="1"/>
    <x v="4"/>
    <s v="Mumbai"/>
    <s v="Enterprise"/>
    <x v="2"/>
    <x v="1"/>
    <x v="0"/>
    <x v="101"/>
    <n v="313.60000000000002"/>
    <s v="OK"/>
    <n v="334.28"/>
    <n v="334.28"/>
    <n v="0.14000000000000001"/>
    <s v="OK"/>
    <n v="0.14000000000000001"/>
    <n v="0"/>
    <n v="-9.0855458868905517E-2"/>
    <n v="6899.2000000000007"/>
    <n v="-574.62240000000111"/>
    <n v="6324.5775999999996"/>
    <s v="Q1-2024"/>
    <x v="9"/>
    <s v="Low"/>
    <n v="22"/>
    <d v="2023-01-01T00:00:00"/>
    <d v="2024-01-01T00:00:00"/>
    <n v="0"/>
    <x v="9"/>
  </r>
  <r>
    <s v="ORD-2025-662997"/>
    <d v="2025-03-31T00:00:00"/>
    <d v="2025-04-04T00:00:00"/>
    <s v="OK"/>
    <d v="2025-04-04T00:00:00"/>
    <n v="4"/>
    <x v="0"/>
    <x v="0"/>
    <s v="Nakuru"/>
    <s v="Corporate"/>
    <x v="4"/>
    <x v="0"/>
    <x v="4"/>
    <x v="102"/>
    <n v="862.08"/>
    <s v="OK"/>
    <n v="1952.83"/>
    <n v="1952.83"/>
    <n v="0"/>
    <s v="OK"/>
    <n v="0"/>
    <n v="0"/>
    <n v="0.5585483631447693"/>
    <n v="6034.56"/>
    <n v="7635.2499999999991"/>
    <n v="13669.81"/>
    <s v="Q1-2025"/>
    <x v="3"/>
    <s v="High"/>
    <n v="7"/>
    <d v="2023-01-01T00:00:00"/>
    <d v="2025-03-01T00:00:00"/>
    <n v="1"/>
    <x v="3"/>
  </r>
  <r>
    <s v="ORD-2024-478165"/>
    <d v="2024-12-05T00:00:00"/>
    <d v="2024-12-28T00:00:00"/>
    <s v="OK"/>
    <d v="2024-12-28T00:00:00"/>
    <n v="23"/>
    <x v="2"/>
    <x v="3"/>
    <s v="Vancouver"/>
    <s v="Corporate"/>
    <x v="4"/>
    <x v="9"/>
    <x v="6"/>
    <x v="103"/>
    <n v="107.03"/>
    <s v="OK"/>
    <n v="242.29"/>
    <n v="242.29"/>
    <n v="0.18"/>
    <s v="OK"/>
    <n v="0.18"/>
    <n v="0"/>
    <n v="0.46128857879440988"/>
    <n v="3210.9"/>
    <n v="2749.4340000000007"/>
    <n v="5960.3340000000007"/>
    <s v="Q4-2024"/>
    <x v="6"/>
    <s v="Low"/>
    <n v="30"/>
    <d v="2023-01-01T00:00:00"/>
    <d v="2024-12-01T00:00:00"/>
    <n v="0"/>
    <x v="6"/>
  </r>
  <r>
    <s v="ORD-2024-771210"/>
    <d v="2024-09-14T00:00:00"/>
    <d v="2024-10-05T00:00:00"/>
    <s v="OK"/>
    <d v="2024-10-05T00:00:00"/>
    <n v="21"/>
    <x v="1"/>
    <x v="9"/>
    <s v="Shanghai"/>
    <s v="Small Business"/>
    <x v="1"/>
    <x v="10"/>
    <x v="4"/>
    <x v="104"/>
    <n v="1405.56"/>
    <s v="OK"/>
    <n v="2968.87"/>
    <n v="2968.87"/>
    <n v="0.16900000000000001"/>
    <s v="OK"/>
    <n v="0.16900000000000001"/>
    <n v="0"/>
    <n v="0.4302856163327235"/>
    <n v="7027.7999999999993"/>
    <n v="5307.8548499999997"/>
    <n v="12335.654849999999"/>
    <s v="Q3-2024"/>
    <x v="29"/>
    <s v="High"/>
    <n v="5"/>
    <d v="2023-01-01T00:00:00"/>
    <d v="2024-09-01T00:00:00"/>
    <n v="0"/>
    <x v="30"/>
  </r>
  <r>
    <s v="ORD-2024-155337"/>
    <d v="2024-05-21T00:00:00"/>
    <d v="2024-05-27T00:00:00"/>
    <s v="OK"/>
    <d v="2024-05-27T00:00:00"/>
    <n v="6"/>
    <x v="0"/>
    <x v="11"/>
    <s v="Johannesburg"/>
    <s v="Non-Profit"/>
    <x v="1"/>
    <x v="12"/>
    <x v="0"/>
    <x v="105"/>
    <n v="1157.51"/>
    <s v="OK"/>
    <n v="1394.3"/>
    <n v="1394.3"/>
    <n v="0.27800000000000002"/>
    <s v="OK"/>
    <n v="0.27800000000000002"/>
    <n v="1"/>
    <n v="-0.14982388724333326"/>
    <n v="13890.119999999999"/>
    <n v="-1809.9048000000003"/>
    <n v="12080.215199999999"/>
    <s v="Q2-2024"/>
    <x v="7"/>
    <s v="Medium"/>
    <n v="12"/>
    <d v="2023-01-01T00:00:00"/>
    <d v="2024-05-01T00:00:00"/>
    <n v="1"/>
    <x v="7"/>
  </r>
  <r>
    <s v="ORD-2023-251563"/>
    <d v="2023-05-11T00:00:00"/>
    <d v="2023-06-07T00:00:00"/>
    <s v="OK"/>
    <d v="2023-06-07T00:00:00"/>
    <n v="27"/>
    <x v="0"/>
    <x v="0"/>
    <s v="Mombasa"/>
    <s v="Corporate"/>
    <x v="1"/>
    <x v="1"/>
    <x v="3"/>
    <x v="106"/>
    <n v="12.85"/>
    <s v="OK"/>
    <n v="15.41"/>
    <n v="15.41"/>
    <n v="0.13700000000000001"/>
    <s v="OK"/>
    <n v="0.13700000000000001"/>
    <n v="0"/>
    <n v="3.3749585489851353E-2"/>
    <n v="501.15"/>
    <n v="17.504369999999994"/>
    <n v="518.65436999999997"/>
    <s v="Q2-2023"/>
    <x v="15"/>
    <s v="Low"/>
    <n v="39"/>
    <d v="2023-01-01T00:00:00"/>
    <d v="2023-05-01T00:00:00"/>
    <n v="0"/>
    <x v="15"/>
  </r>
  <r>
    <s v="ORD-2024-286833"/>
    <d v="2024-08-14T00:00:00"/>
    <d v="2024-09-04T00:00:00"/>
    <s v="OK"/>
    <d v="2024-09-04T00:00:00"/>
    <n v="21"/>
    <x v="3"/>
    <x v="8"/>
    <s v="Manchester"/>
    <s v="Non-Profit"/>
    <x v="1"/>
    <x v="1"/>
    <x v="3"/>
    <x v="107"/>
    <n v="1138.8"/>
    <s v="OK"/>
    <n v="2250.81"/>
    <n v="2250.81"/>
    <n v="0.123"/>
    <s v="OK"/>
    <n v="0.123"/>
    <n v="0"/>
    <n v="0.42308872188756258"/>
    <n v="13665.599999999999"/>
    <n v="10021.924440000003"/>
    <n v="23687.524440000001"/>
    <s v="Q3-2024"/>
    <x v="21"/>
    <s v="High"/>
    <n v="12"/>
    <d v="2023-01-01T00:00:00"/>
    <d v="2024-08-01T00:00:00"/>
    <n v="0"/>
    <x v="20"/>
  </r>
  <r>
    <s v="ORD-2024-792558"/>
    <d v="2024-10-16T00:00:00"/>
    <d v="2024-11-08T00:00:00"/>
    <s v="OK"/>
    <d v="2024-11-08T00:00:00"/>
    <n v="23"/>
    <x v="1"/>
    <x v="2"/>
    <s v="Osaka"/>
    <s v="Small Business"/>
    <x v="0"/>
    <x v="1"/>
    <x v="2"/>
    <x v="108"/>
    <n v="82.14"/>
    <s v="OK"/>
    <n v="166.04"/>
    <n v="166.04"/>
    <n v="0"/>
    <s v="OK"/>
    <n v="0"/>
    <n v="0"/>
    <n v="0.50529992772825827"/>
    <n v="821.4"/>
    <n v="838.99999999999989"/>
    <n v="1660.3999999999999"/>
    <s v="Q4-2024"/>
    <x v="1"/>
    <s v="Low"/>
    <n v="10"/>
    <d v="2023-03-01T00:00:00"/>
    <d v="2024-10-01T00:00:00"/>
    <n v="0"/>
    <x v="20"/>
  </r>
  <r>
    <s v="ORD-2024-166150"/>
    <d v="2024-06-02T00:00:00"/>
    <d v="2024-06-08T00:00:00"/>
    <s v="OK"/>
    <d v="2024-06-08T00:00:00"/>
    <n v="6"/>
    <x v="0"/>
    <x v="0"/>
    <s v="Kisumu"/>
    <s v="Consumer"/>
    <x v="2"/>
    <x v="8"/>
    <x v="6"/>
    <x v="109"/>
    <n v="292.94"/>
    <s v="OK"/>
    <n v="356.55"/>
    <n v="356.55"/>
    <n v="0.22900000000000001"/>
    <s v="OK"/>
    <n v="0.22900000000000001"/>
    <n v="1"/>
    <n v="-6.5623669402751925E-2"/>
    <n v="585.88"/>
    <n v="-36.079899999999952"/>
    <n v="549.80010000000004"/>
    <s v="Q2-2024"/>
    <x v="17"/>
    <s v="Low"/>
    <n v="2"/>
    <d v="2023-01-01T00:00:00"/>
    <d v="2024-06-01T00:00:00"/>
    <n v="1"/>
    <x v="17"/>
  </r>
  <r>
    <s v="ORD-2024-909942"/>
    <d v="2024-06-09T00:00:00"/>
    <d v="2024-07-07T00:00:00"/>
    <s v="OK"/>
    <d v="2024-07-07T00:00:00"/>
    <n v="28"/>
    <x v="1"/>
    <x v="9"/>
    <s v="Shenzhen"/>
    <s v="Corporate"/>
    <x v="1"/>
    <x v="1"/>
    <x v="0"/>
    <x v="110"/>
    <n v="550.22"/>
    <s v="OK"/>
    <n v="1025.05"/>
    <n v="1025.05"/>
    <n v="0"/>
    <s v="OK"/>
    <n v="0"/>
    <n v="0"/>
    <n v="0.46322618408858102"/>
    <n v="14855.94"/>
    <n v="12820.409999999998"/>
    <n v="27676.35"/>
    <s v="Q2-2024"/>
    <x v="17"/>
    <s v="Medium"/>
    <n v="27"/>
    <d v="2023-01-01T00:00:00"/>
    <d v="2024-06-01T00:00:00"/>
    <n v="0"/>
    <x v="17"/>
  </r>
  <r>
    <s v="ORD-2024-223618"/>
    <d v="2024-06-10T00:00:00"/>
    <d v="2024-06-11T00:00:00"/>
    <s v="OK"/>
    <d v="2024-06-11T00:00:00"/>
    <n v="1"/>
    <x v="3"/>
    <x v="8"/>
    <s v="Birmingham"/>
    <s v="Small Business"/>
    <x v="2"/>
    <x v="12"/>
    <x v="4"/>
    <x v="111"/>
    <n v="1187.1300000000001"/>
    <s v="OK"/>
    <n v="1795.17"/>
    <n v="1795.17"/>
    <n v="1.2E-2"/>
    <s v="OK"/>
    <n v="1.2E-2"/>
    <n v="0"/>
    <n v="0.33067699271046663"/>
    <n v="20181.210000000003"/>
    <n v="9970.4653199999957"/>
    <n v="30151.675319999998"/>
    <s v="Q2-2024"/>
    <x v="17"/>
    <s v="Medium"/>
    <n v="17"/>
    <d v="2023-01-01T00:00:00"/>
    <d v="2024-06-01T00:00:00"/>
    <n v="1"/>
    <x v="17"/>
  </r>
  <r>
    <s v="ORD-2024-919471"/>
    <d v="2024-06-29T00:00:00"/>
    <d v="2024-07-26T00:00:00"/>
    <s v="OK"/>
    <d v="2024-07-26T00:00:00"/>
    <n v="27"/>
    <x v="0"/>
    <x v="11"/>
    <s v="Durban"/>
    <s v="Enterprise"/>
    <x v="3"/>
    <x v="5"/>
    <x v="2"/>
    <x v="112"/>
    <n v="5.36"/>
    <s v="OK"/>
    <n v="4.37"/>
    <n v="4.37"/>
    <n v="0.11799999999999999"/>
    <s v="OK"/>
    <n v="0.11799999999999999"/>
    <n v="0"/>
    <n v="-0.39064016148030545"/>
    <n v="48.24"/>
    <n v="-13.550940000000004"/>
    <n v="34.689059999999998"/>
    <s v="Q2-2024"/>
    <x v="17"/>
    <s v="Low"/>
    <n v="9"/>
    <d v="2023-01-01T00:00:00"/>
    <d v="2024-06-01T00:00:00"/>
    <n v="0"/>
    <x v="17"/>
  </r>
  <r>
    <s v="ORD-2025-649239"/>
    <d v="2025-01-17T00:00:00"/>
    <d v="2025-01-24T00:00:00"/>
    <s v="OK"/>
    <d v="2025-01-24T00:00:00"/>
    <n v="7"/>
    <x v="2"/>
    <x v="10"/>
    <s v="Austin"/>
    <s v="Enterprise"/>
    <x v="1"/>
    <x v="3"/>
    <x v="6"/>
    <x v="113"/>
    <n v="142.09"/>
    <s v="OK"/>
    <n v="218.5"/>
    <n v="218.5"/>
    <n v="0.11899999999999999"/>
    <s v="OK"/>
    <n v="0.11899999999999999"/>
    <n v="0"/>
    <n v="0.26186437816398561"/>
    <n v="1562.99"/>
    <n v="554.49349999999981"/>
    <n v="2117.4834999999998"/>
    <s v="Q1-2025"/>
    <x v="10"/>
    <s v="Low"/>
    <n v="11"/>
    <d v="2023-01-01T00:00:00"/>
    <d v="2025-01-01T00:00:00"/>
    <n v="1"/>
    <x v="24"/>
  </r>
  <r>
    <s v="ORD-2023-975863"/>
    <d v="2023-11-20T00:00:00"/>
    <d v="2023-12-05T00:00:00"/>
    <s v="OK"/>
    <d v="2023-12-05T00:00:00"/>
    <n v="15"/>
    <x v="1"/>
    <x v="2"/>
    <s v="Tokyo"/>
    <s v="Enterprise"/>
    <x v="0"/>
    <x v="4"/>
    <x v="2"/>
    <x v="114"/>
    <n v="354.24"/>
    <s v="OK"/>
    <n v="249.87"/>
    <n v="249.87"/>
    <n v="0"/>
    <s v="OK"/>
    <n v="0"/>
    <n v="0"/>
    <n v="-0.41769720254532355"/>
    <n v="2125.44"/>
    <n v="-626.22"/>
    <n v="1499.22"/>
    <s v="Q4-2023"/>
    <x v="30"/>
    <s v="Low"/>
    <n v="6"/>
    <d v="2023-03-01T00:00:00"/>
    <d v="2023-11-01T00:00:00"/>
    <n v="0"/>
    <x v="28"/>
  </r>
  <r>
    <s v="ORD-2023-869884"/>
    <d v="2023-03-02T00:00:00"/>
    <d v="2023-03-05T00:00:00"/>
    <s v="OK"/>
    <d v="2023-03-05T00:00:00"/>
    <n v="3"/>
    <x v="2"/>
    <x v="5"/>
    <s v="Brasília"/>
    <s v="Enterprise"/>
    <x v="4"/>
    <x v="3"/>
    <x v="5"/>
    <x v="115"/>
    <n v="1473.58"/>
    <s v="OK"/>
    <n v="3436.52"/>
    <n v="3436.52"/>
    <n v="0.108"/>
    <s v="OK"/>
    <n v="0.108"/>
    <n v="0"/>
    <n v="0.51928243813652564"/>
    <n v="11788.64"/>
    <n v="12734.366720000002"/>
    <n v="24523.006720000001"/>
    <s v="Q1-2023"/>
    <x v="22"/>
    <s v="High"/>
    <n v="8"/>
    <d v="2023-01-01T00:00:00"/>
    <d v="2023-03-01T00:00:00"/>
    <n v="1"/>
    <x v="21"/>
  </r>
  <r>
    <s v="ORD-2025-698069"/>
    <d v="2025-06-03T00:00:00"/>
    <d v="2025-06-10T00:00:00"/>
    <s v="OK"/>
    <d v="2025-06-10T00:00:00"/>
    <n v="7"/>
    <x v="2"/>
    <x v="3"/>
    <s v="Toronto"/>
    <s v="Consumer"/>
    <x v="3"/>
    <x v="7"/>
    <x v="1"/>
    <x v="116"/>
    <n v="75.180000000000007"/>
    <s v="OK"/>
    <n v="53.45"/>
    <n v="53.45"/>
    <n v="0.157"/>
    <s v="OK"/>
    <n v="0.157"/>
    <n v="0"/>
    <n v="-0.66850317421743144"/>
    <n v="1278.0600000000002"/>
    <n v="-512.06805000000008"/>
    <n v="765.99195000000009"/>
    <s v="Q2-2025"/>
    <x v="16"/>
    <s v="Low"/>
    <n v="17"/>
    <d v="2023-01-01T00:00:00"/>
    <d v="2025-06-01T00:00:00"/>
    <n v="1"/>
    <x v="16"/>
  </r>
  <r>
    <s v="ORD-2024-474999"/>
    <d v="2024-12-27T00:00:00"/>
    <d v="2025-01-02T00:00:00"/>
    <s v="OK"/>
    <d v="2025-01-02T00:00:00"/>
    <n v="6"/>
    <x v="3"/>
    <x v="6"/>
    <s v="Frankfurt"/>
    <s v="Education"/>
    <x v="4"/>
    <x v="9"/>
    <x v="4"/>
    <x v="117"/>
    <n v="1391.99"/>
    <s v="OK"/>
    <n v="3469.7"/>
    <n v="3469.7"/>
    <n v="0.184"/>
    <s v="OK"/>
    <n v="0.184"/>
    <n v="0"/>
    <n v="0.50835227886006973"/>
    <n v="32015.77"/>
    <n v="33103.559599999993"/>
    <n v="65119.329599999997"/>
    <s v="Q4-2024"/>
    <x v="6"/>
    <s v="High"/>
    <n v="23"/>
    <d v="2023-01-01T00:00:00"/>
    <d v="2024-12-01T00:00:00"/>
    <n v="1"/>
    <x v="6"/>
  </r>
  <r>
    <s v="ORD-2023-427304"/>
    <d v="2023-06-09T00:00:00"/>
    <d v="2023-06-19T00:00:00"/>
    <s v="OK"/>
    <d v="2023-06-19T00:00:00"/>
    <n v="10"/>
    <x v="1"/>
    <x v="9"/>
    <s v="Beijing"/>
    <s v="Enterprise"/>
    <x v="0"/>
    <x v="9"/>
    <x v="5"/>
    <x v="118"/>
    <n v="339.61"/>
    <s v="OK"/>
    <n v="621.02"/>
    <n v="621.02"/>
    <n v="7.0999999999999994E-2"/>
    <s v="OK"/>
    <n v="7.0999999999999994E-2"/>
    <n v="0"/>
    <n v="0.41134726129750981"/>
    <n v="3396.1000000000004"/>
    <n v="2373.1758"/>
    <n v="5769.2758000000003"/>
    <s v="Q2-2023"/>
    <x v="23"/>
    <s v="Medium"/>
    <n v="10"/>
    <d v="2023-01-01T00:00:00"/>
    <d v="2023-06-01T00:00:00"/>
    <n v="0"/>
    <x v="22"/>
  </r>
  <r>
    <s v="ORD-2025-956101"/>
    <d v="2025-07-09T00:00:00"/>
    <d v="2025-07-18T00:00:00"/>
    <s v="OK"/>
    <d v="2025-07-18T00:00:00"/>
    <n v="9"/>
    <x v="2"/>
    <x v="3"/>
    <s v="Vancouver"/>
    <s v="Education"/>
    <x v="3"/>
    <x v="2"/>
    <x v="4"/>
    <x v="119"/>
    <n v="57.96"/>
    <s v="OK"/>
    <n v="88.51"/>
    <n v="88.51"/>
    <n v="4.2999999999999997E-2"/>
    <s v="OK"/>
    <n v="4.2999999999999997E-2"/>
    <n v="0"/>
    <n v="0.3157353595877978"/>
    <n v="405.72"/>
    <n v="187.20848999999998"/>
    <n v="592.92849000000001"/>
    <s v="Q3-2025"/>
    <x v="13"/>
    <s v="Low"/>
    <n v="7"/>
    <d v="2023-01-01T00:00:00"/>
    <d v="2025-07-01T00:00:00"/>
    <n v="0"/>
    <x v="13"/>
  </r>
  <r>
    <s v="ORD-2025-184082"/>
    <d v="2025-06-19T00:00:00"/>
    <d v="2025-07-12T00:00:00"/>
    <s v="OK"/>
    <d v="2025-07-12T00:00:00"/>
    <n v="23"/>
    <x v="3"/>
    <x v="8"/>
    <s v="Unkown"/>
    <s v="Non-Profit"/>
    <x v="4"/>
    <x v="15"/>
    <x v="2"/>
    <x v="120"/>
    <n v="801.24"/>
    <s v="OK"/>
    <n v="1959.09"/>
    <n v="1959.09"/>
    <n v="0.123"/>
    <s v="OK"/>
    <n v="0.123"/>
    <n v="0"/>
    <n v="0.53365358650651762"/>
    <n v="18428.52"/>
    <n v="21088.284389999997"/>
    <n v="39516.804389999998"/>
    <s v="Q2-2025"/>
    <x v="16"/>
    <s v="High"/>
    <n v="23"/>
    <d v="2023-01-01T00:00:00"/>
    <d v="2025-06-01T00:00:00"/>
    <n v="0"/>
    <x v="16"/>
  </r>
  <r>
    <s v="ORD-2023-576840"/>
    <d v="2023-11-19T00:00:00"/>
    <d v="2023-12-13T00:00:00"/>
    <s v="OK"/>
    <d v="2023-12-13T00:00:00"/>
    <n v="24"/>
    <x v="3"/>
    <x v="7"/>
    <s v="Lyon"/>
    <s v="Non-Profit"/>
    <x v="4"/>
    <x v="10"/>
    <x v="5"/>
    <x v="121"/>
    <n v="1297.42"/>
    <s v="OK"/>
    <n v="2742.97"/>
    <n v="2742.97"/>
    <n v="6.9000000000000006E-2"/>
    <s v="OK"/>
    <n v="6.9000000000000006E-2"/>
    <n v="0"/>
    <n v="0.49194602961727291"/>
    <n v="11676.78"/>
    <n v="11306.565629999999"/>
    <n v="22983.34563"/>
    <s v="Q4-2023"/>
    <x v="30"/>
    <s v="High"/>
    <n v="9"/>
    <d v="2023-01-01T00:00:00"/>
    <d v="2023-11-01T00:00:00"/>
    <n v="0"/>
    <x v="31"/>
  </r>
  <r>
    <s v="ORD-2023-178249"/>
    <d v="2023-12-29T00:00:00"/>
    <d v="2024-01-20T00:00:00"/>
    <s v="OK"/>
    <d v="2024-01-20T00:00:00"/>
    <n v="22"/>
    <x v="0"/>
    <x v="0"/>
    <s v="Kisumu"/>
    <s v="Corporate"/>
    <x v="4"/>
    <x v="4"/>
    <x v="3"/>
    <x v="122"/>
    <n v="1395.49"/>
    <s v="OK"/>
    <n v="1679.42"/>
    <n v="1679.42"/>
    <n v="0.20300000000000001"/>
    <s v="OK"/>
    <n v="0.20300000000000001"/>
    <n v="1"/>
    <n v="-4.2579272490964493E-2"/>
    <n v="16745.88"/>
    <n v="-683.90712000000167"/>
    <n v="16061.972879999999"/>
    <s v="Q4-2023"/>
    <x v="4"/>
    <s v="Medium"/>
    <n v="12"/>
    <d v="2023-01-01T00:00:00"/>
    <d v="2023-12-01T00:00:00"/>
    <n v="0"/>
    <x v="27"/>
  </r>
  <r>
    <s v="ORD-2024-588972"/>
    <d v="2024-11-02T00:00:00"/>
    <d v="2024-11-29T00:00:00"/>
    <s v="OK"/>
    <d v="2024-11-29T00:00:00"/>
    <n v="27"/>
    <x v="2"/>
    <x v="5"/>
    <s v="Brasília"/>
    <s v="Small Business"/>
    <x v="4"/>
    <x v="2"/>
    <x v="2"/>
    <x v="123"/>
    <n v="1363.51"/>
    <s v="OK"/>
    <n v="1433.9"/>
    <n v="1433.9"/>
    <n v="5.7000000000000002E-2"/>
    <s v="OK"/>
    <n v="5.7000000000000002E-2"/>
    <n v="0"/>
    <n v="-8.3882346842037592E-3"/>
    <n v="10908.08"/>
    <n v="-90.738400000000183"/>
    <n v="10817.3416"/>
    <s v="Q4-2024"/>
    <x v="18"/>
    <s v="Medium"/>
    <n v="8"/>
    <d v="2023-01-01T00:00:00"/>
    <d v="2024-11-01T00:00:00"/>
    <n v="0"/>
    <x v="10"/>
  </r>
  <r>
    <s v="ORD-2023-603238"/>
    <d v="2023-08-21T00:00:00"/>
    <d v="2023-09-04T00:00:00"/>
    <s v="OK"/>
    <d v="2023-09-04T00:00:00"/>
    <n v="14"/>
    <x v="2"/>
    <x v="3"/>
    <s v="Montreal"/>
    <s v="Education"/>
    <x v="3"/>
    <x v="9"/>
    <x v="0"/>
    <x v="124"/>
    <n v="178.19"/>
    <s v="OK"/>
    <n v="284.43"/>
    <n v="284.43"/>
    <n v="8.8999999999999996E-2"/>
    <s v="OK"/>
    <n v="8.8999999999999996E-2"/>
    <n v="0"/>
    <n v="0.31231500302972742"/>
    <n v="1425.52"/>
    <n v="647.40584000000035"/>
    <n v="2072.9258400000003"/>
    <s v="Q3-2023"/>
    <x v="25"/>
    <s v="Low"/>
    <n v="8"/>
    <d v="2023-01-01T00:00:00"/>
    <d v="2023-08-01T00:00:00"/>
    <n v="0"/>
    <x v="25"/>
  </r>
  <r>
    <s v="ORD-2023-883066"/>
    <d v="2023-08-12T00:00:00"/>
    <d v="2023-09-06T00:00:00"/>
    <s v="OK"/>
    <d v="2023-09-06T00:00:00"/>
    <n v="25"/>
    <x v="1"/>
    <x v="9"/>
    <s v="Shanghai"/>
    <s v="Small Business"/>
    <x v="0"/>
    <x v="5"/>
    <x v="0"/>
    <x v="125"/>
    <n v="950.77"/>
    <s v="OK"/>
    <n v="694.78"/>
    <n v="694.78"/>
    <n v="8.4000000000000005E-2"/>
    <s v="OK"/>
    <n v="8.4000000000000005E-2"/>
    <n v="0"/>
    <n v="-0.49393839097821279"/>
    <n v="13310.779999999999"/>
    <n v="-4400.9212799999987"/>
    <n v="8909.8587200000002"/>
    <s v="Q3-2023"/>
    <x v="25"/>
    <s v="Medium"/>
    <n v="14"/>
    <d v="2023-01-01T00:00:00"/>
    <d v="2023-08-01T00:00:00"/>
    <n v="0"/>
    <x v="25"/>
  </r>
  <r>
    <s v="ORD-2024-584090"/>
    <d v="2024-06-07T00:00:00"/>
    <d v="2024-06-26T00:00:00"/>
    <s v="OK"/>
    <d v="2024-06-26T00:00:00"/>
    <n v="19"/>
    <x v="3"/>
    <x v="6"/>
    <s v="Berlin"/>
    <s v="Non-Profit"/>
    <x v="2"/>
    <x v="12"/>
    <x v="0"/>
    <x v="126"/>
    <n v="1064.32"/>
    <s v="OK"/>
    <n v="1848.39"/>
    <n v="1848.39"/>
    <n v="7.2999999999999995E-2"/>
    <s v="OK"/>
    <n v="7.2999999999999995E-2"/>
    <n v="0"/>
    <n v="0.3788465827921631"/>
    <n v="40444.159999999996"/>
    <n v="24667.226140000013"/>
    <n v="65111.38614000001"/>
    <s v="Q2-2024"/>
    <x v="17"/>
    <s v="Medium"/>
    <n v="38"/>
    <d v="2023-01-01T00:00:00"/>
    <d v="2024-06-01T00:00:00"/>
    <n v="0"/>
    <x v="17"/>
  </r>
  <r>
    <s v="ORD-2025-537785"/>
    <d v="2025-08-05T00:00:00"/>
    <d v="2025-08-14T00:00:00"/>
    <s v="OK"/>
    <d v="2025-08-14T00:00:00"/>
    <n v="9"/>
    <x v="3"/>
    <x v="8"/>
    <s v="London"/>
    <s v="Non-Profit"/>
    <x v="4"/>
    <x v="6"/>
    <x v="0"/>
    <x v="127"/>
    <n v="41.76"/>
    <s v="OK"/>
    <n v="45.19"/>
    <n v="45.19"/>
    <n v="0.17899999999999999"/>
    <s v="OK"/>
    <n v="0.17899999999999999"/>
    <n v="0"/>
    <n v="-0.12557643340514638"/>
    <n v="960.4799999999999"/>
    <n v="-107.15723000000003"/>
    <n v="853.32276999999988"/>
    <s v="Q3-2025"/>
    <x v="28"/>
    <s v="Low"/>
    <n v="23"/>
    <d v="2023-01-01T00:00:00"/>
    <d v="2025-08-01T00:00:00"/>
    <n v="0"/>
    <x v="29"/>
  </r>
  <r>
    <s v="ORD-2024-605518"/>
    <d v="2024-05-30T00:00:00"/>
    <d v="2024-06-13T00:00:00"/>
    <s v="OK"/>
    <d v="2024-06-13T00:00:00"/>
    <n v="14"/>
    <x v="2"/>
    <x v="10"/>
    <s v="San Francisco"/>
    <s v="Small Business"/>
    <x v="0"/>
    <x v="9"/>
    <x v="3"/>
    <x v="128"/>
    <n v="157.78"/>
    <s v="OK"/>
    <n v="361.1"/>
    <n v="361.1"/>
    <n v="0.187"/>
    <s v="OK"/>
    <n v="0.187"/>
    <n v="0"/>
    <n v="0.46255513510549112"/>
    <n v="1420.02"/>
    <n v="1222.1486999999997"/>
    <n v="2642.1686999999997"/>
    <s v="Q2-2024"/>
    <x v="7"/>
    <s v="Low"/>
    <n v="9"/>
    <d v="2023-01-01T00:00:00"/>
    <d v="2024-05-01T00:00:00"/>
    <n v="0"/>
    <x v="7"/>
  </r>
  <r>
    <s v="ORD-2023-521818"/>
    <d v="2023-01-22T00:00:00"/>
    <d v="2023-01-30T00:00:00"/>
    <s v="OK"/>
    <d v="2023-01-30T00:00:00"/>
    <n v="8"/>
    <x v="2"/>
    <x v="10"/>
    <s v="San Francisco"/>
    <s v="Small Business"/>
    <x v="1"/>
    <x v="8"/>
    <x v="2"/>
    <x v="129"/>
    <n v="413.52"/>
    <s v="OK"/>
    <n v="1004.34"/>
    <n v="1004.34"/>
    <n v="0.111"/>
    <s v="OK"/>
    <n v="0.111"/>
    <n v="0"/>
    <n v="0.53685817948304593"/>
    <n v="7443.36"/>
    <n v="8628.0886800000007"/>
    <n v="16071.44868"/>
    <s v="Q1-2023"/>
    <x v="5"/>
    <s v="Medium"/>
    <n v="18"/>
    <d v="2023-01-01T00:00:00"/>
    <d v="2023-01-01T00:00:00"/>
    <n v="0"/>
    <x v="5"/>
  </r>
  <r>
    <s v="ORD-2025-650719"/>
    <d v="2025-02-12T00:00:00"/>
    <d v="2025-02-28T00:00:00"/>
    <s v="OK"/>
    <d v="2025-02-28T00:00:00"/>
    <n v="16"/>
    <x v="2"/>
    <x v="5"/>
    <s v="São Paulo"/>
    <s v="Non-Profit"/>
    <x v="4"/>
    <x v="5"/>
    <x v="5"/>
    <x v="130"/>
    <n v="414.95"/>
    <s v="OK"/>
    <n v="1027.73"/>
    <n v="1027.73"/>
    <n v="6.3E-2"/>
    <s v="OK"/>
    <n v="6.3E-2"/>
    <n v="0"/>
    <n v="0.56909935513815568"/>
    <n v="3319.6"/>
    <n v="4384.2640800000008"/>
    <n v="7703.8640800000003"/>
    <s v="Q1-2025"/>
    <x v="26"/>
    <s v="Medium"/>
    <n v="8"/>
    <d v="2023-01-01T00:00:00"/>
    <d v="2025-02-01T00:00:00"/>
    <n v="0"/>
    <x v="26"/>
  </r>
  <r>
    <s v="ORD-2025-501927"/>
    <d v="2025-03-03T00:00:00"/>
    <d v="2025-03-24T00:00:00"/>
    <s v="OK"/>
    <d v="2025-03-24T00:00:00"/>
    <n v="21"/>
    <x v="0"/>
    <x v="1"/>
    <s v="Abuja"/>
    <s v="Enterprise"/>
    <x v="4"/>
    <x v="10"/>
    <x v="6"/>
    <x v="131"/>
    <n v="555.95000000000005"/>
    <s v="OK"/>
    <n v="468.09"/>
    <n v="468.09"/>
    <n v="0.14199999999999999"/>
    <s v="OK"/>
    <n v="0.14199999999999999"/>
    <n v="0"/>
    <n v="-0.38426450674095375"/>
    <n v="6115.4500000000007"/>
    <n v="-1697.6165800000008"/>
    <n v="4417.8334199999999"/>
    <s v="Q1-2025"/>
    <x v="3"/>
    <s v="Low"/>
    <n v="11"/>
    <d v="2023-01-01T00:00:00"/>
    <d v="2025-03-01T00:00:00"/>
    <n v="0"/>
    <x v="3"/>
  </r>
  <r>
    <s v="ORD-2023-430904"/>
    <d v="2023-01-27T00:00:00"/>
    <d v="2023-01-31T00:00:00"/>
    <s v="OK"/>
    <d v="2023-01-31T00:00:00"/>
    <n v="4"/>
    <x v="3"/>
    <x v="8"/>
    <s v="Manchester"/>
    <s v="Enterprise"/>
    <x v="1"/>
    <x v="13"/>
    <x v="4"/>
    <x v="132"/>
    <n v="941.2"/>
    <s v="OK"/>
    <n v="668.02"/>
    <n v="668.02"/>
    <n v="0.22"/>
    <s v="OK"/>
    <n v="0.22"/>
    <n v="1"/>
    <n v="-0.80633314371825193"/>
    <n v="15059.2"/>
    <n v="-6722.3104000000003"/>
    <n v="8336.8896000000004"/>
    <s v="Q1-2023"/>
    <x v="5"/>
    <s v="Medium"/>
    <n v="16"/>
    <d v="2023-01-01T00:00:00"/>
    <d v="2023-01-01T00:00:00"/>
    <n v="1"/>
    <x v="5"/>
  </r>
  <r>
    <s v="ORD-2025-354346"/>
    <d v="2025-01-09T00:00:00"/>
    <d v="2025-01-15T00:00:00"/>
    <s v="OK"/>
    <d v="2025-01-15T00:00:00"/>
    <n v="6"/>
    <x v="1"/>
    <x v="9"/>
    <s v="Beijing"/>
    <s v="Education"/>
    <x v="1"/>
    <x v="0"/>
    <x v="3"/>
    <x v="133"/>
    <n v="304.77999999999997"/>
    <s v="OK"/>
    <n v="537.27"/>
    <n v="537.27"/>
    <n v="0.187"/>
    <s v="OK"/>
    <n v="0.187"/>
    <n v="0"/>
    <n v="0.3022444044307549"/>
    <n v="2438.2399999999998"/>
    <n v="1056.16408"/>
    <n v="3494.4040799999998"/>
    <s v="Q1-2025"/>
    <x v="10"/>
    <s v="Low"/>
    <n v="8"/>
    <d v="2023-01-01T00:00:00"/>
    <d v="2025-01-01T00:00:00"/>
    <n v="1"/>
    <x v="24"/>
  </r>
  <r>
    <s v="ORD-2024-164288"/>
    <d v="2024-12-21T00:00:00"/>
    <d v="2024-12-26T00:00:00"/>
    <s v="OK"/>
    <d v="2024-12-26T00:00:00"/>
    <n v="5"/>
    <x v="2"/>
    <x v="10"/>
    <s v="San Francisco"/>
    <s v="Consumer"/>
    <x v="2"/>
    <x v="12"/>
    <x v="1"/>
    <x v="134"/>
    <n v="699.57"/>
    <s v="OK"/>
    <n v="572.71"/>
    <n v="572.71"/>
    <n v="0.192"/>
    <s v="OK"/>
    <n v="0.192"/>
    <n v="0"/>
    <n v="-0.51176765805651114"/>
    <n v="18188.82"/>
    <n v="-6157.3283199999987"/>
    <n v="12031.491680000001"/>
    <s v="Q4-2024"/>
    <x v="6"/>
    <s v="Low"/>
    <n v="26"/>
    <d v="2023-01-01T00:00:00"/>
    <d v="2024-12-01T00:00:00"/>
    <n v="1"/>
    <x v="6"/>
  </r>
  <r>
    <s v="ORD-2023-867285"/>
    <d v="2023-04-12T00:00:00"/>
    <d v="2023-04-17T00:00:00"/>
    <s v="OK"/>
    <d v="2023-04-17T00:00:00"/>
    <n v="5"/>
    <x v="3"/>
    <x v="7"/>
    <s v="Lyon"/>
    <s v="Enterprise"/>
    <x v="4"/>
    <x v="6"/>
    <x v="5"/>
    <x v="135"/>
    <n v="1087.81"/>
    <s v="OK"/>
    <n v="2323.87"/>
    <n v="2323.87"/>
    <n v="9.4E-2"/>
    <s v="OK"/>
    <n v="9.4E-2"/>
    <n v="0"/>
    <n v="0.48333026839572651"/>
    <n v="14141.529999999999"/>
    <n v="13229.010859999999"/>
    <n v="27370.540859999997"/>
    <s v="Q2-2023"/>
    <x v="12"/>
    <s v="High"/>
    <n v="13"/>
    <d v="2023-01-01T00:00:00"/>
    <d v="2023-04-01T00:00:00"/>
    <n v="1"/>
    <x v="12"/>
  </r>
  <r>
    <s v="ORD-2024-836421"/>
    <d v="2024-12-14T00:00:00"/>
    <d v="2025-01-12T00:00:00"/>
    <s v="OK"/>
    <d v="2025-01-12T00:00:00"/>
    <n v="29"/>
    <x v="1"/>
    <x v="9"/>
    <s v="Shenzhen"/>
    <s v="Education"/>
    <x v="1"/>
    <x v="1"/>
    <x v="0"/>
    <x v="136"/>
    <n v="1412.15"/>
    <s v="OK"/>
    <n v="1631.04"/>
    <n v="1631.04"/>
    <n v="8.9999999999999993E-3"/>
    <s v="OK"/>
    <n v="8.9999999999999993E-3"/>
    <n v="0"/>
    <n v="0.12633977526203535"/>
    <n v="8472.9000000000015"/>
    <n v="1225.2638399999978"/>
    <n v="9698.1638399999993"/>
    <s v="Q4-2024"/>
    <x v="6"/>
    <s v="Medium"/>
    <n v="6"/>
    <d v="2023-01-01T00:00:00"/>
    <d v="2024-12-01T00:00:00"/>
    <n v="0"/>
    <x v="6"/>
  </r>
  <r>
    <s v="ORD-2023-613287"/>
    <d v="2023-03-31T00:00:00"/>
    <d v="2023-04-12T00:00:00"/>
    <s v="OK"/>
    <d v="2023-04-12T00:00:00"/>
    <n v="12"/>
    <x v="0"/>
    <x v="0"/>
    <s v="Mombasa"/>
    <s v="Small Business"/>
    <x v="1"/>
    <x v="0"/>
    <x v="3"/>
    <x v="137"/>
    <n v="304.22000000000003"/>
    <s v="OK"/>
    <n v="393.31"/>
    <n v="393.31"/>
    <n v="0.26500000000000001"/>
    <s v="OK"/>
    <n v="0.26500000000000001"/>
    <n v="1"/>
    <n v="-5.2362670424759034E-2"/>
    <n v="4563.3"/>
    <n v="-227.05725000000075"/>
    <n v="4336.2427499999994"/>
    <s v="Q1-2023"/>
    <x v="22"/>
    <s v="Low"/>
    <n v="15"/>
    <d v="2023-01-01T00:00:00"/>
    <d v="2023-03-01T00:00:00"/>
    <n v="0"/>
    <x v="21"/>
  </r>
  <r>
    <s v="ORD-2024-783321"/>
    <d v="2024-11-20T00:00:00"/>
    <d v="2024-12-15T00:00:00"/>
    <s v="OK"/>
    <d v="2024-12-15T00:00:00"/>
    <n v="25"/>
    <x v="3"/>
    <x v="7"/>
    <s v="Paris"/>
    <s v="Corporate"/>
    <x v="1"/>
    <x v="3"/>
    <x v="1"/>
    <x v="138"/>
    <n v="1203.58"/>
    <s v="OK"/>
    <n v="1856.16"/>
    <n v="1856.16"/>
    <n v="0.129"/>
    <s v="OK"/>
    <n v="0.129"/>
    <n v="0"/>
    <n v="0.25553994860295032"/>
    <n v="26478.76"/>
    <n v="9088.9779200000085"/>
    <n v="35567.737920000007"/>
    <s v="Q4-2024"/>
    <x v="18"/>
    <s v="Medium"/>
    <n v="22"/>
    <d v="2023-01-01T00:00:00"/>
    <d v="2024-11-01T00:00:00"/>
    <n v="0"/>
    <x v="10"/>
  </r>
  <r>
    <s v="ORD-2024-232632"/>
    <d v="2024-02-14T00:00:00"/>
    <d v="2024-02-14T00:00:00"/>
    <s v="OK"/>
    <d v="2024-02-14T00:00:00"/>
    <n v="0"/>
    <x v="1"/>
    <x v="9"/>
    <s v="Beijing"/>
    <s v="Corporate"/>
    <x v="3"/>
    <x v="4"/>
    <x v="6"/>
    <x v="139"/>
    <n v="65.930000000000007"/>
    <s v="OK"/>
    <n v="84.9"/>
    <n v="84.9"/>
    <n v="0.25900000000000001"/>
    <s v="OK"/>
    <n v="0.25900000000000001"/>
    <n v="1"/>
    <n v="-4.7990093926489688E-2"/>
    <n v="1516.39"/>
    <n v="-69.439300000000003"/>
    <n v="1446.9507000000001"/>
    <s v="Q1-2024"/>
    <x v="31"/>
    <s v="Low"/>
    <n v="23"/>
    <d v="2023-01-01T00:00:00"/>
    <d v="2024-02-01T00:00:00"/>
    <n v="1"/>
    <x v="32"/>
  </r>
  <r>
    <s v="ORD-2023-906481"/>
    <d v="2023-05-02T00:00:00"/>
    <d v="2023-05-18T00:00:00"/>
    <s v="OK"/>
    <d v="2023-05-18T00:00:00"/>
    <n v="16"/>
    <x v="1"/>
    <x v="4"/>
    <s v="Delhi"/>
    <s v="Small Business"/>
    <x v="2"/>
    <x v="11"/>
    <x v="5"/>
    <x v="140"/>
    <n v="1463.92"/>
    <s v="OK"/>
    <n v="2252.2399999999998"/>
    <n v="2252.2399999999998"/>
    <n v="0.11799999999999999"/>
    <s v="OK"/>
    <n v="0.11799999999999999"/>
    <n v="0"/>
    <n v="0.26305667130040061"/>
    <n v="64412.480000000003"/>
    <n v="22992.449919999992"/>
    <n v="87404.929919999995"/>
    <s v="Q2-2023"/>
    <x v="15"/>
    <s v="High"/>
    <n v="44"/>
    <d v="2023-01-01T00:00:00"/>
    <d v="2023-05-01T00:00:00"/>
    <n v="0"/>
    <x v="15"/>
  </r>
  <r>
    <s v="ORD-2024-902741"/>
    <d v="2024-12-23T00:00:00"/>
    <d v="2025-01-11T00:00:00"/>
    <s v="OK"/>
    <d v="2025-01-11T00:00:00"/>
    <n v="19"/>
    <x v="3"/>
    <x v="6"/>
    <s v="Berlin"/>
    <s v="Education"/>
    <x v="0"/>
    <x v="11"/>
    <x v="3"/>
    <x v="141"/>
    <n v="501.81"/>
    <s v="OK"/>
    <n v="921.62"/>
    <n v="921.62"/>
    <n v="0.01"/>
    <s v="OK"/>
    <n v="0.01"/>
    <n v="0"/>
    <n v="0.45001325071202031"/>
    <n v="4516.29"/>
    <n v="3695.3442000000005"/>
    <n v="8211.6342000000004"/>
    <s v="Q4-2024"/>
    <x v="6"/>
    <s v="Medium"/>
    <n v="9"/>
    <d v="2023-01-01T00:00:00"/>
    <d v="2024-12-01T00:00:00"/>
    <n v="0"/>
    <x v="6"/>
  </r>
  <r>
    <s v="ORD-2023-912395"/>
    <d v="2023-07-26T00:00:00"/>
    <d v="2023-08-25T00:00:00"/>
    <s v="OK"/>
    <d v="2023-08-25T00:00:00"/>
    <n v="30"/>
    <x v="2"/>
    <x v="10"/>
    <s v="New York"/>
    <s v="Consumer"/>
    <x v="0"/>
    <x v="12"/>
    <x v="6"/>
    <x v="142"/>
    <n v="1261.48"/>
    <s v="OK"/>
    <n v="1643.18"/>
    <n v="1643.18"/>
    <n v="0.151"/>
    <s v="OK"/>
    <n v="0.151"/>
    <n v="0"/>
    <n v="9.5752037357079045E-2"/>
    <n v="29014.04"/>
    <n v="3072.3358599999992"/>
    <n v="32086.37586"/>
    <s v="Q3-2023"/>
    <x v="24"/>
    <s v="Medium"/>
    <n v="23"/>
    <d v="2023-01-01T00:00:00"/>
    <d v="2023-07-01T00:00:00"/>
    <n v="0"/>
    <x v="23"/>
  </r>
  <r>
    <s v="ORD-2024-389102"/>
    <d v="2024-06-15T00:00:00"/>
    <d v="2024-07-06T00:00:00"/>
    <s v="OK"/>
    <d v="2024-07-06T00:00:00"/>
    <n v="21"/>
    <x v="2"/>
    <x v="3"/>
    <s v="Toronto"/>
    <s v="Enterprise"/>
    <x v="3"/>
    <x v="4"/>
    <x v="1"/>
    <x v="143"/>
    <n v="817.23"/>
    <s v="OK"/>
    <n v="1467.17"/>
    <n v="1467.17"/>
    <n v="0.245"/>
    <s v="OK"/>
    <n v="0.245"/>
    <n v="1"/>
    <n v="0.26223693160328893"/>
    <n v="7355.07"/>
    <n v="2614.3501500000002"/>
    <n v="9969.4201499999999"/>
    <s v="Q2-2024"/>
    <x v="17"/>
    <s v="Medium"/>
    <n v="9"/>
    <d v="2023-01-01T00:00:00"/>
    <d v="2024-06-01T00:00:00"/>
    <n v="0"/>
    <x v="17"/>
  </r>
  <r>
    <s v="ORD-2023-309373"/>
    <d v="2023-07-05T00:00:00"/>
    <d v="2023-07-14T00:00:00"/>
    <s v="OK"/>
    <d v="2023-07-14T00:00:00"/>
    <n v="9"/>
    <x v="2"/>
    <x v="5"/>
    <s v="Brasília"/>
    <s v="Enterprise"/>
    <x v="4"/>
    <x v="5"/>
    <x v="2"/>
    <x v="144"/>
    <n v="578.85"/>
    <s v="OK"/>
    <n v="998.76"/>
    <n v="998.76"/>
    <n v="8.2000000000000003E-2"/>
    <s v="OK"/>
    <n v="8.2000000000000003E-2"/>
    <n v="0"/>
    <n v="0.36866158480960831"/>
    <n v="16207.800000000001"/>
    <n v="9464.3270399999983"/>
    <n v="25672.127039999999"/>
    <s v="Q3-2023"/>
    <x v="24"/>
    <s v="Medium"/>
    <n v="28"/>
    <d v="2023-01-01T00:00:00"/>
    <d v="2023-07-01T00:00:00"/>
    <n v="0"/>
    <x v="23"/>
  </r>
  <r>
    <s v="ORD-2023-825495"/>
    <d v="2023-11-30T00:00:00"/>
    <d v="2023-12-07T00:00:00"/>
    <s v="Check"/>
    <d v="2023-11-29T00:00:00"/>
    <n v="7"/>
    <x v="0"/>
    <x v="11"/>
    <s v="Durban"/>
    <s v="Small Business"/>
    <x v="2"/>
    <x v="6"/>
    <x v="4"/>
    <x v="145"/>
    <n v="275.56"/>
    <s v="OK"/>
    <n v="630.72"/>
    <n v="630.72"/>
    <n v="0.107"/>
    <s v="OK"/>
    <n v="0.107"/>
    <n v="0"/>
    <n v="0.5107530638831933"/>
    <n v="6337.88"/>
    <n v="6616.4780800000017"/>
    <n v="12954.358080000002"/>
    <s v="Q4-2023"/>
    <x v="30"/>
    <s v="Medium"/>
    <n v="23"/>
    <d v="2023-01-01T00:00:00"/>
    <d v="2023-11-01T00:00:00"/>
    <n v="1"/>
    <x v="31"/>
  </r>
  <r>
    <s v="ORD-2025-244832"/>
    <d v="2025-09-11T00:00:00"/>
    <d v="2025-09-28T00:00:00"/>
    <s v="OK"/>
    <d v="2025-09-28T00:00:00"/>
    <n v="17"/>
    <x v="0"/>
    <x v="0"/>
    <s v="Nairobi"/>
    <s v="Non-Profit"/>
    <x v="3"/>
    <x v="1"/>
    <x v="4"/>
    <x v="146"/>
    <n v="891.46"/>
    <s v="OK"/>
    <n v="728.61"/>
    <n v="728.61"/>
    <n v="0.185"/>
    <s v="OK"/>
    <n v="0.185"/>
    <n v="0"/>
    <n v="-0.50123653383874167"/>
    <n v="5348.76"/>
    <n v="-1785.8571000000006"/>
    <n v="3562.9028999999996"/>
    <s v="Q3-2025"/>
    <x v="11"/>
    <s v="Medium"/>
    <n v="6"/>
    <d v="2023-01-01T00:00:00"/>
    <d v="2025-09-01T00:00:00"/>
    <n v="0"/>
    <x v="11"/>
  </r>
  <r>
    <s v="ORD-2024-211453"/>
    <d v="2024-04-04T00:00:00"/>
    <d v="2024-04-24T00:00:00"/>
    <s v="OK"/>
    <d v="2024-04-24T00:00:00"/>
    <n v="20"/>
    <x v="3"/>
    <x v="6"/>
    <s v="Frankfurt"/>
    <s v="Non-Profit"/>
    <x v="4"/>
    <x v="7"/>
    <x v="6"/>
    <x v="147"/>
    <n v="683.42"/>
    <s v="OK"/>
    <n v="951.51"/>
    <n v="951.51"/>
    <n v="0"/>
    <s v="OK"/>
    <n v="0"/>
    <n v="0"/>
    <n v="0.28175216235247136"/>
    <n v="9567.8799999999992"/>
    <n v="3753.26"/>
    <n v="13321.14"/>
    <s v="Q2-2024"/>
    <x v="20"/>
    <s v="Medium"/>
    <n v="14"/>
    <d v="2023-01-01T00:00:00"/>
    <d v="2024-04-01T00:00:00"/>
    <n v="0"/>
    <x v="19"/>
  </r>
  <r>
    <s v="ORD-2023-192324"/>
    <d v="2023-09-14T00:00:00"/>
    <d v="2023-09-16T00:00:00"/>
    <s v="OK"/>
    <d v="2023-09-16T00:00:00"/>
    <n v="2"/>
    <x v="3"/>
    <x v="7"/>
    <s v="Lyon"/>
    <s v="Non-Profit"/>
    <x v="4"/>
    <x v="5"/>
    <x v="1"/>
    <x v="148"/>
    <n v="376.83"/>
    <s v="OK"/>
    <n v="732.88"/>
    <n v="732.88"/>
    <n v="0.188"/>
    <s v="OK"/>
    <n v="0.188"/>
    <n v="0"/>
    <n v="0.36677716040852132"/>
    <n v="9420.75"/>
    <n v="5456.7140000000018"/>
    <n v="14877.464000000002"/>
    <s v="Q3-2023"/>
    <x v="27"/>
    <s v="Medium"/>
    <n v="25"/>
    <d v="2023-01-01T00:00:00"/>
    <d v="2023-09-01T00:00:00"/>
    <n v="1"/>
    <x v="28"/>
  </r>
  <r>
    <s v="ORD-2024-438404"/>
    <d v="2024-09-23T00:00:00"/>
    <d v="2024-10-18T00:00:00"/>
    <s v="OK"/>
    <d v="2024-10-18T00:00:00"/>
    <n v="25"/>
    <x v="2"/>
    <x v="3"/>
    <s v="Vancouver"/>
    <s v="Small Business"/>
    <x v="1"/>
    <x v="13"/>
    <x v="3"/>
    <x v="149"/>
    <n v="1297"/>
    <s v="OK"/>
    <n v="2411.52"/>
    <n v="2411.52"/>
    <n v="2.1000000000000001E-2"/>
    <s v="OK"/>
    <n v="2.1000000000000001E-2"/>
    <n v="0"/>
    <n v="0.45062813239385913"/>
    <n v="23346"/>
    <n v="19149.805439999996"/>
    <n v="42495.805439999996"/>
    <s v="Q3-2024"/>
    <x v="29"/>
    <s v="High"/>
    <n v="18"/>
    <d v="2023-01-01T00:00:00"/>
    <d v="2024-09-01T00:00:00"/>
    <n v="0"/>
    <x v="30"/>
  </r>
  <r>
    <s v="ORD-2025-246470"/>
    <d v="2025-04-16T00:00:00"/>
    <d v="2025-05-16T00:00:00"/>
    <s v="OK"/>
    <d v="2025-05-16T00:00:00"/>
    <n v="30"/>
    <x v="2"/>
    <x v="3"/>
    <s v="Montreal"/>
    <s v="Enterprise"/>
    <x v="3"/>
    <x v="11"/>
    <x v="1"/>
    <x v="150"/>
    <n v="763.32"/>
    <s v="OK"/>
    <n v="568.29"/>
    <n v="568.29"/>
    <n v="0.13100000000000001"/>
    <s v="OK"/>
    <n v="0.13100000000000001"/>
    <n v="0"/>
    <n v="-0.54567026134426555"/>
    <n v="12213.12"/>
    <n v="-4311.6158400000013"/>
    <n v="7901.5041599999995"/>
    <s v="Q2-2025"/>
    <x v="19"/>
    <s v="Low"/>
    <n v="16"/>
    <d v="2023-01-01T00:00:00"/>
    <d v="2025-04-01T00:00:00"/>
    <n v="0"/>
    <x v="18"/>
  </r>
  <r>
    <s v="ORD-2023-497686"/>
    <d v="2023-07-03T00:00:00"/>
    <d v="2023-07-23T00:00:00"/>
    <s v="OK"/>
    <d v="2023-07-23T00:00:00"/>
    <n v="20"/>
    <x v="0"/>
    <x v="11"/>
    <s v="Johannesburg"/>
    <s v="Small Business"/>
    <x v="3"/>
    <x v="9"/>
    <x v="4"/>
    <x v="151"/>
    <n v="1001.96"/>
    <s v="OK"/>
    <n v="1254.95"/>
    <n v="1254.95"/>
    <n v="4.4999999999999998E-2"/>
    <s v="OK"/>
    <n v="4.4999999999999998E-2"/>
    <n v="0"/>
    <n v="0.16397244920585699"/>
    <n v="18035.28"/>
    <n v="3537.3105000000032"/>
    <n v="21572.590500000002"/>
    <s v="Q3-2023"/>
    <x v="24"/>
    <s v="Medium"/>
    <n v="18"/>
    <d v="2023-01-01T00:00:00"/>
    <d v="2023-07-01T00:00:00"/>
    <n v="0"/>
    <x v="23"/>
  </r>
  <r>
    <s v="ORD-2023-596758"/>
    <d v="2023-12-07T00:00:00"/>
    <d v="2023-12-14T00:00:00"/>
    <s v="Check"/>
    <d v="2023-12-05T00:00:00"/>
    <n v="7"/>
    <x v="1"/>
    <x v="2"/>
    <s v="Tokyo"/>
    <s v="Non-Profit"/>
    <x v="2"/>
    <x v="10"/>
    <x v="1"/>
    <x v="152"/>
    <n v="1097.5899999999999"/>
    <s v="OK"/>
    <n v="845.55"/>
    <n v="845.55"/>
    <n v="0.184"/>
    <s v="OK"/>
    <n v="0.184"/>
    <n v="0"/>
    <n v="-0.59078207594314402"/>
    <n v="6585.5399999999991"/>
    <n v="-2445.7271999999994"/>
    <n v="4139.8127999999997"/>
    <s v="Q4-2023"/>
    <x v="4"/>
    <s v="Medium"/>
    <n v="6"/>
    <d v="2023-03-01T00:00:00"/>
    <d v="2023-12-01T00:00:00"/>
    <n v="1"/>
    <x v="4"/>
  </r>
  <r>
    <s v="ORD-2024-201376"/>
    <d v="2024-02-18T00:00:00"/>
    <d v="2024-03-04T00:00:00"/>
    <s v="OK"/>
    <d v="2024-03-04T00:00:00"/>
    <n v="15"/>
    <x v="0"/>
    <x v="0"/>
    <s v="Kisumu"/>
    <s v="Education"/>
    <x v="4"/>
    <x v="11"/>
    <x v="1"/>
    <x v="153"/>
    <n v="928.68"/>
    <s v="OK"/>
    <n v="2145.17"/>
    <n v="2145.17"/>
    <n v="0.13600000000000001"/>
    <s v="OK"/>
    <n v="0.13600000000000001"/>
    <n v="0"/>
    <n v="0.49893896003062177"/>
    <n v="14858.88"/>
    <n v="14795.950080000001"/>
    <n v="29654.83008"/>
    <s v="Q1-2024"/>
    <x v="31"/>
    <s v="High"/>
    <n v="16"/>
    <d v="2023-01-01T00:00:00"/>
    <d v="2024-02-01T00:00:00"/>
    <n v="0"/>
    <x v="32"/>
  </r>
  <r>
    <s v="ORD-2023-842488"/>
    <d v="2023-10-31T00:00:00"/>
    <d v="2023-11-02T00:00:00"/>
    <s v="OK"/>
    <d v="2023-11-02T00:00:00"/>
    <n v="2"/>
    <x v="0"/>
    <x v="0"/>
    <s v="Kisumu"/>
    <s v="Education"/>
    <x v="0"/>
    <x v="7"/>
    <x v="6"/>
    <x v="154"/>
    <n v="867.89"/>
    <s v="OK"/>
    <n v="1349.94"/>
    <n v="1349.94"/>
    <n v="0.184"/>
    <s v="OK"/>
    <n v="0.184"/>
    <n v="0"/>
    <n v="0.21212003031652557"/>
    <n v="8678.9"/>
    <n v="2336.6104000000032"/>
    <n v="11015.510400000003"/>
    <s v="Q4-2023"/>
    <x v="32"/>
    <s v="Medium"/>
    <n v="10"/>
    <d v="2023-01-01T00:00:00"/>
    <d v="2023-10-01T00:00:00"/>
    <n v="1"/>
    <x v="4"/>
  </r>
  <r>
    <s v="ORD-2024-136321"/>
    <d v="2024-08-07T00:00:00"/>
    <d v="2024-08-17T00:00:00"/>
    <s v="OK"/>
    <d v="2024-08-17T00:00:00"/>
    <n v="10"/>
    <x v="1"/>
    <x v="2"/>
    <s v="Osaka"/>
    <s v="Consumer"/>
    <x v="1"/>
    <x v="11"/>
    <x v="2"/>
    <x v="155"/>
    <n v="436.58"/>
    <s v="OK"/>
    <n v="527.48"/>
    <n v="527.48"/>
    <n v="0.111"/>
    <s v="OK"/>
    <n v="0.111"/>
    <n v="0"/>
    <n v="6.8986286473802644E-2"/>
    <n v="8295.02"/>
    <n v="614.64468000000124"/>
    <n v="8909.6646800000017"/>
    <s v="Q3-2024"/>
    <x v="21"/>
    <s v="Low"/>
    <n v="19"/>
    <d v="2023-03-01T00:00:00"/>
    <d v="2024-08-01T00:00:00"/>
    <n v="0"/>
    <x v="17"/>
  </r>
  <r>
    <s v="ORD-2024-764468"/>
    <d v="2024-02-01T00:00:00"/>
    <d v="2024-02-21T00:00:00"/>
    <s v="OK"/>
    <d v="2024-02-21T00:00:00"/>
    <n v="20"/>
    <x v="3"/>
    <x v="7"/>
    <s v="Paris"/>
    <s v="Small Business"/>
    <x v="2"/>
    <x v="8"/>
    <x v="2"/>
    <x v="156"/>
    <n v="656.2"/>
    <s v="OK"/>
    <n v="1467.17"/>
    <n v="1467.17"/>
    <n v="1.7999999999999999E-2"/>
    <s v="OK"/>
    <n v="1.7999999999999999E-2"/>
    <n v="0"/>
    <n v="0.54454623124360946"/>
    <n v="3281"/>
    <n v="3922.8047000000006"/>
    <n v="7203.8047000000006"/>
    <s v="Q1-2024"/>
    <x v="31"/>
    <s v="Medium"/>
    <n v="5"/>
    <d v="2023-01-01T00:00:00"/>
    <d v="2024-02-01T00:00:00"/>
    <n v="0"/>
    <x v="32"/>
  </r>
  <r>
    <s v="ORD-2024-553449"/>
    <d v="2024-08-27T00:00:00"/>
    <d v="2024-09-18T00:00:00"/>
    <s v="OK"/>
    <d v="2024-09-18T00:00:00"/>
    <n v="22"/>
    <x v="1"/>
    <x v="4"/>
    <s v="Delhi"/>
    <s v="Consumer"/>
    <x v="4"/>
    <x v="5"/>
    <x v="0"/>
    <x v="157"/>
    <n v="896.75"/>
    <s v="OK"/>
    <n v="1651.14"/>
    <n v="1651.14"/>
    <n v="2.5000000000000001E-2"/>
    <s v="OK"/>
    <n v="2.5000000000000001E-2"/>
    <n v="0"/>
    <n v="0.44296450346815552"/>
    <n v="13451.25"/>
    <n v="10696.672500000001"/>
    <n v="24147.922500000001"/>
    <s v="Q3-2024"/>
    <x v="21"/>
    <s v="Medium"/>
    <n v="15"/>
    <d v="2023-01-01T00:00:00"/>
    <d v="2024-08-01T00:00:00"/>
    <n v="0"/>
    <x v="20"/>
  </r>
  <r>
    <s v="ORD-2025-766923"/>
    <d v="2025-02-15T00:00:00"/>
    <d v="2025-02-15T00:00:00"/>
    <s v="OK"/>
    <d v="2025-02-15T00:00:00"/>
    <n v="0"/>
    <x v="3"/>
    <x v="6"/>
    <s v="Frankfurt"/>
    <s v="Small Business"/>
    <x v="2"/>
    <x v="4"/>
    <x v="6"/>
    <x v="158"/>
    <n v="815.83"/>
    <s v="OK"/>
    <n v="1982.18"/>
    <n v="1982.18"/>
    <n v="0.127"/>
    <s v="OK"/>
    <n v="0.127"/>
    <n v="0"/>
    <n v="0.52854272923408507"/>
    <n v="4894.9800000000005"/>
    <n v="5487.6788399999996"/>
    <n v="10382.65884"/>
    <s v="Q1-2025"/>
    <x v="26"/>
    <s v="High"/>
    <n v="6"/>
    <d v="2023-01-01T00:00:00"/>
    <d v="2025-02-01T00:00:00"/>
    <n v="1"/>
    <x v="26"/>
  </r>
  <r>
    <s v="ORD-2025-418232"/>
    <d v="2025-08-01T00:00:00"/>
    <d v="2025-08-21T00:00:00"/>
    <s v="OK"/>
    <d v="2025-08-21T00:00:00"/>
    <n v="20"/>
    <x v="1"/>
    <x v="9"/>
    <s v="Shanghai"/>
    <s v="Corporate"/>
    <x v="4"/>
    <x v="2"/>
    <x v="3"/>
    <x v="159"/>
    <n v="1220.4100000000001"/>
    <s v="OK"/>
    <n v="2552.2199999999998"/>
    <n v="2552.2199999999998"/>
    <n v="0.18099999999999999"/>
    <s v="OK"/>
    <n v="0.18099999999999999"/>
    <n v="0"/>
    <n v="0.41614668793360271"/>
    <n v="17085.740000000002"/>
    <n v="12178.014519999993"/>
    <n v="29263.754519999995"/>
    <s v="Q3-2025"/>
    <x v="28"/>
    <s v="High"/>
    <n v="14"/>
    <d v="2023-01-01T00:00:00"/>
    <d v="2025-08-01T00:00:00"/>
    <n v="0"/>
    <x v="29"/>
  </r>
  <r>
    <s v="ORD-2023-848013"/>
    <d v="2023-02-20T00:00:00"/>
    <d v="2023-03-04T00:00:00"/>
    <s v="OK"/>
    <d v="2023-03-04T00:00:00"/>
    <n v="12"/>
    <x v="1"/>
    <x v="4"/>
    <s v="Delhi"/>
    <s v="Consumer"/>
    <x v="3"/>
    <x v="12"/>
    <x v="5"/>
    <x v="160"/>
    <n v="299.75"/>
    <s v="OK"/>
    <n v="523.01"/>
    <n v="523.01"/>
    <n v="0.157"/>
    <s v="OK"/>
    <n v="0.157"/>
    <n v="0"/>
    <n v="0.32013665854210122"/>
    <n v="14987.5"/>
    <n v="7057.3714999999975"/>
    <n v="22044.871499999997"/>
    <s v="Q1-2023"/>
    <x v="2"/>
    <s v="Low"/>
    <n v="50"/>
    <d v="2023-01-01T00:00:00"/>
    <d v="2023-02-01T00:00:00"/>
    <n v="0"/>
    <x v="2"/>
  </r>
  <r>
    <s v="ORD-2024-357368"/>
    <d v="2024-10-30T00:00:00"/>
    <d v="2024-11-24T00:00:00"/>
    <s v="OK"/>
    <d v="2024-11-24T00:00:00"/>
    <n v="25"/>
    <x v="1"/>
    <x v="9"/>
    <s v="Shenzhen"/>
    <s v="Small Business"/>
    <x v="1"/>
    <x v="6"/>
    <x v="0"/>
    <x v="161"/>
    <n v="811.05"/>
    <s v="OK"/>
    <n v="1217.71"/>
    <n v="1217.71"/>
    <n v="7.1999999999999995E-2"/>
    <s v="OK"/>
    <n v="7.1999999999999995E-2"/>
    <n v="0"/>
    <n v="0.28227879125288602"/>
    <n v="4055.25"/>
    <n v="1594.9244000000008"/>
    <n v="5650.1744000000008"/>
    <s v="Q4-2024"/>
    <x v="1"/>
    <s v="Medium"/>
    <n v="5"/>
    <d v="2023-01-01T00:00:00"/>
    <d v="2024-10-01T00:00:00"/>
    <n v="0"/>
    <x v="1"/>
  </r>
  <r>
    <s v="ORD-2024-219735"/>
    <d v="2024-04-03T00:00:00"/>
    <d v="2024-04-07T00:00:00"/>
    <s v="OK"/>
    <d v="2024-04-07T00:00:00"/>
    <n v="4"/>
    <x v="2"/>
    <x v="5"/>
    <s v="Brasília"/>
    <s v="Non-Profit"/>
    <x v="4"/>
    <x v="13"/>
    <x v="3"/>
    <x v="162"/>
    <n v="1023.27"/>
    <s v="OK"/>
    <n v="1343.64"/>
    <n v="1343.64"/>
    <n v="0.13300000000000001"/>
    <s v="OK"/>
    <n v="0.13300000000000001"/>
    <n v="0"/>
    <n v="0.12160830688810116"/>
    <n v="7162.8899999999994"/>
    <n v="991.66116000000147"/>
    <n v="8154.5511600000009"/>
    <s v="Q2-2024"/>
    <x v="20"/>
    <s v="Medium"/>
    <n v="7"/>
    <d v="2023-01-01T00:00:00"/>
    <d v="2024-04-01T00:00:00"/>
    <n v="1"/>
    <x v="19"/>
  </r>
  <r>
    <s v="ORD-2023-240507"/>
    <d v="2023-03-25T00:00:00"/>
    <d v="2023-03-26T00:00:00"/>
    <s v="OK"/>
    <d v="2023-03-26T00:00:00"/>
    <n v="1"/>
    <x v="1"/>
    <x v="2"/>
    <s v="Osaka"/>
    <s v="Small Business"/>
    <x v="3"/>
    <x v="2"/>
    <x v="5"/>
    <x v="163"/>
    <n v="135.12"/>
    <s v="OK"/>
    <n v="301.7"/>
    <n v="301.7"/>
    <n v="0.14000000000000001"/>
    <s v="OK"/>
    <n v="0.14000000000000001"/>
    <n v="0"/>
    <n v="0.47923009920527859"/>
    <n v="6350.64"/>
    <n v="5844.0739999999996"/>
    <n v="12194.714"/>
    <s v="Q1-2023"/>
    <x v="22"/>
    <s v="Low"/>
    <n v="47"/>
    <d v="2023-03-01T00:00:00"/>
    <d v="2023-03-01T00:00:00"/>
    <n v="1"/>
    <x v="5"/>
  </r>
  <r>
    <s v="ORD-2024-134084"/>
    <d v="2024-06-04T00:00:00"/>
    <d v="2024-06-16T00:00:00"/>
    <s v="OK"/>
    <d v="2024-06-16T00:00:00"/>
    <n v="12"/>
    <x v="1"/>
    <x v="9"/>
    <s v="Shanghai"/>
    <s v="Corporate"/>
    <x v="0"/>
    <x v="1"/>
    <x v="1"/>
    <x v="164"/>
    <n v="918.42"/>
    <s v="OK"/>
    <n v="1511.71"/>
    <n v="1511.71"/>
    <n v="0.02"/>
    <s v="OK"/>
    <n v="0.02"/>
    <n v="0"/>
    <n v="0.38006412254590999"/>
    <n v="7347.36"/>
    <n v="4504.4463999999998"/>
    <n v="11851.806399999999"/>
    <s v="Q2-2024"/>
    <x v="17"/>
    <s v="Medium"/>
    <n v="8"/>
    <d v="2023-01-01T00:00:00"/>
    <d v="2024-06-01T00:00:00"/>
    <n v="0"/>
    <x v="17"/>
  </r>
  <r>
    <s v="ORD-2023-884625"/>
    <d v="2023-02-19T00:00:00"/>
    <d v="2023-03-12T00:00:00"/>
    <s v="OK"/>
    <d v="2023-03-12T00:00:00"/>
    <n v="21"/>
    <x v="3"/>
    <x v="6"/>
    <s v="Berlin"/>
    <s v="Small Business"/>
    <x v="4"/>
    <x v="4"/>
    <x v="5"/>
    <x v="165"/>
    <n v="1234.81"/>
    <s v="OK"/>
    <n v="2055.2399999999998"/>
    <n v="2055.2399999999998"/>
    <n v="5.2999999999999999E-2"/>
    <s v="OK"/>
    <n v="5.2999999999999999E-2"/>
    <n v="0"/>
    <n v="0.36556429680441616"/>
    <n v="54331.64"/>
    <n v="31306.100319999998"/>
    <n v="85637.740319999997"/>
    <s v="Q1-2023"/>
    <x v="2"/>
    <s v="High"/>
    <n v="44"/>
    <d v="2023-01-01T00:00:00"/>
    <d v="2023-02-01T00:00:00"/>
    <n v="0"/>
    <x v="2"/>
  </r>
  <r>
    <s v="ORD-2023-157993"/>
    <d v="2023-04-18T00:00:00"/>
    <d v="2023-05-18T00:00:00"/>
    <s v="OK"/>
    <d v="2023-05-18T00:00:00"/>
    <n v="30"/>
    <x v="1"/>
    <x v="9"/>
    <s v="Shenzhen"/>
    <s v="Non-Profit"/>
    <x v="0"/>
    <x v="10"/>
    <x v="4"/>
    <x v="166"/>
    <n v="329.03"/>
    <s v="OK"/>
    <n v="391.15"/>
    <n v="391.15"/>
    <n v="0.19700000000000001"/>
    <s v="OK"/>
    <n v="0.19700000000000001"/>
    <n v="0"/>
    <n v="-4.7554477815440081E-2"/>
    <n v="15135.38"/>
    <n v="-687.08130000000165"/>
    <n v="14448.298699999998"/>
    <s v="Q2-2023"/>
    <x v="12"/>
    <s v="Low"/>
    <n v="46"/>
    <d v="2023-01-01T00:00:00"/>
    <d v="2023-04-01T00:00:00"/>
    <n v="0"/>
    <x v="12"/>
  </r>
  <r>
    <s v="ORD-2024-329104"/>
    <d v="2024-05-23T00:00:00"/>
    <d v="2024-06-14T00:00:00"/>
    <s v="OK"/>
    <d v="2024-06-14T00:00:00"/>
    <n v="22"/>
    <x v="3"/>
    <x v="7"/>
    <s v="Marseille"/>
    <s v="Small Business"/>
    <x v="1"/>
    <x v="13"/>
    <x v="5"/>
    <x v="167"/>
    <n v="1481.74"/>
    <s v="OK"/>
    <n v="1848.97"/>
    <n v="1848.97"/>
    <n v="0.254"/>
    <s v="OK"/>
    <n v="0.254"/>
    <n v="1"/>
    <n v="-7.4244930309072407E-2"/>
    <n v="13335.66"/>
    <n v="-921.67541999999958"/>
    <n v="12413.98458"/>
    <s v="Q2-2024"/>
    <x v="7"/>
    <s v="Medium"/>
    <n v="9"/>
    <d v="2023-01-01T00:00:00"/>
    <d v="2024-05-01T00:00:00"/>
    <n v="0"/>
    <x v="7"/>
  </r>
  <r>
    <s v="ORD-2023-304451"/>
    <d v="2023-10-07T00:00:00"/>
    <d v="2023-10-23T00:00:00"/>
    <s v="OK"/>
    <d v="2023-10-23T00:00:00"/>
    <n v="16"/>
    <x v="1"/>
    <x v="4"/>
    <s v="Hyderabad"/>
    <s v="Consumer"/>
    <x v="0"/>
    <x v="3"/>
    <x v="5"/>
    <x v="168"/>
    <n v="906.81"/>
    <s v="OK"/>
    <n v="1395.56"/>
    <n v="1395.56"/>
    <n v="0.185"/>
    <s v="OK"/>
    <n v="0.185"/>
    <n v="0"/>
    <n v="0.20272126834498974"/>
    <n v="5440.86"/>
    <n v="1383.4284000000007"/>
    <n v="6824.2884000000004"/>
    <s v="Q4-2023"/>
    <x v="32"/>
    <s v="Medium"/>
    <n v="6"/>
    <d v="2023-01-01T00:00:00"/>
    <d v="2023-10-01T00:00:00"/>
    <n v="0"/>
    <x v="4"/>
  </r>
  <r>
    <s v="ORD-2024-942981"/>
    <d v="2024-10-09T00:00:00"/>
    <d v="2024-11-08T00:00:00"/>
    <s v="OK"/>
    <d v="2024-11-08T00:00:00"/>
    <n v="30"/>
    <x v="3"/>
    <x v="8"/>
    <s v="Manchester"/>
    <s v="Small Business"/>
    <x v="3"/>
    <x v="1"/>
    <x v="0"/>
    <x v="169"/>
    <n v="343.85"/>
    <s v="OK"/>
    <n v="538.04"/>
    <n v="538.04"/>
    <n v="0.13900000000000001"/>
    <s v="OK"/>
    <n v="0.13900000000000001"/>
    <n v="0"/>
    <n v="0.25774810813732563"/>
    <n v="1719.25"/>
    <n v="597.01219999999967"/>
    <n v="2316.2621999999997"/>
    <s v="Q4-2024"/>
    <x v="1"/>
    <s v="Low"/>
    <n v="5"/>
    <d v="2023-01-01T00:00:00"/>
    <d v="2024-10-01T00:00:00"/>
    <n v="0"/>
    <x v="1"/>
  </r>
  <r>
    <s v="ORD-2024-605629"/>
    <d v="2024-07-15T00:00:00"/>
    <d v="2024-07-15T00:00:00"/>
    <s v="OK"/>
    <d v="2024-07-15T00:00:00"/>
    <n v="0"/>
    <x v="1"/>
    <x v="2"/>
    <s v="Tokyo"/>
    <s v="Small Business"/>
    <x v="2"/>
    <x v="3"/>
    <x v="6"/>
    <x v="170"/>
    <n v="801.77"/>
    <s v="OK"/>
    <n v="1218.92"/>
    <n v="1218.92"/>
    <n v="0.254"/>
    <s v="OK"/>
    <n v="0.254"/>
    <n v="1"/>
    <n v="0.11826968698788344"/>
    <n v="12828.32"/>
    <n v="1720.7091200000013"/>
    <n v="14549.029120000001"/>
    <s v="Q3-2024"/>
    <x v="14"/>
    <s v="Medium"/>
    <n v="16"/>
    <d v="2023-03-01T00:00:00"/>
    <d v="2024-07-01T00:00:00"/>
    <n v="1"/>
    <x v="7"/>
  </r>
  <r>
    <s v="ORD-2023-450877"/>
    <d v="2023-09-21T00:00:00"/>
    <d v="2023-10-10T00:00:00"/>
    <s v="OK"/>
    <d v="2023-10-10T00:00:00"/>
    <n v="19"/>
    <x v="1"/>
    <x v="2"/>
    <s v="Tokyo"/>
    <s v="Education"/>
    <x v="1"/>
    <x v="14"/>
    <x v="0"/>
    <x v="171"/>
    <n v="845.63"/>
    <s v="OK"/>
    <n v="2062.12"/>
    <n v="2062.12"/>
    <n v="0.13400000000000001"/>
    <s v="OK"/>
    <n v="0.13400000000000001"/>
    <n v="0"/>
    <n v="0.52646884757133949"/>
    <n v="4228.1499999999996"/>
    <n v="4700.8295999999991"/>
    <n v="8928.9795999999988"/>
    <s v="Q3-2023"/>
    <x v="27"/>
    <s v="High"/>
    <n v="5"/>
    <d v="2023-03-01T00:00:00"/>
    <d v="2023-09-01T00:00:00"/>
    <n v="0"/>
    <x v="23"/>
  </r>
  <r>
    <s v="ORD-2023-286994"/>
    <d v="2023-02-24T00:00:00"/>
    <d v="2023-03-09T00:00:00"/>
    <s v="OK"/>
    <d v="2023-03-09T00:00:00"/>
    <n v="13"/>
    <x v="2"/>
    <x v="10"/>
    <s v="New York"/>
    <s v="Enterprise"/>
    <x v="1"/>
    <x v="12"/>
    <x v="0"/>
    <x v="172"/>
    <n v="6.85"/>
    <s v="OK"/>
    <n v="10.18"/>
    <n v="10.18"/>
    <n v="4.7E-2"/>
    <s v="OK"/>
    <n v="4.7E-2"/>
    <n v="0"/>
    <n v="0.2939265312517394"/>
    <n v="68.5"/>
    <n v="28.5154"/>
    <n v="97.0154"/>
    <s v="Q1-2023"/>
    <x v="2"/>
    <s v="Low"/>
    <n v="10"/>
    <d v="2023-01-01T00:00:00"/>
    <d v="2023-02-01T00:00:00"/>
    <n v="0"/>
    <x v="2"/>
  </r>
  <r>
    <s v="ORD-2025-700847"/>
    <d v="2025-05-21T00:00:00"/>
    <d v="2025-05-28T00:00:00"/>
    <s v="Check"/>
    <d v="2025-05-19T00:00:00"/>
    <n v="7"/>
    <x v="0"/>
    <x v="11"/>
    <s v="Johannesburg"/>
    <s v="Non-Profit"/>
    <x v="3"/>
    <x v="7"/>
    <x v="4"/>
    <x v="173"/>
    <n v="1263.8399999999999"/>
    <s v="OK"/>
    <n v="2281.7199999999998"/>
    <n v="2281.7199999999998"/>
    <n v="7.8E-2"/>
    <s v="OK"/>
    <n v="7.8E-2"/>
    <n v="0"/>
    <n v="0.39924301882398494"/>
    <n v="18957.599999999999"/>
    <n v="12598.587599999999"/>
    <n v="31556.187599999997"/>
    <s v="Q2-2025"/>
    <x v="8"/>
    <s v="High"/>
    <n v="15"/>
    <d v="2023-01-01T00:00:00"/>
    <d v="2025-05-01T00:00:00"/>
    <n v="1"/>
    <x v="8"/>
  </r>
  <r>
    <s v="ORD-2024-970848"/>
    <d v="2024-05-23T00:00:00"/>
    <d v="2024-06-03T00:00:00"/>
    <s v="OK"/>
    <d v="2024-06-03T00:00:00"/>
    <n v="11"/>
    <x v="0"/>
    <x v="11"/>
    <s v="Johannesburg"/>
    <s v="Small Business"/>
    <x v="3"/>
    <x v="9"/>
    <x v="1"/>
    <x v="174"/>
    <n v="180.89"/>
    <s v="OK"/>
    <n v="249.57"/>
    <n v="249.57"/>
    <n v="2.1999999999999999E-2"/>
    <s v="OK"/>
    <n v="2.1999999999999999E-2"/>
    <n v="0"/>
    <n v="0.25888888806948362"/>
    <n v="1447.12"/>
    <n v="505.51567999999997"/>
    <n v="1952.6356799999999"/>
    <s v="Q2-2024"/>
    <x v="7"/>
    <s v="Low"/>
    <n v="8"/>
    <d v="2023-01-01T00:00:00"/>
    <d v="2024-05-01T00:00:00"/>
    <n v="0"/>
    <x v="7"/>
  </r>
  <r>
    <s v="ORD-2025-845715"/>
    <d v="2025-04-14T00:00:00"/>
    <d v="2025-05-04T00:00:00"/>
    <s v="OK"/>
    <d v="2025-05-04T00:00:00"/>
    <n v="20"/>
    <x v="3"/>
    <x v="8"/>
    <s v="Birmingham"/>
    <s v="Enterprise"/>
    <x v="2"/>
    <x v="11"/>
    <x v="5"/>
    <x v="175"/>
    <n v="1413.87"/>
    <s v="OK"/>
    <n v="3275"/>
    <n v="3275"/>
    <n v="0.255"/>
    <s v="OK"/>
    <n v="0.255"/>
    <n v="1"/>
    <n v="0.42051539525590453"/>
    <n v="53727.06"/>
    <n v="38988.19"/>
    <n v="92715.25"/>
    <s v="Q2-2025"/>
    <x v="19"/>
    <s v="High"/>
    <n v="38"/>
    <d v="2023-01-01T00:00:00"/>
    <d v="2025-04-01T00:00:00"/>
    <n v="0"/>
    <x v="18"/>
  </r>
  <r>
    <s v="ORD-2023-664749"/>
    <d v="2023-08-27T00:00:00"/>
    <d v="2023-09-11T00:00:00"/>
    <s v="OK"/>
    <d v="2023-09-11T00:00:00"/>
    <n v="15"/>
    <x v="3"/>
    <x v="8"/>
    <s v="London"/>
    <s v="Consumer"/>
    <x v="2"/>
    <x v="13"/>
    <x v="1"/>
    <x v="176"/>
    <n v="943.79"/>
    <s v="OK"/>
    <n v="1913.76"/>
    <n v="1913.76"/>
    <n v="9.0999999999999998E-2"/>
    <s v="OK"/>
    <n v="9.0999999999999998E-2"/>
    <n v="0"/>
    <n v="0.45746967891338081"/>
    <n v="8494.11"/>
    <n v="7162.3605599999992"/>
    <n v="15656.47056"/>
    <s v="Q3-2023"/>
    <x v="25"/>
    <s v="High"/>
    <n v="9"/>
    <d v="2023-01-01T00:00:00"/>
    <d v="2023-08-01T00:00:00"/>
    <n v="0"/>
    <x v="25"/>
  </r>
  <r>
    <s v="ORD-2024-960952"/>
    <d v="2024-02-03T00:00:00"/>
    <d v="2024-02-21T00:00:00"/>
    <s v="OK"/>
    <d v="2024-02-21T00:00:00"/>
    <n v="18"/>
    <x v="3"/>
    <x v="6"/>
    <s v="Frankfurt"/>
    <s v="Corporate"/>
    <x v="0"/>
    <x v="10"/>
    <x v="0"/>
    <x v="177"/>
    <n v="39.229999999999997"/>
    <s v="OK"/>
    <n v="30.09"/>
    <n v="30.09"/>
    <n v="0.17699999999999999"/>
    <s v="OK"/>
    <n v="0.17699999999999999"/>
    <n v="0"/>
    <n v="-0.58414993981199359"/>
    <n v="509.98999999999995"/>
    <n v="-188.05708999999996"/>
    <n v="321.93290999999999"/>
    <s v="Q1-2024"/>
    <x v="31"/>
    <s v="Low"/>
    <n v="13"/>
    <d v="2023-01-01T00:00:00"/>
    <d v="2024-02-01T00:00:00"/>
    <n v="0"/>
    <x v="32"/>
  </r>
  <r>
    <s v="ORD-2023-987700"/>
    <d v="2023-04-05T00:00:00"/>
    <d v="2023-04-16T00:00:00"/>
    <s v="OK"/>
    <d v="2023-04-16T00:00:00"/>
    <n v="11"/>
    <x v="2"/>
    <x v="3"/>
    <s v="Vancouver"/>
    <s v="Non-Profit"/>
    <x v="1"/>
    <x v="7"/>
    <x v="5"/>
    <x v="178"/>
    <n v="213.1"/>
    <s v="OK"/>
    <n v="501.31"/>
    <n v="501.31"/>
    <n v="5.6000000000000001E-2"/>
    <s v="OK"/>
    <n v="5.6000000000000001E-2"/>
    <n v="0"/>
    <n v="0.54969674368409005"/>
    <n v="3196.5"/>
    <n v="3902.0495999999994"/>
    <n v="7098.5495999999994"/>
    <s v="Q2-2023"/>
    <x v="12"/>
    <s v="Low"/>
    <n v="15"/>
    <d v="2023-01-01T00:00:00"/>
    <d v="2023-04-01T00:00:00"/>
    <n v="0"/>
    <x v="12"/>
  </r>
  <r>
    <s v="ORD-2025-652467"/>
    <d v="2025-08-21T00:00:00"/>
    <d v="2025-09-12T00:00:00"/>
    <s v="OK"/>
    <d v="2025-09-12T00:00:00"/>
    <n v="22"/>
    <x v="1"/>
    <x v="9"/>
    <s v="Shenzhen"/>
    <s v="Education"/>
    <x v="0"/>
    <x v="5"/>
    <x v="1"/>
    <x v="179"/>
    <n v="352.66"/>
    <s v="OK"/>
    <n v="411.18"/>
    <n v="411.18"/>
    <n v="0.17299999999999999"/>
    <s v="OK"/>
    <n v="0.17299999999999999"/>
    <n v="0"/>
    <n v="-3.7095408248758066E-2"/>
    <n v="4584.58"/>
    <n v="-163.98382000000038"/>
    <n v="4420.5961799999995"/>
    <s v="Q3-2025"/>
    <x v="28"/>
    <s v="Low"/>
    <n v="13"/>
    <d v="2023-01-01T00:00:00"/>
    <d v="2025-08-01T00:00:00"/>
    <n v="0"/>
    <x v="29"/>
  </r>
  <r>
    <s v="ORD-2025-667201"/>
    <d v="2025-09-15T00:00:00"/>
    <d v="2025-09-18T00:00:00"/>
    <s v="OK"/>
    <d v="2025-09-18T00:00:00"/>
    <n v="3"/>
    <x v="2"/>
    <x v="5"/>
    <s v="Rio de Janeiro"/>
    <s v="Non-Profit"/>
    <x v="4"/>
    <x v="4"/>
    <x v="6"/>
    <x v="180"/>
    <n v="5.5"/>
    <s v="OK"/>
    <n v="5.92"/>
    <n v="5.92"/>
    <n v="0.21199999999999999"/>
    <s v="OK"/>
    <n v="0.21199999999999999"/>
    <n v="1"/>
    <n v="-0.17900260666758133"/>
    <n v="22"/>
    <n v="-3.3401600000000009"/>
    <n v="18.659839999999999"/>
    <s v="Q3-2025"/>
    <x v="11"/>
    <s v="Low"/>
    <n v="4"/>
    <d v="2023-01-01T00:00:00"/>
    <d v="2025-09-01T00:00:00"/>
    <n v="1"/>
    <x v="11"/>
  </r>
  <r>
    <s v="ORD-2024-237478"/>
    <d v="2024-10-03T00:00:00"/>
    <d v="2024-10-11T00:00:00"/>
    <s v="OK"/>
    <d v="2024-10-11T00:00:00"/>
    <n v="8"/>
    <x v="1"/>
    <x v="9"/>
    <s v="Beijing"/>
    <s v="Enterprise"/>
    <x v="4"/>
    <x v="5"/>
    <x v="3"/>
    <x v="181"/>
    <n v="1132.6099999999999"/>
    <s v="OK"/>
    <n v="2206.63"/>
    <n v="2206.63"/>
    <n v="6.3E-2"/>
    <s v="OK"/>
    <n v="6.3E-2"/>
    <n v="0"/>
    <n v="0.45221355351671338"/>
    <n v="22652.199999999997"/>
    <n v="18700.046200000012"/>
    <n v="41352.246200000009"/>
    <s v="Q4-2024"/>
    <x v="1"/>
    <s v="High"/>
    <n v="20"/>
    <d v="2023-01-01T00:00:00"/>
    <d v="2024-10-01T00:00:00"/>
    <n v="0"/>
    <x v="1"/>
  </r>
  <r>
    <s v="ORD-2025-898843"/>
    <d v="2025-02-02T00:00:00"/>
    <d v="2025-03-04T00:00:00"/>
    <s v="OK"/>
    <d v="2025-03-04T00:00:00"/>
    <n v="30"/>
    <x v="1"/>
    <x v="2"/>
    <s v="Osaka"/>
    <s v="Education"/>
    <x v="3"/>
    <x v="4"/>
    <x v="6"/>
    <x v="182"/>
    <n v="766.59"/>
    <s v="OK"/>
    <n v="1912.8"/>
    <n v="1912.8"/>
    <n v="0.19600000000000001"/>
    <s v="OK"/>
    <n v="0.19600000000000001"/>
    <n v="0"/>
    <n v="0.50153170783472845"/>
    <n v="3832.9500000000003"/>
    <n v="3856.5059999999999"/>
    <n v="7689.4560000000001"/>
    <s v="Q1-2025"/>
    <x v="26"/>
    <s v="High"/>
    <n v="5"/>
    <d v="2023-03-01T00:00:00"/>
    <d v="2025-02-01T00:00:00"/>
    <n v="0"/>
    <x v="6"/>
  </r>
  <r>
    <s v="ORD-2023-334213"/>
    <d v="2023-08-19T00:00:00"/>
    <d v="2023-08-23T00:00:00"/>
    <s v="OK"/>
    <d v="2023-08-23T00:00:00"/>
    <n v="4"/>
    <x v="0"/>
    <x v="1"/>
    <s v="Abuja"/>
    <s v="Small Business"/>
    <x v="1"/>
    <x v="1"/>
    <x v="5"/>
    <x v="183"/>
    <n v="790.63"/>
    <s v="OK"/>
    <n v="1382.31"/>
    <n v="1382.31"/>
    <n v="0.10100000000000001"/>
    <s v="OK"/>
    <n v="0.10100000000000001"/>
    <n v="0"/>
    <n v="0.36377878338116448"/>
    <n v="5534.41"/>
    <n v="3164.4668300000012"/>
    <n v="8698.8768300000011"/>
    <s v="Q3-2023"/>
    <x v="25"/>
    <s v="Medium"/>
    <n v="7"/>
    <d v="2023-01-01T00:00:00"/>
    <d v="2023-08-01T00:00:00"/>
    <n v="1"/>
    <x v="25"/>
  </r>
  <r>
    <s v="ORD-2024-640340"/>
    <d v="2024-10-22T00:00:00"/>
    <d v="2024-10-29T00:00:00"/>
    <s v="OK"/>
    <d v="2024-10-29T00:00:00"/>
    <n v="7"/>
    <x v="0"/>
    <x v="1"/>
    <s v="Port Harcourt"/>
    <s v="Enterprise"/>
    <x v="3"/>
    <x v="12"/>
    <x v="5"/>
    <x v="184"/>
    <n v="1023.06"/>
    <s v="OK"/>
    <n v="1355.61"/>
    <n v="1355.61"/>
    <n v="0.153"/>
    <s v="OK"/>
    <n v="0.153"/>
    <n v="0"/>
    <n v="0.10898927711888809"/>
    <n v="23530.379999999997"/>
    <n v="2878.2584100000022"/>
    <n v="26408.63841"/>
    <s v="Q4-2024"/>
    <x v="1"/>
    <s v="Medium"/>
    <n v="23"/>
    <d v="2023-01-01T00:00:00"/>
    <d v="2024-10-01T00:00:00"/>
    <n v="1"/>
    <x v="1"/>
  </r>
  <r>
    <s v="ORD-2023-399631"/>
    <d v="2023-06-22T00:00:00"/>
    <d v="2023-07-21T00:00:00"/>
    <s v="OK"/>
    <d v="2023-07-21T00:00:00"/>
    <n v="29"/>
    <x v="3"/>
    <x v="7"/>
    <s v="Lyon"/>
    <s v="Corporate"/>
    <x v="0"/>
    <x v="1"/>
    <x v="6"/>
    <x v="185"/>
    <n v="734.34"/>
    <s v="OK"/>
    <n v="887.9"/>
    <n v="887.9"/>
    <n v="2.5000000000000001E-2"/>
    <s v="OK"/>
    <n v="2.5000000000000001E-2"/>
    <n v="0"/>
    <n v="0.15174092716608753"/>
    <n v="8812.08"/>
    <n v="1576.3499999999985"/>
    <n v="10388.429999999998"/>
    <s v="Q2-2023"/>
    <x v="23"/>
    <s v="Medium"/>
    <n v="12"/>
    <d v="2023-01-01T00:00:00"/>
    <d v="2023-06-01T00:00:00"/>
    <n v="0"/>
    <x v="22"/>
  </r>
  <r>
    <s v="ORD-2025-542939"/>
    <d v="2025-01-13T00:00:00"/>
    <d v="2025-02-08T00:00:00"/>
    <s v="OK"/>
    <d v="2025-02-08T00:00:00"/>
    <n v="26"/>
    <x v="3"/>
    <x v="7"/>
    <s v="Paris"/>
    <s v="Non-Profit"/>
    <x v="5"/>
    <x v="6"/>
    <x v="5"/>
    <x v="186"/>
    <n v="594.74"/>
    <s v="OK"/>
    <n v="1020.69"/>
    <n v="1020.69"/>
    <n v="0.21099999999999999"/>
    <s v="OK"/>
    <n v="0.21099999999999999"/>
    <n v="1"/>
    <n v="0.26149016146176424"/>
    <n v="3568.44"/>
    <n v="1263.5064600000001"/>
    <n v="4831.9464600000001"/>
    <s v="Q1-2025"/>
    <x v="10"/>
    <s v="Medium"/>
    <n v="6"/>
    <d v="2023-01-01T00:00:00"/>
    <d v="2025-01-01T00:00:00"/>
    <n v="0"/>
    <x v="24"/>
  </r>
  <r>
    <s v="ORD-2023-521818"/>
    <d v="2023-01-29T00:00:00"/>
    <d v="2023-02-28T00:00:00"/>
    <s v="OK"/>
    <d v="2023-02-28T00:00:00"/>
    <n v="30"/>
    <x v="1"/>
    <x v="4"/>
    <s v="Bengaluru"/>
    <s v="Non-Profit"/>
    <x v="0"/>
    <x v="5"/>
    <x v="6"/>
    <x v="187"/>
    <n v="1262.0999999999999"/>
    <s v="OK"/>
    <n v="1395.53"/>
    <n v="1395.53"/>
    <n v="0.23300000000000001"/>
    <s v="OK"/>
    <n v="0.23300000000000001"/>
    <n v="1"/>
    <n v="-0.17912331205452198"/>
    <n v="31552.499999999996"/>
    <n v="-4793.2122499999969"/>
    <n v="26759.28775"/>
    <s v="Q1-2023"/>
    <x v="5"/>
    <s v="Medium"/>
    <n v="25"/>
    <d v="2023-01-01T00:00:00"/>
    <d v="2023-01-01T00:00:00"/>
    <n v="0"/>
    <x v="5"/>
  </r>
  <r>
    <s v="ORD-2023-825836"/>
    <d v="2023-07-19T00:00:00"/>
    <d v="2023-07-31T00:00:00"/>
    <s v="OK"/>
    <d v="2023-07-31T00:00:00"/>
    <n v="12"/>
    <x v="2"/>
    <x v="5"/>
    <s v="Rio de Janeiro"/>
    <s v="Corporate"/>
    <x v="0"/>
    <x v="0"/>
    <x v="5"/>
    <x v="188"/>
    <n v="1334.64"/>
    <s v="OK"/>
    <n v="2273.42"/>
    <n v="2273.42"/>
    <n v="0.11799999999999999"/>
    <s v="OK"/>
    <n v="0.11799999999999999"/>
    <n v="0"/>
    <n v="0.33439607335575267"/>
    <n v="18684.960000000003"/>
    <n v="9387.2301599999992"/>
    <n v="28072.190160000002"/>
    <s v="Q3-2023"/>
    <x v="24"/>
    <s v="High"/>
    <n v="14"/>
    <d v="2023-01-01T00:00:00"/>
    <d v="2023-07-01T00:00:00"/>
    <n v="0"/>
    <x v="23"/>
  </r>
  <r>
    <s v="ORD-2024-503082"/>
    <d v="2024-05-19T00:00:00"/>
    <d v="2024-06-08T00:00:00"/>
    <s v="OK"/>
    <d v="2024-06-08T00:00:00"/>
    <n v="20"/>
    <x v="2"/>
    <x v="5"/>
    <s v="Brasília"/>
    <s v="Small Business"/>
    <x v="0"/>
    <x v="6"/>
    <x v="5"/>
    <x v="189"/>
    <n v="1075.9000000000001"/>
    <s v="OK"/>
    <n v="1242.1500000000001"/>
    <n v="1242.1500000000001"/>
    <n v="1.2E-2"/>
    <s v="OK"/>
    <n v="1.2E-2"/>
    <n v="0"/>
    <n v="0.12332036280961853"/>
    <n v="7531.3000000000011"/>
    <n v="1059.4094000000005"/>
    <n v="8590.7094000000016"/>
    <s v="Q2-2024"/>
    <x v="7"/>
    <s v="Medium"/>
    <n v="7"/>
    <d v="2023-01-01T00:00:00"/>
    <d v="2024-05-01T00:00:00"/>
    <n v="0"/>
    <x v="7"/>
  </r>
  <r>
    <s v="ORD-2024-760799"/>
    <d v="2024-02-03T00:00:00"/>
    <d v="2024-02-19T00:00:00"/>
    <s v="OK"/>
    <d v="2024-02-19T00:00:00"/>
    <n v="16"/>
    <x v="1"/>
    <x v="9"/>
    <s v="Shenzhen"/>
    <s v="Small Business"/>
    <x v="1"/>
    <x v="10"/>
    <x v="4"/>
    <x v="190"/>
    <n v="993.75"/>
    <s v="OK"/>
    <n v="1310.29"/>
    <n v="1310.29"/>
    <n v="0.215"/>
    <s v="OK"/>
    <n v="0.215"/>
    <n v="1"/>
    <n v="3.3860010471742245E-2"/>
    <n v="18881.25"/>
    <n v="661.72535000000062"/>
    <n v="19542.975350000001"/>
    <s v="Q1-2024"/>
    <x v="31"/>
    <s v="Medium"/>
    <n v="19"/>
    <d v="2023-01-01T00:00:00"/>
    <d v="2024-02-01T00:00:00"/>
    <n v="0"/>
    <x v="32"/>
  </r>
  <r>
    <s v="ORD-2023-197661"/>
    <d v="2023-08-08T00:00:00"/>
    <d v="2023-08-22T00:00:00"/>
    <s v="OK"/>
    <d v="2023-08-22T00:00:00"/>
    <n v="14"/>
    <x v="3"/>
    <x v="8"/>
    <s v="Birmingham"/>
    <s v="Non-Profit"/>
    <x v="4"/>
    <x v="13"/>
    <x v="5"/>
    <x v="191"/>
    <n v="446.69"/>
    <s v="OK"/>
    <n v="967.25"/>
    <n v="967.25"/>
    <n v="9.4E-2"/>
    <s v="OK"/>
    <n v="9.4E-2"/>
    <n v="0"/>
    <n v="0.49027105702941309"/>
    <n v="4466.8999999999996"/>
    <n v="4296.3850000000002"/>
    <n v="8763.2849999999999"/>
    <s v="Q3-2023"/>
    <x v="25"/>
    <s v="Medium"/>
    <n v="10"/>
    <d v="2023-01-01T00:00:00"/>
    <d v="2023-08-01T00:00:00"/>
    <n v="0"/>
    <x v="25"/>
  </r>
  <r>
    <s v="ORD-2024-212990"/>
    <d v="2024-08-12T00:00:00"/>
    <d v="2024-09-03T00:00:00"/>
    <s v="OK"/>
    <d v="2024-09-03T00:00:00"/>
    <n v="22"/>
    <x v="2"/>
    <x v="10"/>
    <s v="Austin"/>
    <s v="Consumer"/>
    <x v="3"/>
    <x v="2"/>
    <x v="4"/>
    <x v="192"/>
    <n v="797.8"/>
    <s v="OK"/>
    <n v="886.22"/>
    <n v="886.22"/>
    <n v="0.23599999999999999"/>
    <s v="OK"/>
    <n v="0.23599999999999999"/>
    <n v="1"/>
    <n v="-0.17830881462428633"/>
    <n v="28720.799999999999"/>
    <n v="-4346.2051199999987"/>
    <n v="24374.594880000001"/>
    <s v="Q3-2024"/>
    <x v="21"/>
    <s v="Medium"/>
    <n v="36"/>
    <d v="2023-01-01T00:00:00"/>
    <d v="2024-08-01T00:00:00"/>
    <n v="0"/>
    <x v="20"/>
  </r>
  <r>
    <s v="ORD-2023-925146"/>
    <d v="2023-10-15T00:00:00"/>
    <d v="2023-11-13T00:00:00"/>
    <s v="OK"/>
    <d v="2023-11-13T00:00:00"/>
    <n v="29"/>
    <x v="1"/>
    <x v="9"/>
    <s v="Shenzhen"/>
    <s v="Non-Profit"/>
    <x v="3"/>
    <x v="1"/>
    <x v="1"/>
    <x v="193"/>
    <n v="986.44"/>
    <s v="OK"/>
    <n v="790.61"/>
    <n v="790.61"/>
    <n v="7.1999999999999995E-2"/>
    <s v="OK"/>
    <n v="7.1999999999999995E-2"/>
    <n v="0"/>
    <n v="-0.34449872621271499"/>
    <n v="5918.64"/>
    <n v="-1516.5235200000006"/>
    <n v="4402.1164799999997"/>
    <s v="Q4-2023"/>
    <x v="32"/>
    <s v="Medium"/>
    <n v="6"/>
    <d v="2023-01-01T00:00:00"/>
    <d v="2023-10-01T00:00:00"/>
    <n v="0"/>
    <x v="4"/>
  </r>
  <r>
    <s v="ORD-2023-177794"/>
    <d v="2023-05-04T00:00:00"/>
    <d v="2023-05-26T00:00:00"/>
    <s v="OK"/>
    <d v="2023-05-26T00:00:00"/>
    <n v="22"/>
    <x v="2"/>
    <x v="10"/>
    <s v="San Francisco"/>
    <s v="Enterprise"/>
    <x v="1"/>
    <x v="1"/>
    <x v="2"/>
    <x v="194"/>
    <n v="249.71"/>
    <s v="OK"/>
    <n v="361.33"/>
    <n v="361.33"/>
    <n v="9.4E-2"/>
    <s v="OK"/>
    <n v="9.4E-2"/>
    <n v="0"/>
    <n v="0.23721223937881206"/>
    <n v="2996.52"/>
    <n v="931.85976000000028"/>
    <n v="3928.3797600000003"/>
    <s v="Q2-2023"/>
    <x v="15"/>
    <s v="Low"/>
    <n v="12"/>
    <d v="2023-01-01T00:00:00"/>
    <d v="2023-05-01T00:00:00"/>
    <n v="0"/>
    <x v="15"/>
  </r>
  <r>
    <s v="ORD-2024-444710"/>
    <d v="2024-09-22T00:00:00"/>
    <d v="2024-10-01T00:00:00"/>
    <s v="OK"/>
    <d v="2024-10-01T00:00:00"/>
    <n v="9"/>
    <x v="2"/>
    <x v="5"/>
    <s v="São Paulo"/>
    <s v="Non-Profit"/>
    <x v="1"/>
    <x v="11"/>
    <x v="5"/>
    <x v="195"/>
    <n v="1378.8"/>
    <s v="OK"/>
    <n v="1952.04"/>
    <n v="1952.04"/>
    <n v="0.159"/>
    <s v="OK"/>
    <n v="0.159"/>
    <n v="0"/>
    <n v="0.16012130216723058"/>
    <n v="26197.200000000001"/>
    <n v="4994.4471599999997"/>
    <n v="31191.64716"/>
    <s v="Q3-2024"/>
    <x v="29"/>
    <s v="High"/>
    <n v="19"/>
    <d v="2023-01-01T00:00:00"/>
    <d v="2024-09-01T00:00:00"/>
    <n v="0"/>
    <x v="30"/>
  </r>
  <r>
    <s v="ORD-2024-668926"/>
    <d v="2024-10-23T00:00:00"/>
    <d v="2024-11-14T00:00:00"/>
    <s v="OK"/>
    <d v="2024-11-14T00:00:00"/>
    <n v="22"/>
    <x v="1"/>
    <x v="2"/>
    <s v="Osaka"/>
    <s v="Non-Profit"/>
    <x v="4"/>
    <x v="5"/>
    <x v="3"/>
    <x v="196"/>
    <n v="1406.4"/>
    <s v="OK"/>
    <n v="1564.76"/>
    <n v="1564.76"/>
    <n v="0.185"/>
    <s v="OK"/>
    <n v="0.185"/>
    <n v="0"/>
    <n v="-0.10281715520536151"/>
    <n v="23908.800000000003"/>
    <n v="-2229.0502000000051"/>
    <n v="21679.749799999998"/>
    <s v="Q4-2024"/>
    <x v="1"/>
    <s v="Medium"/>
    <n v="17"/>
    <d v="2023-03-01T00:00:00"/>
    <d v="2024-10-01T00:00:00"/>
    <n v="0"/>
    <x v="20"/>
  </r>
  <r>
    <s v="ORD-2024-968374"/>
    <d v="2024-02-11T00:00:00"/>
    <d v="2024-03-03T00:00:00"/>
    <s v="OK"/>
    <d v="2024-03-03T00:00:00"/>
    <n v="21"/>
    <x v="0"/>
    <x v="0"/>
    <s v="Kisumu"/>
    <s v="Enterprise"/>
    <x v="1"/>
    <x v="5"/>
    <x v="3"/>
    <x v="197"/>
    <n v="516.86"/>
    <s v="OK"/>
    <n v="852.54"/>
    <n v="852.54"/>
    <n v="5.0999999999999997E-2"/>
    <s v="OK"/>
    <n v="5.0999999999999997E-2"/>
    <n v="0"/>
    <n v="0.36116022775355994"/>
    <n v="7236.04"/>
    <n v="4090.8064399999994"/>
    <n v="11326.846439999999"/>
    <s v="Q1-2024"/>
    <x v="31"/>
    <s v="Medium"/>
    <n v="14"/>
    <d v="2023-01-01T00:00:00"/>
    <d v="2024-02-01T00:00:00"/>
    <n v="0"/>
    <x v="32"/>
  </r>
  <r>
    <s v="ORD-2023-575584"/>
    <d v="2023-01-30T00:00:00"/>
    <d v="2023-02-21T00:00:00"/>
    <s v="OK"/>
    <d v="2023-02-21T00:00:00"/>
    <n v="22"/>
    <x v="3"/>
    <x v="6"/>
    <s v="Munich"/>
    <s v="Small Business"/>
    <x v="2"/>
    <x v="3"/>
    <x v="2"/>
    <x v="198"/>
    <n v="1142.8800000000001"/>
    <s v="OK"/>
    <n v="1465.29"/>
    <n v="1465.29"/>
    <n v="0.186"/>
    <s v="OK"/>
    <n v="0.186"/>
    <n v="0"/>
    <n v="4.1807775915017401E-2"/>
    <n v="8000.1600000000008"/>
    <n v="349.06241999999929"/>
    <n v="8349.2224200000001"/>
    <s v="Q1-2023"/>
    <x v="5"/>
    <s v="Medium"/>
    <n v="7"/>
    <d v="2023-01-01T00:00:00"/>
    <d v="2023-01-01T00:00:00"/>
    <n v="0"/>
    <x v="5"/>
  </r>
  <r>
    <s v="ORD-2023-701153"/>
    <d v="2023-04-14T00:00:00"/>
    <d v="2023-05-13T00:00:00"/>
    <s v="OK"/>
    <d v="2023-05-13T00:00:00"/>
    <n v="29"/>
    <x v="3"/>
    <x v="6"/>
    <s v="Frankfurt"/>
    <s v="Consumer"/>
    <x v="4"/>
    <x v="1"/>
    <x v="1"/>
    <x v="199"/>
    <n v="1320.33"/>
    <s v="OK"/>
    <n v="2645.23"/>
    <n v="2645.23"/>
    <n v="0.155"/>
    <s v="OK"/>
    <n v="0.155"/>
    <n v="0"/>
    <n v="0.40930629470436536"/>
    <n v="33008.25"/>
    <n v="22872.233749999999"/>
    <n v="55880.483749999999"/>
    <s v="Q2-2023"/>
    <x v="12"/>
    <s v="High"/>
    <n v="25"/>
    <d v="2023-01-01T00:00:00"/>
    <d v="2023-04-01T00:00:00"/>
    <n v="0"/>
    <x v="12"/>
  </r>
  <r>
    <s v="ORD-2023-382017"/>
    <d v="2023-01-13T00:00:00"/>
    <d v="2023-01-19T00:00:00"/>
    <s v="OK"/>
    <d v="2023-01-19T00:00:00"/>
    <n v="6"/>
    <x v="2"/>
    <x v="10"/>
    <s v="Chicago"/>
    <s v="Corporate"/>
    <x v="4"/>
    <x v="10"/>
    <x v="3"/>
    <x v="200"/>
    <n v="833.57"/>
    <s v="OK"/>
    <n v="881.57"/>
    <n v="881.57"/>
    <n v="5.7000000000000002E-2"/>
    <s v="OK"/>
    <n v="5.7000000000000002E-2"/>
    <n v="0"/>
    <n v="-2.7059238560107821E-3"/>
    <n v="15004.26"/>
    <n v="-40.490820000000895"/>
    <n v="14963.769179999999"/>
    <s v="Q1-2023"/>
    <x v="5"/>
    <s v="Medium"/>
    <n v="18"/>
    <d v="2023-01-01T00:00:00"/>
    <d v="2023-01-01T00:00:00"/>
    <n v="1"/>
    <x v="5"/>
  </r>
  <r>
    <s v="ORD-2024-999607"/>
    <d v="2024-01-12T00:00:00"/>
    <d v="2024-01-29T00:00:00"/>
    <s v="OK"/>
    <d v="2024-01-29T00:00:00"/>
    <n v="17"/>
    <x v="2"/>
    <x v="10"/>
    <s v="Chicago"/>
    <s v="Education"/>
    <x v="3"/>
    <x v="8"/>
    <x v="1"/>
    <x v="201"/>
    <n v="493.76"/>
    <s v="OK"/>
    <n v="625.04"/>
    <n v="625.04"/>
    <n v="0.25800000000000001"/>
    <s v="OK"/>
    <n v="0.25800000000000001"/>
    <n v="1"/>
    <n v="-6.464345311549663E-2"/>
    <n v="4937.6000000000004"/>
    <n v="-299.80320000000029"/>
    <n v="4637.7968000000001"/>
    <s v="Q1-2024"/>
    <x v="9"/>
    <s v="Medium"/>
    <n v="10"/>
    <d v="2023-01-01T00:00:00"/>
    <d v="2024-01-01T00:00:00"/>
    <n v="0"/>
    <x v="9"/>
  </r>
  <r>
    <s v="ORD-2023-133848"/>
    <d v="2023-08-15T00:00:00"/>
    <d v="2023-09-07T00:00:00"/>
    <s v="OK"/>
    <d v="2023-09-07T00:00:00"/>
    <n v="23"/>
    <x v="2"/>
    <x v="10"/>
    <s v="New York"/>
    <s v="Enterprise"/>
    <x v="1"/>
    <x v="11"/>
    <x v="3"/>
    <x v="202"/>
    <n v="590.33000000000004"/>
    <s v="OK"/>
    <n v="973.04"/>
    <n v="973.04"/>
    <n v="0"/>
    <s v="OK"/>
    <n v="0"/>
    <n v="0"/>
    <n v="0.39331373838691108"/>
    <n v="15348.580000000002"/>
    <n v="9950.4599999999991"/>
    <n v="25299.040000000001"/>
    <s v="Q3-2023"/>
    <x v="25"/>
    <s v="Medium"/>
    <n v="26"/>
    <d v="2023-01-01T00:00:00"/>
    <d v="2023-08-01T00:00:00"/>
    <n v="0"/>
    <x v="25"/>
  </r>
  <r>
    <s v="ORD-2023-586275"/>
    <d v="2023-01-20T00:00:00"/>
    <d v="2023-02-03T00:00:00"/>
    <s v="OK"/>
    <d v="2023-02-03T00:00:00"/>
    <n v="14"/>
    <x v="0"/>
    <x v="0"/>
    <s v="Kisumu"/>
    <s v="Corporate"/>
    <x v="0"/>
    <x v="12"/>
    <x v="2"/>
    <x v="203"/>
    <n v="884.36"/>
    <s v="OK"/>
    <n v="1545.34"/>
    <n v="1545.34"/>
    <n v="0.24299999999999999"/>
    <s v="OK"/>
    <n v="0.24299999999999999"/>
    <n v="1"/>
    <n v="0.24402198562827965"/>
    <n v="36258.76"/>
    <n v="11703.957579999995"/>
    <n v="47962.717579999997"/>
    <s v="Q1-2023"/>
    <x v="5"/>
    <s v="Medium"/>
    <n v="41"/>
    <d v="2023-01-01T00:00:00"/>
    <d v="2023-01-01T00:00:00"/>
    <n v="0"/>
    <x v="5"/>
  </r>
  <r>
    <s v="ORD-2025-964661"/>
    <d v="2025-02-04T00:00:00"/>
    <d v="2025-02-25T00:00:00"/>
    <s v="OK"/>
    <d v="2025-02-25T00:00:00"/>
    <n v="21"/>
    <x v="3"/>
    <x v="8"/>
    <s v="Birmingham"/>
    <s v="Corporate"/>
    <x v="2"/>
    <x v="14"/>
    <x v="5"/>
    <x v="204"/>
    <n v="1016.32"/>
    <s v="OK"/>
    <n v="2253.42"/>
    <n v="2253.42"/>
    <n v="5.5E-2"/>
    <s v="OK"/>
    <n v="5.5E-2"/>
    <n v="0"/>
    <n v="0.52273837124419797"/>
    <n v="12195.84"/>
    <n v="13357.942800000001"/>
    <n v="25553.782800000001"/>
    <s v="Q1-2025"/>
    <x v="26"/>
    <s v="High"/>
    <n v="12"/>
    <d v="2023-01-01T00:00:00"/>
    <d v="2025-02-01T00:00:00"/>
    <n v="0"/>
    <x v="26"/>
  </r>
  <r>
    <s v="ORD-2023-390998"/>
    <d v="2023-04-19T00:00:00"/>
    <d v="2023-04-28T00:00:00"/>
    <s v="OK"/>
    <d v="2023-04-28T00:00:00"/>
    <n v="9"/>
    <x v="3"/>
    <x v="6"/>
    <s v="Berlin"/>
    <s v="Education"/>
    <x v="1"/>
    <x v="6"/>
    <x v="5"/>
    <x v="205"/>
    <n v="1178.42"/>
    <s v="OK"/>
    <n v="2446.56"/>
    <n v="2446.56"/>
    <n v="2.9000000000000001E-2"/>
    <s v="OK"/>
    <n v="2.9000000000000001E-2"/>
    <n v="0"/>
    <n v="0.5039505141618883"/>
    <n v="12962.62"/>
    <n v="13169.08736"/>
    <n v="26131.70736"/>
    <s v="Q2-2023"/>
    <x v="12"/>
    <s v="High"/>
    <n v="11"/>
    <d v="2023-01-01T00:00:00"/>
    <d v="2023-04-01T00:00:00"/>
    <n v="0"/>
    <x v="12"/>
  </r>
  <r>
    <s v="ORD-2023-920483"/>
    <d v="2023-07-02T00:00:00"/>
    <d v="2023-08-01T00:00:00"/>
    <s v="OK"/>
    <d v="2023-08-01T00:00:00"/>
    <n v="30"/>
    <x v="3"/>
    <x v="8"/>
    <s v="Birmingham"/>
    <s v="Small Business"/>
    <x v="0"/>
    <x v="5"/>
    <x v="0"/>
    <x v="206"/>
    <n v="137.46"/>
    <s v="OK"/>
    <n v="188.3"/>
    <n v="188.3"/>
    <n v="3.7999999999999999E-2"/>
    <s v="OK"/>
    <n v="3.7999999999999999E-2"/>
    <n v="0"/>
    <n v="0.24115872071262398"/>
    <n v="5086.0200000000004"/>
    <n v="1616.3301999999994"/>
    <n v="6702.3501999999999"/>
    <s v="Q3-2023"/>
    <x v="24"/>
    <s v="Low"/>
    <n v="37"/>
    <d v="2023-01-01T00:00:00"/>
    <d v="2023-07-01T00:00:00"/>
    <n v="0"/>
    <x v="23"/>
  </r>
  <r>
    <s v="ORD-2025-146850"/>
    <d v="2025-01-21T00:00:00"/>
    <d v="2025-02-14T00:00:00"/>
    <s v="OK"/>
    <d v="2025-02-14T00:00:00"/>
    <n v="24"/>
    <x v="0"/>
    <x v="0"/>
    <s v="Nairobi"/>
    <s v="Small Business"/>
    <x v="0"/>
    <x v="1"/>
    <x v="6"/>
    <x v="207"/>
    <n v="1030.44"/>
    <s v="OK"/>
    <n v="2562.84"/>
    <n v="2562.84"/>
    <n v="0.14799999999999999"/>
    <s v="OK"/>
    <n v="0.14799999999999999"/>
    <n v="0"/>
    <n v="0.52808734852027039"/>
    <n v="13395.720000000001"/>
    <n v="14990.295839999995"/>
    <n v="28386.015839999996"/>
    <s v="Q1-2025"/>
    <x v="10"/>
    <s v="High"/>
    <n v="13"/>
    <d v="2023-01-01T00:00:00"/>
    <d v="2025-01-01T00:00:00"/>
    <n v="0"/>
    <x v="24"/>
  </r>
  <r>
    <s v="ORD-2024-687100"/>
    <d v="2024-09-10T00:00:00"/>
    <d v="2024-10-07T00:00:00"/>
    <s v="OK"/>
    <d v="2024-10-07T00:00:00"/>
    <n v="27"/>
    <x v="0"/>
    <x v="0"/>
    <s v="Kisumu"/>
    <s v="Consumer"/>
    <x v="0"/>
    <x v="4"/>
    <x v="1"/>
    <x v="208"/>
    <n v="1248.3900000000001"/>
    <s v="OK"/>
    <n v="1805.11"/>
    <n v="1805.11"/>
    <n v="0.20300000000000001"/>
    <s v="OK"/>
    <n v="0.20300000000000001"/>
    <n v="1"/>
    <n v="0.13226265707820786"/>
    <n v="13732.29"/>
    <n v="2093.1093699999965"/>
    <n v="15825.399369999997"/>
    <s v="Q3-2024"/>
    <x v="29"/>
    <s v="Medium"/>
    <n v="11"/>
    <d v="2023-01-01T00:00:00"/>
    <d v="2024-09-01T00:00:00"/>
    <n v="0"/>
    <x v="30"/>
  </r>
  <r>
    <s v="ORD-2025-629393"/>
    <d v="2025-07-21T00:00:00"/>
    <d v="2025-08-07T00:00:00"/>
    <s v="OK"/>
    <d v="2025-08-07T00:00:00"/>
    <n v="17"/>
    <x v="0"/>
    <x v="1"/>
    <s v="Lagos"/>
    <s v="Enterprise"/>
    <x v="4"/>
    <x v="12"/>
    <x v="6"/>
    <x v="209"/>
    <n v="1204.95"/>
    <s v="OK"/>
    <n v="2065.73"/>
    <n v="2065.73"/>
    <n v="0.13600000000000001"/>
    <s v="OK"/>
    <n v="0.13600000000000001"/>
    <n v="0"/>
    <n v="0.32487882949100039"/>
    <n v="12049.5"/>
    <n v="5798.4071999999978"/>
    <n v="17847.907199999998"/>
    <s v="Q3-2025"/>
    <x v="13"/>
    <s v="High"/>
    <n v="10"/>
    <d v="2023-01-01T00:00:00"/>
    <d v="2025-07-01T00:00:00"/>
    <n v="0"/>
    <x v="13"/>
  </r>
  <r>
    <s v="ORD-2024-686712"/>
    <d v="2024-10-02T00:00:00"/>
    <d v="2024-10-23T00:00:00"/>
    <s v="OK"/>
    <d v="2024-10-23T00:00:00"/>
    <n v="21"/>
    <x v="0"/>
    <x v="11"/>
    <s v="Durban"/>
    <s v="Corporate"/>
    <x v="2"/>
    <x v="8"/>
    <x v="0"/>
    <x v="210"/>
    <n v="1095.6099999999999"/>
    <s v="OK"/>
    <n v="2366.5100000000002"/>
    <n v="2366.5100000000002"/>
    <n v="0.152"/>
    <s v="OK"/>
    <n v="0.152"/>
    <n v="0"/>
    <n v="0.4540513564158607"/>
    <n v="9860.49"/>
    <n v="8200.7143200000046"/>
    <n v="18061.204320000004"/>
    <s v="Q4-2024"/>
    <x v="1"/>
    <s v="High"/>
    <n v="9"/>
    <d v="2023-01-01T00:00:00"/>
    <d v="2024-10-01T00:00:00"/>
    <n v="0"/>
    <x v="1"/>
  </r>
  <r>
    <s v="ORD-2025-586799"/>
    <d v="2025-07-14T00:00:00"/>
    <d v="2025-08-04T00:00:00"/>
    <s v="OK"/>
    <d v="2025-08-04T00:00:00"/>
    <n v="21"/>
    <x v="2"/>
    <x v="3"/>
    <s v="Montreal"/>
    <s v="Consumer"/>
    <x v="1"/>
    <x v="10"/>
    <x v="5"/>
    <x v="211"/>
    <n v="90.3"/>
    <s v="OK"/>
    <n v="131.76"/>
    <n v="131.76"/>
    <n v="0.10199999999999999"/>
    <s v="OK"/>
    <n v="0.10199999999999999"/>
    <n v="0"/>
    <n v="0.23681851189244668"/>
    <n v="1354.5"/>
    <n v="420.30719999999997"/>
    <n v="1774.8072"/>
    <s v="Q3-2025"/>
    <x v="13"/>
    <s v="Low"/>
    <n v="15"/>
    <d v="2023-01-01T00:00:00"/>
    <d v="2025-07-01T00:00:00"/>
    <n v="0"/>
    <x v="13"/>
  </r>
  <r>
    <s v="ORD-2024-988736"/>
    <d v="2024-09-09T00:00:00"/>
    <d v="2024-10-01T00:00:00"/>
    <s v="OK"/>
    <d v="2024-10-01T00:00:00"/>
    <n v="22"/>
    <x v="1"/>
    <x v="9"/>
    <s v="Shenzhen"/>
    <s v="Consumer"/>
    <x v="4"/>
    <x v="4"/>
    <x v="1"/>
    <x v="212"/>
    <n v="1166.18"/>
    <s v="OK"/>
    <n v="1335.02"/>
    <n v="1335.02"/>
    <n v="0.128"/>
    <s v="OK"/>
    <n v="0.128"/>
    <n v="0"/>
    <n v="-1.7545694604582242E-3"/>
    <n v="6997.08"/>
    <n v="-12.25536000000011"/>
    <n v="6984.8246399999998"/>
    <s v="Q3-2024"/>
    <x v="29"/>
    <s v="Medium"/>
    <n v="6"/>
    <d v="2023-01-01T00:00:00"/>
    <d v="2024-09-01T00:00:00"/>
    <n v="0"/>
    <x v="30"/>
  </r>
  <r>
    <s v="ORD-2025-564184"/>
    <d v="2025-01-29T00:00:00"/>
    <d v="2025-02-06T00:00:00"/>
    <s v="OK"/>
    <d v="2025-02-06T00:00:00"/>
    <n v="8"/>
    <x v="0"/>
    <x v="0"/>
    <s v="Kisumu"/>
    <s v="Education"/>
    <x v="0"/>
    <x v="5"/>
    <x v="3"/>
    <x v="213"/>
    <n v="1445.27"/>
    <s v="OK"/>
    <n v="2691.45"/>
    <n v="2691.45"/>
    <n v="0"/>
    <s v="OK"/>
    <n v="0"/>
    <n v="0"/>
    <n v="0.46301436028906351"/>
    <n v="13007.43"/>
    <n v="11215.619999999999"/>
    <n v="24223.05"/>
    <s v="Q1-2025"/>
    <x v="10"/>
    <s v="High"/>
    <n v="9"/>
    <d v="2023-01-01T00:00:00"/>
    <d v="2025-01-01T00:00:00"/>
    <n v="0"/>
    <x v="24"/>
  </r>
  <r>
    <s v="ORD-2023-653343"/>
    <d v="2023-11-10T00:00:00"/>
    <d v="2023-11-28T00:00:00"/>
    <s v="OK"/>
    <d v="2023-11-28T00:00:00"/>
    <n v="18"/>
    <x v="2"/>
    <x v="5"/>
    <s v="Brasília"/>
    <s v="Education"/>
    <x v="2"/>
    <x v="4"/>
    <x v="6"/>
    <x v="214"/>
    <n v="388.51"/>
    <s v="OK"/>
    <n v="776.46"/>
    <n v="776.46"/>
    <n v="0.157"/>
    <s v="OK"/>
    <n v="0.157"/>
    <n v="0"/>
    <n v="0.40645241876864946"/>
    <n v="4662.12"/>
    <n v="3192.54936"/>
    <n v="7854.6693599999999"/>
    <s v="Q4-2023"/>
    <x v="30"/>
    <s v="Medium"/>
    <n v="12"/>
    <d v="2023-01-01T00:00:00"/>
    <d v="2023-11-01T00:00:00"/>
    <n v="0"/>
    <x v="31"/>
  </r>
  <r>
    <s v="ORD-2024-197852"/>
    <d v="2024-02-29T00:00:00"/>
    <d v="2024-03-30T00:00:00"/>
    <s v="OK"/>
    <d v="2024-03-30T00:00:00"/>
    <n v="30"/>
    <x v="1"/>
    <x v="2"/>
    <s v="Nagoya"/>
    <s v="Small Business"/>
    <x v="4"/>
    <x v="2"/>
    <x v="2"/>
    <x v="215"/>
    <n v="231.11"/>
    <s v="OK"/>
    <n v="318.17"/>
    <n v="318.17"/>
    <n v="0.20100000000000001"/>
    <s v="OK"/>
    <n v="0.20100000000000001"/>
    <n v="1"/>
    <n v="9.0897754889969692E-2"/>
    <n v="13866.6"/>
    <n v="1386.4697999999989"/>
    <n v="15253.069799999999"/>
    <s v="Q1-2024"/>
    <x v="31"/>
    <s v="Low"/>
    <n v="60"/>
    <d v="2023-03-01T00:00:00"/>
    <d v="2024-02-01T00:00:00"/>
    <n v="0"/>
    <x v="27"/>
  </r>
  <r>
    <s v="ORD-2023-431328"/>
    <d v="2023-12-20T00:00:00"/>
    <d v="2024-01-14T00:00:00"/>
    <s v="OK"/>
    <d v="2024-01-14T00:00:00"/>
    <n v="25"/>
    <x v="1"/>
    <x v="4"/>
    <s v="Mumbai"/>
    <s v="Non-Profit"/>
    <x v="2"/>
    <x v="4"/>
    <x v="5"/>
    <x v="216"/>
    <n v="1085.6099999999999"/>
    <s v="OK"/>
    <n v="1246.4100000000001"/>
    <n v="1246.4100000000001"/>
    <n v="0.113"/>
    <s v="OK"/>
    <n v="0.113"/>
    <n v="0"/>
    <n v="1.8050189637310417E-2"/>
    <n v="7599.2699999999995"/>
    <n v="139.68969000000106"/>
    <n v="7738.9596900000006"/>
    <s v="Q4-2023"/>
    <x v="4"/>
    <s v="Medium"/>
    <n v="7"/>
    <d v="2023-01-01T00:00:00"/>
    <d v="2023-12-01T00:00:00"/>
    <n v="0"/>
    <x v="27"/>
  </r>
  <r>
    <s v="ORD-2023-613317"/>
    <d v="2023-01-22T00:00:00"/>
    <d v="2023-01-29T00:00:00"/>
    <s v="Check"/>
    <d v="2023-01-21T00:00:00"/>
    <n v="7"/>
    <x v="3"/>
    <x v="6"/>
    <s v="Munich"/>
    <s v="Corporate"/>
    <x v="4"/>
    <x v="9"/>
    <x v="5"/>
    <x v="217"/>
    <n v="150.86000000000001"/>
    <s v="OK"/>
    <n v="346.96"/>
    <n v="346.96"/>
    <n v="0.19600000000000001"/>
    <s v="OK"/>
    <n v="0.19600000000000001"/>
    <n v="0"/>
    <n v="0.45919755614365343"/>
    <n v="1206.8800000000001"/>
    <n v="1024.7667200000001"/>
    <n v="2231.6467200000002"/>
    <s v="Q1-2023"/>
    <x v="5"/>
    <s v="Low"/>
    <n v="8"/>
    <d v="2023-01-01T00:00:00"/>
    <d v="2023-01-01T00:00:00"/>
    <n v="1"/>
    <x v="5"/>
  </r>
  <r>
    <s v="ORD-2024-720756"/>
    <d v="2024-10-11T00:00:00"/>
    <d v="2024-11-09T00:00:00"/>
    <s v="OK"/>
    <d v="2024-11-09T00:00:00"/>
    <n v="29"/>
    <x v="1"/>
    <x v="9"/>
    <s v="Shanghai"/>
    <s v="Non-Profit"/>
    <x v="1"/>
    <x v="9"/>
    <x v="1"/>
    <x v="218"/>
    <n v="391.64"/>
    <s v="OK"/>
    <n v="504.76"/>
    <n v="504.76"/>
    <n v="4.0000000000000001E-3"/>
    <s v="OK"/>
    <n v="4.0000000000000001E-3"/>
    <n v="0"/>
    <n v="0.22099046793402319"/>
    <n v="5091.32"/>
    <n v="1444.3124800000005"/>
    <n v="6535.6324800000002"/>
    <s v="Q4-2024"/>
    <x v="1"/>
    <s v="Low"/>
    <n v="13"/>
    <d v="2023-01-01T00:00:00"/>
    <d v="2024-10-01T00:00:00"/>
    <n v="0"/>
    <x v="1"/>
  </r>
  <r>
    <s v="ORD-2024-777623"/>
    <d v="2024-09-19T00:00:00"/>
    <d v="2024-10-14T00:00:00"/>
    <s v="OK"/>
    <d v="2024-10-14T00:00:00"/>
    <n v="25"/>
    <x v="2"/>
    <x v="5"/>
    <s v="Rio de Janeiro"/>
    <s v="Small Business"/>
    <x v="0"/>
    <x v="11"/>
    <x v="1"/>
    <x v="219"/>
    <n v="386.96"/>
    <s v="OK"/>
    <n v="937.46"/>
    <n v="937.46"/>
    <n v="0.26600000000000001"/>
    <s v="OK"/>
    <n v="0.26600000000000001"/>
    <n v="1"/>
    <n v="0.43763631462626335"/>
    <n v="15865.359999999999"/>
    <n v="12346.561240000001"/>
    <n v="28211.92124"/>
    <s v="Q3-2024"/>
    <x v="29"/>
    <s v="Medium"/>
    <n v="41"/>
    <d v="2023-01-01T00:00:00"/>
    <d v="2024-09-01T00:00:00"/>
    <n v="0"/>
    <x v="30"/>
  </r>
  <r>
    <s v="ORD-2025-762212"/>
    <d v="2025-08-25T00:00:00"/>
    <d v="2025-09-24T00:00:00"/>
    <s v="OK"/>
    <d v="2025-09-24T00:00:00"/>
    <n v="30"/>
    <x v="0"/>
    <x v="0"/>
    <s v="Nairobi"/>
    <s v="Consumer"/>
    <x v="4"/>
    <x v="5"/>
    <x v="0"/>
    <x v="220"/>
    <n v="589.14"/>
    <s v="OK"/>
    <n v="1300.58"/>
    <n v="1300.58"/>
    <n v="5.5E-2"/>
    <s v="OK"/>
    <n v="5.5E-2"/>
    <n v="0"/>
    <n v="0.52065342275863724"/>
    <n v="6480.54"/>
    <n v="7038.989099999998"/>
    <n v="13519.529099999998"/>
    <s v="Q3-2025"/>
    <x v="28"/>
    <s v="Medium"/>
    <n v="11"/>
    <d v="2023-01-01T00:00:00"/>
    <d v="2025-08-01T00:00:00"/>
    <n v="0"/>
    <x v="29"/>
  </r>
  <r>
    <s v="ORD-2023-271918"/>
    <d v="2023-09-25T00:00:00"/>
    <d v="2023-10-02T00:00:00"/>
    <s v="OK"/>
    <d v="2023-10-02T00:00:00"/>
    <n v="7"/>
    <x v="2"/>
    <x v="10"/>
    <s v="New York"/>
    <s v="Education"/>
    <x v="2"/>
    <x v="2"/>
    <x v="6"/>
    <x v="221"/>
    <n v="145.58000000000001"/>
    <s v="OK"/>
    <n v="228.15"/>
    <n v="228.15"/>
    <n v="0.20399999999999999"/>
    <s v="OK"/>
    <n v="0.20399999999999999"/>
    <n v="1"/>
    <n v="0.19838068272548359"/>
    <n v="727.90000000000009"/>
    <n v="180.13699999999994"/>
    <n v="908.03700000000003"/>
    <s v="Q3-2023"/>
    <x v="27"/>
    <s v="Low"/>
    <n v="5"/>
    <d v="2023-01-01T00:00:00"/>
    <d v="2023-09-01T00:00:00"/>
    <n v="1"/>
    <x v="28"/>
  </r>
  <r>
    <s v="ORD-2023-713375"/>
    <d v="2023-08-26T00:00:00"/>
    <d v="2023-09-10T00:00:00"/>
    <s v="OK"/>
    <d v="2023-09-10T00:00:00"/>
    <n v="15"/>
    <x v="0"/>
    <x v="11"/>
    <s v="Cape Town"/>
    <s v="Non-Profit"/>
    <x v="4"/>
    <x v="13"/>
    <x v="0"/>
    <x v="222"/>
    <n v="241.14"/>
    <s v="OK"/>
    <n v="496.52"/>
    <n v="496.52"/>
    <n v="9.2999999999999999E-2"/>
    <s v="OK"/>
    <n v="9.2999999999999999E-2"/>
    <n v="0"/>
    <n v="0.46454223268257994"/>
    <n v="2411.3999999999996"/>
    <n v="2092.0364"/>
    <n v="4503.4363999999996"/>
    <s v="Q3-2023"/>
    <x v="25"/>
    <s v="Low"/>
    <n v="10"/>
    <d v="2023-01-01T00:00:00"/>
    <d v="2023-08-01T00:00:00"/>
    <n v="0"/>
    <x v="25"/>
  </r>
  <r>
    <s v="ORD-2025-678688"/>
    <d v="2025-07-16T00:00:00"/>
    <d v="2025-07-17T00:00:00"/>
    <s v="OK"/>
    <d v="2025-07-17T00:00:00"/>
    <n v="1"/>
    <x v="0"/>
    <x v="11"/>
    <s v="Durban"/>
    <s v="Small Business"/>
    <x v="3"/>
    <x v="5"/>
    <x v="2"/>
    <x v="223"/>
    <n v="1198.9000000000001"/>
    <s v="OK"/>
    <n v="2941.2"/>
    <n v="2941.2"/>
    <n v="5.0999999999999997E-2"/>
    <s v="OK"/>
    <n v="5.0999999999999997E-2"/>
    <n v="0"/>
    <n v="0.57047129713583977"/>
    <n v="28773.600000000002"/>
    <n v="38215.171199999982"/>
    <n v="66988.771199999988"/>
    <s v="Q3-2025"/>
    <x v="13"/>
    <s v="High"/>
    <n v="24"/>
    <d v="2023-01-01T00:00:00"/>
    <d v="2025-07-01T00:00:00"/>
    <n v="1"/>
    <x v="13"/>
  </r>
  <r>
    <s v="ORD-2023-501220"/>
    <d v="2023-04-19T00:00:00"/>
    <d v="2023-05-07T00:00:00"/>
    <s v="OK"/>
    <d v="2023-05-07T00:00:00"/>
    <n v="18"/>
    <x v="3"/>
    <x v="8"/>
    <s v="Birmingham"/>
    <s v="Enterprise"/>
    <x v="0"/>
    <x v="13"/>
    <x v="4"/>
    <x v="224"/>
    <n v="1089.1500000000001"/>
    <s v="OK"/>
    <n v="1088.2"/>
    <n v="1088.2"/>
    <n v="5.0999999999999997E-2"/>
    <s v="OK"/>
    <n v="5.0999999999999997E-2"/>
    <n v="0"/>
    <n v="-5.4660696824582002E-2"/>
    <n v="16337.250000000002"/>
    <n v="-846.72300000000178"/>
    <n v="15490.527"/>
    <s v="Q2-2023"/>
    <x v="12"/>
    <s v="Medium"/>
    <n v="15"/>
    <d v="2023-01-01T00:00:00"/>
    <d v="2023-04-01T00:00:00"/>
    <n v="0"/>
    <x v="12"/>
  </r>
  <r>
    <s v="ORD-2023-195665"/>
    <d v="2023-12-19T00:00:00"/>
    <d v="2023-12-20T00:00:00"/>
    <s v="OK"/>
    <d v="2023-12-20T00:00:00"/>
    <n v="1"/>
    <x v="2"/>
    <x v="5"/>
    <s v="Rio de Janeiro"/>
    <s v="Consumer"/>
    <x v="3"/>
    <x v="1"/>
    <x v="3"/>
    <x v="225"/>
    <n v="1080.43"/>
    <s v="OK"/>
    <n v="2529.15"/>
    <n v="2529.15"/>
    <n v="0.14699999999999999"/>
    <s v="OK"/>
    <n v="0.14699999999999999"/>
    <n v="0"/>
    <n v="0.49918997247081437"/>
    <n v="10804.300000000001"/>
    <n v="10769.349499999998"/>
    <n v="21573.6495"/>
    <s v="Q4-2023"/>
    <x v="4"/>
    <s v="High"/>
    <n v="10"/>
    <d v="2023-01-01T00:00:00"/>
    <d v="2023-12-01T00:00:00"/>
    <n v="1"/>
    <x v="27"/>
  </r>
  <r>
    <s v="ORD-2023-290237"/>
    <d v="2023-07-30T00:00:00"/>
    <d v="2023-08-07T00:00:00"/>
    <s v="OK"/>
    <d v="2023-08-07T00:00:00"/>
    <n v="8"/>
    <x v="1"/>
    <x v="2"/>
    <s v="Nagoya"/>
    <s v="Education"/>
    <x v="2"/>
    <x v="8"/>
    <x v="2"/>
    <x v="226"/>
    <n v="1352.44"/>
    <s v="OK"/>
    <n v="2698.01"/>
    <n v="2698.01"/>
    <n v="0.13100000000000001"/>
    <s v="OK"/>
    <n v="0.13100000000000001"/>
    <n v="0"/>
    <n v="0.42316091992090887"/>
    <n v="17581.72"/>
    <n v="12897.698970000001"/>
    <n v="30479.418970000002"/>
    <s v="Q3-2023"/>
    <x v="24"/>
    <s v="High"/>
    <n v="13"/>
    <d v="2023-03-01T00:00:00"/>
    <d v="2023-07-01T00:00:00"/>
    <n v="0"/>
    <x v="15"/>
  </r>
  <r>
    <s v="ORD-2023-302041"/>
    <d v="2023-10-04T00:00:00"/>
    <d v="2023-10-29T00:00:00"/>
    <s v="OK"/>
    <d v="2023-10-29T00:00:00"/>
    <n v="25"/>
    <x v="2"/>
    <x v="10"/>
    <s v="San Francisco"/>
    <s v="Small Business"/>
    <x v="3"/>
    <x v="7"/>
    <x v="6"/>
    <x v="227"/>
    <n v="1239.8399999999999"/>
    <s v="OK"/>
    <n v="1482.75"/>
    <n v="1482.75"/>
    <n v="6.7000000000000004E-2"/>
    <s v="OK"/>
    <n v="6.7000000000000004E-2"/>
    <n v="0"/>
    <n v="0.10377703721413634"/>
    <n v="4959.3599999999997"/>
    <n v="574.26300000000083"/>
    <n v="5533.6230000000005"/>
    <s v="Q4-2023"/>
    <x v="32"/>
    <s v="Medium"/>
    <n v="4"/>
    <d v="2023-01-01T00:00:00"/>
    <d v="2023-10-01T00:00:00"/>
    <n v="0"/>
    <x v="4"/>
  </r>
  <r>
    <s v="ORD-2025-289139"/>
    <d v="2025-08-10T00:00:00"/>
    <d v="2025-08-30T00:00:00"/>
    <s v="OK"/>
    <d v="2025-08-30T00:00:00"/>
    <n v="20"/>
    <x v="2"/>
    <x v="10"/>
    <s v="San Francisco"/>
    <s v="Corporate"/>
    <x v="2"/>
    <x v="11"/>
    <x v="1"/>
    <x v="228"/>
    <n v="933.29"/>
    <s v="OK"/>
    <n v="1456.81"/>
    <n v="1456.81"/>
    <n v="0.123"/>
    <s v="OK"/>
    <n v="0.123"/>
    <n v="0"/>
    <n v="0.26951028573489977"/>
    <n v="12132.77"/>
    <n v="4476.3208099999974"/>
    <n v="16609.090809999998"/>
    <s v="Q3-2025"/>
    <x v="28"/>
    <s v="Medium"/>
    <n v="13"/>
    <d v="2023-01-01T00:00:00"/>
    <d v="2025-08-01T00:00:00"/>
    <n v="0"/>
    <x v="29"/>
  </r>
  <r>
    <s v="ORD-2023-949710"/>
    <d v="2023-03-07T00:00:00"/>
    <d v="2023-04-01T00:00:00"/>
    <s v="OK"/>
    <d v="2023-04-01T00:00:00"/>
    <n v="25"/>
    <x v="0"/>
    <x v="0"/>
    <s v="Nairobi"/>
    <s v="Consumer"/>
    <x v="2"/>
    <x v="14"/>
    <x v="1"/>
    <x v="229"/>
    <n v="1024.0999999999999"/>
    <s v="OK"/>
    <n v="918.19"/>
    <n v="918.19"/>
    <n v="0.189"/>
    <s v="OK"/>
    <n v="0.189"/>
    <n v="0"/>
    <n v="-0.37527311579827827"/>
    <n v="10241"/>
    <n v="-2794.4790999999996"/>
    <n v="7446.5209000000004"/>
    <s v="Q1-2023"/>
    <x v="22"/>
    <s v="Medium"/>
    <n v="10"/>
    <d v="2023-01-01T00:00:00"/>
    <d v="2023-03-01T00:00:00"/>
    <n v="0"/>
    <x v="21"/>
  </r>
  <r>
    <s v="ORD-2023-603650"/>
    <d v="2023-05-23T00:00:00"/>
    <d v="2023-06-10T00:00:00"/>
    <s v="OK"/>
    <d v="2023-06-10T00:00:00"/>
    <n v="18"/>
    <x v="1"/>
    <x v="9"/>
    <s v="Shanghai"/>
    <s v="Corporate"/>
    <x v="3"/>
    <x v="6"/>
    <x v="0"/>
    <x v="230"/>
    <n v="54.62"/>
    <s v="OK"/>
    <n v="48.94"/>
    <n v="48.94"/>
    <n v="0.14799999999999999"/>
    <s v="OK"/>
    <n v="0.14799999999999999"/>
    <n v="0"/>
    <n v="-0.3099301434543783"/>
    <n v="873.92"/>
    <n v="-206.76991999999996"/>
    <n v="667.15008"/>
    <s v="Q2-2023"/>
    <x v="15"/>
    <s v="Low"/>
    <n v="16"/>
    <d v="2023-01-01T00:00:00"/>
    <d v="2023-05-01T00:00:00"/>
    <n v="0"/>
    <x v="15"/>
  </r>
  <r>
    <s v="ORD-2025-757957"/>
    <d v="2025-04-24T00:00:00"/>
    <d v="2025-05-06T00:00:00"/>
    <s v="OK"/>
    <d v="2025-05-06T00:00:00"/>
    <n v="12"/>
    <x v="2"/>
    <x v="5"/>
    <s v="Brasília"/>
    <s v="Consumer"/>
    <x v="1"/>
    <x v="0"/>
    <x v="3"/>
    <x v="231"/>
    <n v="394.13"/>
    <s v="OK"/>
    <n v="932.29"/>
    <n v="932.29"/>
    <n v="0.109"/>
    <s v="OK"/>
    <n v="0.109"/>
    <n v="0"/>
    <n v="0.5255278089303268"/>
    <n v="2758.91"/>
    <n v="3055.7827299999999"/>
    <n v="5814.6927299999998"/>
    <s v="Q2-2025"/>
    <x v="19"/>
    <s v="Medium"/>
    <n v="7"/>
    <d v="2023-01-01T00:00:00"/>
    <d v="2025-04-01T00:00:00"/>
    <n v="0"/>
    <x v="18"/>
  </r>
  <r>
    <s v="ORD-2024-423853"/>
    <d v="2024-09-03T00:00:00"/>
    <d v="2024-09-08T00:00:00"/>
    <s v="OK"/>
    <d v="2024-09-08T00:00:00"/>
    <n v="5"/>
    <x v="0"/>
    <x v="1"/>
    <s v="Lagos"/>
    <s v="Small Business"/>
    <x v="4"/>
    <x v="11"/>
    <x v="1"/>
    <x v="232"/>
    <n v="197.63"/>
    <s v="OK"/>
    <n v="325.79000000000002"/>
    <n v="325.79000000000002"/>
    <n v="0.11600000000000001"/>
    <s v="OK"/>
    <n v="0.11600000000000001"/>
    <n v="0"/>
    <n v="0.31378081458519419"/>
    <n v="1976.3"/>
    <n v="903.68360000000007"/>
    <n v="2879.9836"/>
    <s v="Q3-2024"/>
    <x v="29"/>
    <s v="Low"/>
    <n v="10"/>
    <d v="2023-01-01T00:00:00"/>
    <d v="2024-09-01T00:00:00"/>
    <n v="1"/>
    <x v="30"/>
  </r>
  <r>
    <s v="ORD-2024-569164"/>
    <d v="2024-09-05T00:00:00"/>
    <d v="2024-09-25T00:00:00"/>
    <s v="OK"/>
    <d v="2024-09-25T00:00:00"/>
    <n v="20"/>
    <x v="1"/>
    <x v="2"/>
    <s v="Osaka"/>
    <s v="Enterprise"/>
    <x v="3"/>
    <x v="14"/>
    <x v="5"/>
    <x v="233"/>
    <n v="195.54"/>
    <s v="OK"/>
    <n v="405.97"/>
    <n v="405.97"/>
    <n v="0.187"/>
    <s v="OK"/>
    <n v="0.187"/>
    <n v="0"/>
    <n v="0.40755079152141377"/>
    <n v="3128.64"/>
    <n v="2152.21776"/>
    <n v="5280.8577599999999"/>
    <s v="Q3-2024"/>
    <x v="29"/>
    <s v="Low"/>
    <n v="16"/>
    <d v="2023-03-01T00:00:00"/>
    <d v="2024-09-01T00:00:00"/>
    <n v="0"/>
    <x v="14"/>
  </r>
  <r>
    <s v="ORD-2023-946143"/>
    <d v="2023-03-14T00:00:00"/>
    <d v="2023-03-30T00:00:00"/>
    <s v="OK"/>
    <d v="2023-03-30T00:00:00"/>
    <n v="16"/>
    <x v="0"/>
    <x v="11"/>
    <s v="Cape Town"/>
    <s v="Consumer"/>
    <x v="3"/>
    <x v="11"/>
    <x v="0"/>
    <x v="234"/>
    <n v="1309.77"/>
    <s v="OK"/>
    <n v="1589.07"/>
    <n v="1589.07"/>
    <n v="0.10199999999999999"/>
    <s v="OK"/>
    <n v="0.10199999999999999"/>
    <n v="0"/>
    <n v="8.2141628328137886E-2"/>
    <n v="13097.7"/>
    <n v="1172.1485999999986"/>
    <n v="14269.848599999999"/>
    <s v="Q1-2023"/>
    <x v="22"/>
    <s v="Medium"/>
    <n v="10"/>
    <d v="2023-01-01T00:00:00"/>
    <d v="2023-03-01T00:00:00"/>
    <n v="0"/>
    <x v="21"/>
  </r>
  <r>
    <s v="ORD-2024-281211"/>
    <d v="2024-01-11T00:00:00"/>
    <d v="2024-02-02T00:00:00"/>
    <s v="OK"/>
    <d v="2024-02-02T00:00:00"/>
    <n v="22"/>
    <x v="1"/>
    <x v="2"/>
    <s v="Nagoya"/>
    <s v="Small Business"/>
    <x v="1"/>
    <x v="15"/>
    <x v="1"/>
    <x v="235"/>
    <n v="1237.68"/>
    <s v="OK"/>
    <n v="1432.8"/>
    <n v="1432.8"/>
    <n v="6.8000000000000005E-2"/>
    <s v="OK"/>
    <n v="6.8000000000000005E-2"/>
    <n v="0"/>
    <n v="7.315547695559331E-2"/>
    <n v="16089.84"/>
    <n v="1269.9647999999979"/>
    <n v="17359.804799999998"/>
    <s v="Q1-2024"/>
    <x v="9"/>
    <s v="Medium"/>
    <n v="13"/>
    <d v="2023-03-01T00:00:00"/>
    <d v="2024-01-01T00:00:00"/>
    <n v="0"/>
    <x v="31"/>
  </r>
  <r>
    <s v="ORD-2024-805860"/>
    <d v="2024-09-13T00:00:00"/>
    <d v="2024-10-02T00:00:00"/>
    <s v="OK"/>
    <d v="2024-10-02T00:00:00"/>
    <n v="19"/>
    <x v="0"/>
    <x v="0"/>
    <s v="Mombasa"/>
    <s v="Small Business"/>
    <x v="0"/>
    <x v="12"/>
    <x v="3"/>
    <x v="236"/>
    <n v="1338.99"/>
    <s v="OK"/>
    <n v="1765.76"/>
    <n v="1765.76"/>
    <n v="0.126"/>
    <s v="OK"/>
    <n v="0.126"/>
    <n v="0"/>
    <n v="0.1323706666677725"/>
    <n v="32135.760000000002"/>
    <n v="4902.8217599999989"/>
    <n v="37038.581760000001"/>
    <s v="Q3-2024"/>
    <x v="29"/>
    <s v="Medium"/>
    <n v="24"/>
    <d v="2023-01-01T00:00:00"/>
    <d v="2024-09-01T00:00:00"/>
    <n v="0"/>
    <x v="30"/>
  </r>
  <r>
    <s v="ORD-2025-132174"/>
    <d v="2025-07-17T00:00:00"/>
    <d v="2025-07-23T00:00:00"/>
    <s v="OK"/>
    <d v="2025-07-23T00:00:00"/>
    <n v="6"/>
    <x v="2"/>
    <x v="3"/>
    <s v="Vancouver"/>
    <s v="Consumer"/>
    <x v="1"/>
    <x v="10"/>
    <x v="0"/>
    <x v="237"/>
    <n v="1364.89"/>
    <s v="OK"/>
    <n v="2757.54"/>
    <n v="2757.54"/>
    <n v="0.17199999999999999"/>
    <s v="OK"/>
    <n v="0.17199999999999999"/>
    <n v="0"/>
    <n v="0.4022143379983118"/>
    <n v="83258.290000000008"/>
    <n v="56019.54032"/>
    <n v="139277.83032000001"/>
    <s v="Q3-2025"/>
    <x v="13"/>
    <s v="High"/>
    <n v="61"/>
    <d v="2023-01-01T00:00:00"/>
    <d v="2025-07-01T00:00:00"/>
    <n v="1"/>
    <x v="13"/>
  </r>
  <r>
    <s v="ORD-2023-964434"/>
    <d v="2023-11-28T00:00:00"/>
    <d v="2023-12-07T00:00:00"/>
    <s v="OK"/>
    <d v="2023-12-07T00:00:00"/>
    <n v="9"/>
    <x v="1"/>
    <x v="4"/>
    <s v="Delhi"/>
    <s v="Enterprise"/>
    <x v="2"/>
    <x v="4"/>
    <x v="3"/>
    <x v="238"/>
    <n v="699.33"/>
    <s v="OK"/>
    <n v="873.75"/>
    <n v="873.75"/>
    <n v="0.23499999999999999"/>
    <s v="OK"/>
    <n v="0.23499999999999999"/>
    <n v="1"/>
    <n v="-4.6245336475076469E-2"/>
    <n v="6993.3"/>
    <n v="-309.11250000000018"/>
    <n v="6684.1875"/>
    <s v="Q4-2023"/>
    <x v="30"/>
    <s v="Medium"/>
    <n v="10"/>
    <d v="2023-01-01T00:00:00"/>
    <d v="2023-11-01T00:00:00"/>
    <n v="0"/>
    <x v="31"/>
  </r>
  <r>
    <s v="ORD-2024-897622"/>
    <d v="2024-03-30T00:00:00"/>
    <d v="2024-04-24T00:00:00"/>
    <s v="OK"/>
    <d v="2024-04-24T00:00:00"/>
    <n v="25"/>
    <x v="2"/>
    <x v="10"/>
    <s v="Austin"/>
    <s v="Non-Profit"/>
    <x v="1"/>
    <x v="3"/>
    <x v="4"/>
    <x v="239"/>
    <n v="160.82"/>
    <s v="OK"/>
    <n v="258.52"/>
    <n v="258.52"/>
    <n v="0.13"/>
    <s v="OK"/>
    <n v="0.13"/>
    <n v="0"/>
    <n v="0.28496605789631874"/>
    <n v="2733.94"/>
    <n v="1089.5708"/>
    <n v="3823.5108"/>
    <s v="Q1-2024"/>
    <x v="0"/>
    <s v="Low"/>
    <n v="17"/>
    <d v="2023-01-01T00:00:00"/>
    <d v="2024-03-01T00:00:00"/>
    <n v="0"/>
    <x v="0"/>
  </r>
  <r>
    <s v="ORD-2023-517216"/>
    <d v="2023-09-19T00:00:00"/>
    <d v="2023-10-08T00:00:00"/>
    <s v="OK"/>
    <d v="2023-10-08T00:00:00"/>
    <n v="19"/>
    <x v="1"/>
    <x v="4"/>
    <s v="Bengaluru"/>
    <s v="Education"/>
    <x v="4"/>
    <x v="1"/>
    <x v="1"/>
    <x v="240"/>
    <n v="385.32"/>
    <s v="OK"/>
    <n v="606.76"/>
    <n v="606.76"/>
    <n v="8.5999999999999993E-2"/>
    <s v="OK"/>
    <n v="8.5999999999999993E-2"/>
    <n v="0"/>
    <n v="0.30520223425842735"/>
    <n v="3082.56"/>
    <n v="1354.0691200000006"/>
    <n v="4436.6291200000005"/>
    <s v="Q3-2023"/>
    <x v="27"/>
    <s v="Medium"/>
    <n v="8"/>
    <d v="2023-01-01T00:00:00"/>
    <d v="2023-09-01T00:00:00"/>
    <n v="0"/>
    <x v="28"/>
  </r>
  <r>
    <s v="ORD-2025-509940"/>
    <d v="2025-05-16T00:00:00"/>
    <d v="2025-05-27T00:00:00"/>
    <s v="OK"/>
    <d v="2025-05-27T00:00:00"/>
    <n v="11"/>
    <x v="1"/>
    <x v="9"/>
    <s v="Beijing"/>
    <s v="Enterprise"/>
    <x v="1"/>
    <x v="9"/>
    <x v="3"/>
    <x v="241"/>
    <n v="918.12"/>
    <s v="OK"/>
    <n v="1337.69"/>
    <n v="1337.69"/>
    <n v="9.5000000000000001E-2"/>
    <s v="OK"/>
    <n v="9.5000000000000001E-2"/>
    <n v="0"/>
    <n v="0.24160512707050164"/>
    <n v="7344.96"/>
    <n v="2339.9156000000012"/>
    <n v="9684.8756000000012"/>
    <s v="Q2-2025"/>
    <x v="8"/>
    <s v="Medium"/>
    <n v="8"/>
    <d v="2023-01-01T00:00:00"/>
    <d v="2025-05-01T00:00:00"/>
    <n v="0"/>
    <x v="8"/>
  </r>
  <r>
    <s v="ORD-2025-646342"/>
    <d v="2025-08-02T00:00:00"/>
    <d v="2025-08-08T00:00:00"/>
    <s v="OK"/>
    <d v="2025-08-08T00:00:00"/>
    <n v="6"/>
    <x v="1"/>
    <x v="2"/>
    <s v="Osaka"/>
    <s v="Consumer"/>
    <x v="4"/>
    <x v="13"/>
    <x v="4"/>
    <x v="242"/>
    <n v="1225.94"/>
    <s v="OK"/>
    <n v="1793.08"/>
    <n v="1793.08"/>
    <n v="0.13600000000000001"/>
    <s v="OK"/>
    <n v="0.13600000000000001"/>
    <n v="0"/>
    <n v="0.20867332353434462"/>
    <n v="26970.68"/>
    <n v="7112.1846399999922"/>
    <n v="34082.864639999993"/>
    <s v="Q3-2025"/>
    <x v="28"/>
    <s v="Medium"/>
    <n v="22"/>
    <d v="2023-03-01T00:00:00"/>
    <d v="2025-08-01T00:00:00"/>
    <n v="1"/>
    <x v="16"/>
  </r>
  <r>
    <s v="ORD-2024-866535"/>
    <d v="2024-12-04T00:00:00"/>
    <d v="2024-12-12T00:00:00"/>
    <s v="OK"/>
    <d v="2024-12-12T00:00:00"/>
    <n v="8"/>
    <x v="3"/>
    <x v="6"/>
    <s v="Frankfurt"/>
    <s v="Enterprise"/>
    <x v="2"/>
    <x v="5"/>
    <x v="1"/>
    <x v="243"/>
    <n v="72.06"/>
    <s v="OK"/>
    <n v="122.74"/>
    <n v="122.74"/>
    <n v="0.23799999999999999"/>
    <s v="OK"/>
    <n v="0.23799999999999999"/>
    <n v="1"/>
    <n v="0.22953455162246802"/>
    <n v="576.48"/>
    <n v="171.74303999999995"/>
    <n v="748.22303999999997"/>
    <s v="Q4-2024"/>
    <x v="6"/>
    <s v="Low"/>
    <n v="8"/>
    <d v="2023-01-01T00:00:00"/>
    <d v="2024-12-01T00:00:00"/>
    <n v="0"/>
    <x v="6"/>
  </r>
  <r>
    <s v="ORD-2023-747341"/>
    <d v="2023-04-19T00:00:00"/>
    <d v="2023-04-28T00:00:00"/>
    <s v="OK"/>
    <d v="2023-04-28T00:00:00"/>
    <n v="9"/>
    <x v="2"/>
    <x v="5"/>
    <s v="Rio de Janeiro"/>
    <s v="Corporate"/>
    <x v="3"/>
    <x v="12"/>
    <x v="3"/>
    <x v="244"/>
    <n v="1013.54"/>
    <s v="OK"/>
    <n v="927.93"/>
    <n v="927.93"/>
    <n v="0.17499999999999999"/>
    <s v="OK"/>
    <n v="0.17499999999999999"/>
    <n v="0"/>
    <n v="-0.32395044166406234"/>
    <n v="16216.64"/>
    <n v="-3967.9639999999999"/>
    <n v="12248.675999999999"/>
    <s v="Q2-2023"/>
    <x v="12"/>
    <s v="Medium"/>
    <n v="16"/>
    <d v="2023-01-01T00:00:00"/>
    <d v="2023-04-01T00:00:00"/>
    <n v="0"/>
    <x v="12"/>
  </r>
  <r>
    <s v="ORD-2024-853298"/>
    <d v="2024-03-06T00:00:00"/>
    <d v="2024-03-26T00:00:00"/>
    <s v="OK"/>
    <d v="2024-03-26T00:00:00"/>
    <n v="20"/>
    <x v="0"/>
    <x v="1"/>
    <s v="Port Harcourt"/>
    <s v="Consumer"/>
    <x v="2"/>
    <x v="2"/>
    <x v="3"/>
    <x v="245"/>
    <n v="65.64"/>
    <s v="OK"/>
    <n v="151.88"/>
    <n v="151.88"/>
    <n v="0.16700000000000001"/>
    <s v="OK"/>
    <n v="0.16700000000000001"/>
    <n v="0"/>
    <n v="0.48117250587356353"/>
    <n v="1509.72"/>
    <n v="1400.1489199999999"/>
    <n v="2909.8689199999999"/>
    <s v="Q1-2024"/>
    <x v="0"/>
    <s v="Low"/>
    <n v="23"/>
    <d v="2023-01-01T00:00:00"/>
    <d v="2024-03-01T00:00:00"/>
    <n v="0"/>
    <x v="0"/>
  </r>
  <r>
    <s v="ORD-2024-544865"/>
    <d v="2024-02-16T00:00:00"/>
    <d v="2024-03-04T00:00:00"/>
    <s v="OK"/>
    <d v="2024-03-04T00:00:00"/>
    <n v="17"/>
    <x v="2"/>
    <x v="3"/>
    <s v="Montreal"/>
    <s v="Non-Profit"/>
    <x v="0"/>
    <x v="14"/>
    <x v="4"/>
    <x v="246"/>
    <n v="1350.98"/>
    <s v="OK"/>
    <n v="2210.4"/>
    <n v="2210.4"/>
    <n v="0.26300000000000001"/>
    <s v="OK"/>
    <n v="0.26300000000000001"/>
    <n v="1"/>
    <n v="0.17070211080615091"/>
    <n v="8105.88"/>
    <n v="1668.5088000000005"/>
    <n v="9774.3888000000006"/>
    <s v="Q1-2024"/>
    <x v="31"/>
    <s v="High"/>
    <n v="6"/>
    <d v="2023-01-01T00:00:00"/>
    <d v="2024-02-01T00:00:00"/>
    <n v="0"/>
    <x v="32"/>
  </r>
  <r>
    <s v="ORD-2025-946490"/>
    <d v="2025-04-22T00:00:00"/>
    <d v="2025-05-02T00:00:00"/>
    <s v="OK"/>
    <d v="2025-05-02T00:00:00"/>
    <n v="10"/>
    <x v="3"/>
    <x v="6"/>
    <s v="Berlin"/>
    <s v="Corporate"/>
    <x v="2"/>
    <x v="0"/>
    <x v="5"/>
    <x v="247"/>
    <n v="20.149999999999999"/>
    <s v="OK"/>
    <n v="39.74"/>
    <n v="39.74"/>
    <n v="0.151"/>
    <s v="OK"/>
    <n v="0.151"/>
    <n v="0"/>
    <n v="0.4027729120318585"/>
    <n v="362.7"/>
    <n v="244.60668000000004"/>
    <n v="607.30668000000003"/>
    <s v="Q2-2025"/>
    <x v="19"/>
    <s v="Low"/>
    <n v="18"/>
    <d v="2023-01-01T00:00:00"/>
    <d v="2025-04-01T00:00:00"/>
    <n v="0"/>
    <x v="18"/>
  </r>
  <r>
    <s v="ORD-2024-320972"/>
    <d v="2024-11-08T00:00:00"/>
    <d v="2024-11-08T00:00:00"/>
    <s v="OK"/>
    <d v="2024-11-08T00:00:00"/>
    <n v="0"/>
    <x v="0"/>
    <x v="0"/>
    <s v="Nakuru"/>
    <s v="Enterprise"/>
    <x v="2"/>
    <x v="12"/>
    <x v="2"/>
    <x v="248"/>
    <n v="803.28"/>
    <s v="OK"/>
    <n v="1009"/>
    <n v="1009"/>
    <n v="0.11"/>
    <s v="OK"/>
    <n v="0.11"/>
    <n v="0"/>
    <n v="0.10548880302001093"/>
    <n v="3213.12"/>
    <n v="378.92000000000007"/>
    <n v="3592.04"/>
    <s v="Q4-2024"/>
    <x v="18"/>
    <s v="Medium"/>
    <n v="4"/>
    <d v="2023-01-01T00:00:00"/>
    <d v="2024-11-01T00:00:00"/>
    <n v="1"/>
    <x v="10"/>
  </r>
  <r>
    <s v="ORD-2025-248586"/>
    <d v="2025-09-12T00:00:00"/>
    <d v="2025-09-30T00:00:00"/>
    <s v="OK"/>
    <d v="2025-09-30T00:00:00"/>
    <n v="18"/>
    <x v="1"/>
    <x v="2"/>
    <s v="Nagoya"/>
    <s v="Non-Profit"/>
    <x v="2"/>
    <x v="9"/>
    <x v="5"/>
    <x v="249"/>
    <n v="1212.99"/>
    <s v="OK"/>
    <n v="1653.64"/>
    <n v="1653.64"/>
    <n v="0.107"/>
    <s v="OK"/>
    <n v="0.107"/>
    <n v="0"/>
    <n v="0.17858090819931455"/>
    <n v="9703.92"/>
    <n v="2109.6841600000007"/>
    <n v="11813.604160000001"/>
    <s v="Q3-2025"/>
    <x v="11"/>
    <s v="Medium"/>
    <n v="8"/>
    <d v="2023-03-01T00:00:00"/>
    <d v="2025-09-01T00:00:00"/>
    <n v="0"/>
    <x v="13"/>
  </r>
  <r>
    <s v="ORD-2024-664046"/>
    <d v="2024-09-02T00:00:00"/>
    <d v="2024-09-08T00:00:00"/>
    <s v="OK"/>
    <d v="2024-09-08T00:00:00"/>
    <n v="6"/>
    <x v="2"/>
    <x v="10"/>
    <s v="Austin"/>
    <s v="Consumer"/>
    <x v="4"/>
    <x v="10"/>
    <x v="0"/>
    <x v="250"/>
    <n v="462.94"/>
    <s v="OK"/>
    <n v="1015.7"/>
    <n v="1015.7"/>
    <n v="0.14299999999999999"/>
    <s v="OK"/>
    <n v="0.14299999999999999"/>
    <n v="0"/>
    <n v="0.46816314090483041"/>
    <n v="6481.16"/>
    <n v="5705.2086000000018"/>
    <n v="12186.368600000002"/>
    <s v="Q3-2024"/>
    <x v="29"/>
    <s v="Medium"/>
    <n v="14"/>
    <d v="2023-01-01T00:00:00"/>
    <d v="2024-09-01T00:00:00"/>
    <n v="1"/>
    <x v="30"/>
  </r>
  <r>
    <s v="ORD-2023-276806"/>
    <d v="2023-03-04T00:00:00"/>
    <d v="2023-03-24T00:00:00"/>
    <s v="OK"/>
    <d v="2023-03-24T00:00:00"/>
    <n v="20"/>
    <x v="2"/>
    <x v="3"/>
    <s v="Montreal"/>
    <s v="Consumer"/>
    <x v="3"/>
    <x v="2"/>
    <x v="4"/>
    <x v="251"/>
    <n v="481.71"/>
    <s v="OK"/>
    <n v="912.45"/>
    <n v="912.45"/>
    <n v="0.20300000000000001"/>
    <s v="OK"/>
    <n v="0.20300000000000001"/>
    <n v="1"/>
    <n v="0.33760313983619739"/>
    <n v="11561.039999999999"/>
    <n v="5892.3036000000011"/>
    <n v="17453.3436"/>
    <s v="Q1-2023"/>
    <x v="22"/>
    <s v="Medium"/>
    <n v="24"/>
    <d v="2023-01-01T00:00:00"/>
    <d v="2023-03-01T00:00:00"/>
    <n v="0"/>
    <x v="21"/>
  </r>
  <r>
    <s v="ORD-2024-220234"/>
    <d v="2024-03-15T00:00:00"/>
    <d v="2024-04-09T00:00:00"/>
    <s v="OK"/>
    <d v="2024-04-09T00:00:00"/>
    <n v="25"/>
    <x v="2"/>
    <x v="3"/>
    <s v="Vancouver"/>
    <s v="Consumer"/>
    <x v="1"/>
    <x v="9"/>
    <x v="5"/>
    <x v="252"/>
    <n v="648.64"/>
    <s v="OK"/>
    <n v="815.19"/>
    <n v="815.19"/>
    <n v="0.22500000000000001"/>
    <s v="OK"/>
    <n v="0.22500000000000001"/>
    <n v="1"/>
    <n v="-2.6699099240272032E-2"/>
    <n v="18161.919999999998"/>
    <n v="-472.29699999999866"/>
    <n v="17689.623"/>
    <s v="Q1-2024"/>
    <x v="0"/>
    <s v="Medium"/>
    <n v="28"/>
    <d v="2023-01-01T00:00:00"/>
    <d v="2024-03-01T00:00:00"/>
    <n v="0"/>
    <x v="0"/>
  </r>
  <r>
    <s v="ORD-2024-301260"/>
    <d v="2024-07-29T00:00:00"/>
    <d v="2024-07-31T00:00:00"/>
    <s v="OK"/>
    <d v="2024-07-31T00:00:00"/>
    <n v="2"/>
    <x v="2"/>
    <x v="10"/>
    <s v="New York"/>
    <s v="Education"/>
    <x v="2"/>
    <x v="2"/>
    <x v="1"/>
    <x v="253"/>
    <n v="798.97"/>
    <s v="OK"/>
    <n v="1814.06"/>
    <n v="1814.06"/>
    <n v="0.122"/>
    <s v="OK"/>
    <n v="0.122"/>
    <n v="0"/>
    <n v="0.49836906691159061"/>
    <n v="12783.52"/>
    <n v="12700.39488"/>
    <n v="25483.91488"/>
    <s v="Q3-2024"/>
    <x v="14"/>
    <s v="Medium"/>
    <n v="16"/>
    <d v="2023-01-01T00:00:00"/>
    <d v="2024-07-01T00:00:00"/>
    <n v="1"/>
    <x v="14"/>
  </r>
  <r>
    <s v="ORD-2024-350100"/>
    <d v="2024-10-27T00:00:00"/>
    <d v="2024-11-20T00:00:00"/>
    <s v="OK"/>
    <d v="2024-11-20T00:00:00"/>
    <n v="24"/>
    <x v="1"/>
    <x v="2"/>
    <s v="Nagoya"/>
    <s v="Non-Profit"/>
    <x v="1"/>
    <x v="10"/>
    <x v="5"/>
    <x v="254"/>
    <n v="317.25"/>
    <s v="OK"/>
    <n v="758.92"/>
    <n v="758.92"/>
    <n v="5.2999999999999999E-2"/>
    <s v="OK"/>
    <n v="5.2999999999999999E-2"/>
    <n v="0"/>
    <n v="0.5585762928489888"/>
    <n v="2855.25"/>
    <n v="3613.0251599999992"/>
    <n v="6468.2751599999992"/>
    <s v="Q4-2024"/>
    <x v="1"/>
    <s v="Medium"/>
    <n v="9"/>
    <d v="2023-03-01T00:00:00"/>
    <d v="2024-10-01T00:00:00"/>
    <n v="0"/>
    <x v="20"/>
  </r>
  <r>
    <s v="ORD-2024-855600"/>
    <d v="2024-04-29T00:00:00"/>
    <d v="2024-05-19T00:00:00"/>
    <s v="OK"/>
    <d v="2024-05-19T00:00:00"/>
    <n v="20"/>
    <x v="3"/>
    <x v="6"/>
    <s v="Frankfurt"/>
    <s v="Enterprise"/>
    <x v="2"/>
    <x v="0"/>
    <x v="4"/>
    <x v="255"/>
    <n v="668.97"/>
    <s v="OK"/>
    <n v="1667.44"/>
    <n v="1667.44"/>
    <n v="3.4000000000000002E-2"/>
    <s v="OK"/>
    <n v="3.4000000000000002E-2"/>
    <n v="0"/>
    <n v="0.58468339013679016"/>
    <n v="10034.550000000001"/>
    <n v="14126.6556"/>
    <n v="24161.205600000001"/>
    <s v="Q2-2024"/>
    <x v="20"/>
    <s v="Medium"/>
    <n v="15"/>
    <d v="2023-01-01T00:00:00"/>
    <d v="2024-04-01T00:00:00"/>
    <n v="0"/>
    <x v="19"/>
  </r>
  <r>
    <s v="ORD-2023-474313"/>
    <d v="2023-10-05T00:00:00"/>
    <d v="2023-10-06T00:00:00"/>
    <s v="OK"/>
    <d v="2023-10-06T00:00:00"/>
    <n v="1"/>
    <x v="1"/>
    <x v="4"/>
    <s v="Bengaluru"/>
    <s v="Non-Profit"/>
    <x v="1"/>
    <x v="2"/>
    <x v="0"/>
    <x v="256"/>
    <n v="1470.26"/>
    <s v="OK"/>
    <n v="2562.5500000000002"/>
    <n v="2562.5500000000002"/>
    <n v="0.17299999999999999"/>
    <s v="OK"/>
    <n v="0.17299999999999999"/>
    <n v="0"/>
    <n v="0.30622877279157462"/>
    <n v="13232.34"/>
    <n v="5840.7196499999991"/>
    <n v="19073.059649999999"/>
    <s v="Q4-2023"/>
    <x v="32"/>
    <s v="High"/>
    <n v="9"/>
    <d v="2023-01-01T00:00:00"/>
    <d v="2023-10-01T00:00:00"/>
    <n v="1"/>
    <x v="4"/>
  </r>
  <r>
    <s v="ORD-2023-256951"/>
    <d v="2023-04-19T00:00:00"/>
    <d v="2023-05-07T00:00:00"/>
    <s v="OK"/>
    <d v="2023-05-07T00:00:00"/>
    <n v="18"/>
    <x v="3"/>
    <x v="8"/>
    <s v="London"/>
    <s v="Non-Profit"/>
    <x v="4"/>
    <x v="10"/>
    <x v="2"/>
    <x v="257"/>
    <n v="516.96"/>
    <s v="OK"/>
    <n v="745.38"/>
    <n v="745.38"/>
    <n v="0.19700000000000001"/>
    <s v="OK"/>
    <n v="0.19700000000000001"/>
    <n v="0"/>
    <n v="0.13629852794835101"/>
    <n v="2067.84"/>
    <n v="326.32055999999966"/>
    <n v="2394.1605599999998"/>
    <s v="Q2-2023"/>
    <x v="12"/>
    <s v="Medium"/>
    <n v="4"/>
    <d v="2023-01-01T00:00:00"/>
    <d v="2023-04-01T00:00:00"/>
    <n v="0"/>
    <x v="12"/>
  </r>
  <r>
    <s v="ORD-2025-184754"/>
    <d v="2025-06-27T00:00:00"/>
    <d v="2025-07-05T00:00:00"/>
    <s v="OK"/>
    <d v="2025-07-05T00:00:00"/>
    <n v="8"/>
    <x v="3"/>
    <x v="6"/>
    <s v="Munich"/>
    <s v="Small Business"/>
    <x v="4"/>
    <x v="3"/>
    <x v="5"/>
    <x v="258"/>
    <n v="314.93"/>
    <s v="OK"/>
    <n v="687.95"/>
    <n v="687.95"/>
    <n v="0.20499999999999999"/>
    <s v="OK"/>
    <n v="0.20499999999999999"/>
    <n v="1"/>
    <n v="0.424175645352316"/>
    <n v="2519.44"/>
    <n v="1855.922"/>
    <n v="4375.3620000000001"/>
    <s v="Q2-2025"/>
    <x v="16"/>
    <s v="Medium"/>
    <n v="8"/>
    <d v="2023-01-01T00:00:00"/>
    <d v="2025-06-01T00:00:00"/>
    <n v="0"/>
    <x v="16"/>
  </r>
  <r>
    <s v="ORD-2023-888140"/>
    <d v="2023-10-11T00:00:00"/>
    <d v="2023-10-13T00:00:00"/>
    <s v="OK"/>
    <d v="2023-10-13T00:00:00"/>
    <n v="2"/>
    <x v="2"/>
    <x v="5"/>
    <s v="Brasília"/>
    <s v="Consumer"/>
    <x v="3"/>
    <x v="15"/>
    <x v="6"/>
    <x v="259"/>
    <n v="715.94"/>
    <s v="OK"/>
    <n v="550.07000000000005"/>
    <n v="550.07000000000005"/>
    <n v="0.14000000000000001"/>
    <s v="OK"/>
    <n v="0.14000000000000001"/>
    <n v="0"/>
    <n v="-0.51342260456491595"/>
    <n v="11455.04"/>
    <n v="-3886.0768000000007"/>
    <n v="7568.9632000000001"/>
    <s v="Q4-2023"/>
    <x v="32"/>
    <s v="Low"/>
    <n v="16"/>
    <d v="2023-01-01T00:00:00"/>
    <d v="2023-10-01T00:00:00"/>
    <n v="1"/>
    <x v="4"/>
  </r>
  <r>
    <s v="ORD-2023-638181"/>
    <d v="2023-05-20T00:00:00"/>
    <d v="2023-06-07T00:00:00"/>
    <s v="OK"/>
    <d v="2023-06-07T00:00:00"/>
    <n v="18"/>
    <x v="0"/>
    <x v="1"/>
    <s v="Port Harcourt"/>
    <s v="Enterprise"/>
    <x v="3"/>
    <x v="6"/>
    <x v="0"/>
    <x v="260"/>
    <n v="1120.06"/>
    <s v="OK"/>
    <n v="2068.21"/>
    <n v="2068.21"/>
    <n v="7.8E-2"/>
    <s v="OK"/>
    <n v="7.8E-2"/>
    <n v="0"/>
    <n v="0.41262462795303284"/>
    <n v="13440.72"/>
    <n v="9441.9554400000034"/>
    <n v="22882.675440000003"/>
    <s v="Q2-2023"/>
    <x v="15"/>
    <s v="High"/>
    <n v="12"/>
    <d v="2023-01-01T00:00:00"/>
    <d v="2023-05-01T00:00:00"/>
    <n v="0"/>
    <x v="15"/>
  </r>
  <r>
    <s v="ORD-2023-521280"/>
    <d v="2023-05-27T00:00:00"/>
    <d v="2023-06-19T00:00:00"/>
    <s v="OK"/>
    <d v="2023-06-19T00:00:00"/>
    <n v="23"/>
    <x v="3"/>
    <x v="6"/>
    <s v="Berlin"/>
    <s v="Education"/>
    <x v="0"/>
    <x v="7"/>
    <x v="6"/>
    <x v="261"/>
    <n v="1471.58"/>
    <s v="OK"/>
    <n v="2576.65"/>
    <n v="2576.65"/>
    <n v="4.0000000000000001E-3"/>
    <s v="OK"/>
    <n v="4.0000000000000001E-3"/>
    <n v="0"/>
    <n v="0.4265849223451546"/>
    <n v="10301.06"/>
    <n v="7663.3438000000006"/>
    <n v="17964.4038"/>
    <s v="Q2-2023"/>
    <x v="15"/>
    <s v="High"/>
    <n v="7"/>
    <d v="2023-01-01T00:00:00"/>
    <d v="2023-05-01T00:00:00"/>
    <n v="0"/>
    <x v="15"/>
  </r>
  <r>
    <s v="ORD-2023-630430"/>
    <d v="2023-08-04T00:00:00"/>
    <d v="2023-08-24T00:00:00"/>
    <s v="OK"/>
    <d v="2023-08-24T00:00:00"/>
    <n v="20"/>
    <x v="2"/>
    <x v="5"/>
    <s v="Brasília"/>
    <s v="Non-Profit"/>
    <x v="4"/>
    <x v="15"/>
    <x v="2"/>
    <x v="262"/>
    <n v="582.88"/>
    <s v="OK"/>
    <n v="1044.1400000000001"/>
    <n v="1044.1400000000001"/>
    <n v="0.216"/>
    <s v="OK"/>
    <n v="0.216"/>
    <n v="1"/>
    <n v="0.28796005539956138"/>
    <n v="5828.8"/>
    <n v="2357.2576000000008"/>
    <n v="8186.057600000001"/>
    <s v="Q3-2023"/>
    <x v="25"/>
    <s v="Medium"/>
    <n v="10"/>
    <d v="2023-01-01T00:00:00"/>
    <d v="2023-08-01T00:00:00"/>
    <n v="0"/>
    <x v="25"/>
  </r>
  <r>
    <s v="ORD-2025-908258"/>
    <d v="2025-06-21T00:00:00"/>
    <d v="2025-06-27T00:00:00"/>
    <s v="OK"/>
    <d v="2025-06-27T00:00:00"/>
    <n v="6"/>
    <x v="0"/>
    <x v="11"/>
    <s v="Durban"/>
    <s v="Enterprise"/>
    <x v="3"/>
    <x v="13"/>
    <x v="3"/>
    <x v="263"/>
    <n v="93.91"/>
    <s v="OK"/>
    <n v="99.04"/>
    <n v="99.04"/>
    <n v="5.7000000000000002E-2"/>
    <s v="OK"/>
    <n v="5.7000000000000002E-2"/>
    <n v="0"/>
    <n v="-5.5172283829323376E-3"/>
    <n v="563.46"/>
    <n v="-3.0916800000001103"/>
    <n v="560.36831999999993"/>
    <s v="Q2-2025"/>
    <x v="16"/>
    <s v="Low"/>
    <n v="6"/>
    <d v="2023-01-01T00:00:00"/>
    <d v="2025-06-01T00:00:00"/>
    <n v="1"/>
    <x v="16"/>
  </r>
  <r>
    <s v="ORD-2025-440093"/>
    <d v="2025-04-16T00:00:00"/>
    <d v="2025-04-26T00:00:00"/>
    <s v="OK"/>
    <d v="2025-04-26T00:00:00"/>
    <n v="10"/>
    <x v="0"/>
    <x v="1"/>
    <s v="Port Harcourt"/>
    <s v="Enterprise"/>
    <x v="2"/>
    <x v="9"/>
    <x v="4"/>
    <x v="264"/>
    <n v="1457.44"/>
    <s v="OK"/>
    <n v="1996.81"/>
    <n v="1996.81"/>
    <n v="0.126"/>
    <s v="OK"/>
    <n v="0.126"/>
    <n v="0"/>
    <n v="0.16489225944672353"/>
    <n v="33521.120000000003"/>
    <n v="6618.7546199999924"/>
    <n v="40139.874619999995"/>
    <s v="Q2-2025"/>
    <x v="19"/>
    <s v="High"/>
    <n v="23"/>
    <d v="2023-01-01T00:00:00"/>
    <d v="2025-04-01T00:00:00"/>
    <n v="0"/>
    <x v="18"/>
  </r>
  <r>
    <s v="ORD-2025-898022"/>
    <d v="2025-09-02T00:00:00"/>
    <d v="2025-09-11T00:00:00"/>
    <s v="OK"/>
    <d v="2025-09-11T00:00:00"/>
    <n v="9"/>
    <x v="2"/>
    <x v="3"/>
    <s v="Toronto"/>
    <s v="Corporate"/>
    <x v="3"/>
    <x v="12"/>
    <x v="1"/>
    <x v="265"/>
    <n v="1207.6300000000001"/>
    <s v="OK"/>
    <n v="921.68"/>
    <n v="921.68"/>
    <n v="0.19600000000000001"/>
    <s v="OK"/>
    <n v="0.19600000000000001"/>
    <n v="0"/>
    <n v="-0.62966253274897988"/>
    <n v="20529.710000000003"/>
    <n v="-7932.1877600000025"/>
    <n v="12597.52224"/>
    <s v="Q3-2025"/>
    <x v="11"/>
    <s v="Medium"/>
    <n v="17"/>
    <d v="2023-01-01T00:00:00"/>
    <d v="2025-09-01T00:00:00"/>
    <n v="0"/>
    <x v="11"/>
  </r>
  <r>
    <s v="ORD-2024-500511"/>
    <d v="2024-10-08T00:00:00"/>
    <d v="2024-10-08T00:00:00"/>
    <s v="OK"/>
    <d v="2024-10-08T00:00:00"/>
    <n v="0"/>
    <x v="3"/>
    <x v="8"/>
    <s v="London"/>
    <s v="Corporate"/>
    <x v="1"/>
    <x v="6"/>
    <x v="5"/>
    <x v="266"/>
    <n v="1108.1099999999999"/>
    <s v="OK"/>
    <n v="2503.79"/>
    <n v="2503.79"/>
    <n v="0.184"/>
    <s v="OK"/>
    <n v="0.184"/>
    <n v="0"/>
    <n v="0.45763105485025896"/>
    <n v="21054.089999999997"/>
    <n v="17764.670160000009"/>
    <n v="38818.760160000005"/>
    <s v="Q4-2024"/>
    <x v="1"/>
    <s v="High"/>
    <n v="19"/>
    <d v="2023-01-01T00:00:00"/>
    <d v="2024-10-01T00:00:00"/>
    <n v="1"/>
    <x v="1"/>
  </r>
  <r>
    <s v="ORD-2023-632893"/>
    <d v="2023-05-07T00:00:00"/>
    <d v="2023-05-14T00:00:00"/>
    <s v="Check"/>
    <d v="2023-05-05T00:00:00"/>
    <n v="7"/>
    <x v="0"/>
    <x v="1"/>
    <s v="Port Harcourt"/>
    <s v="Non-Profit"/>
    <x v="2"/>
    <x v="8"/>
    <x v="0"/>
    <x v="267"/>
    <n v="1269.6500000000001"/>
    <s v="OK"/>
    <n v="2462.77"/>
    <n v="2462.77"/>
    <n v="0.107"/>
    <s v="OK"/>
    <n v="0.107"/>
    <n v="0"/>
    <n v="0.42269050089225502"/>
    <n v="10157.200000000001"/>
    <n v="7436.8288800000009"/>
    <n v="17594.028880000002"/>
    <s v="Q2-2023"/>
    <x v="15"/>
    <s v="High"/>
    <n v="8"/>
    <d v="2023-01-01T00:00:00"/>
    <d v="2023-05-01T00:00:00"/>
    <n v="1"/>
    <x v="15"/>
  </r>
  <r>
    <s v="ORD-2023-967239"/>
    <d v="2023-12-24T00:00:00"/>
    <d v="2024-01-01T00:00:00"/>
    <s v="OK"/>
    <d v="2024-01-01T00:00:00"/>
    <n v="8"/>
    <x v="2"/>
    <x v="5"/>
    <s v="São Paulo"/>
    <s v="Education"/>
    <x v="4"/>
    <x v="0"/>
    <x v="3"/>
    <x v="268"/>
    <n v="526.49"/>
    <s v="OK"/>
    <n v="496.2"/>
    <n v="496.2"/>
    <n v="0"/>
    <s v="OK"/>
    <n v="0"/>
    <n v="0"/>
    <n v="-6.1043933897621985E-2"/>
    <n v="7370.8600000000006"/>
    <n v="-424.0600000000004"/>
    <n v="6946.8"/>
    <s v="Q4-2023"/>
    <x v="4"/>
    <s v="Low"/>
    <n v="14"/>
    <d v="2023-01-01T00:00:00"/>
    <d v="2023-12-01T00:00:00"/>
    <n v="0"/>
    <x v="27"/>
  </r>
  <r>
    <s v="ORD-2024-885858"/>
    <d v="2024-01-10T00:00:00"/>
    <d v="2024-01-23T00:00:00"/>
    <s v="OK"/>
    <d v="2024-01-23T00:00:00"/>
    <n v="13"/>
    <x v="3"/>
    <x v="7"/>
    <s v="Marseille"/>
    <s v="Corporate"/>
    <x v="4"/>
    <x v="8"/>
    <x v="1"/>
    <x v="269"/>
    <n v="720"/>
    <s v="OK"/>
    <n v="907.59"/>
    <n v="907.59"/>
    <n v="0.154"/>
    <s v="OK"/>
    <n v="0.154"/>
    <n v="0"/>
    <n v="6.2281614179052078E-2"/>
    <n v="7200"/>
    <n v="478.21139999999923"/>
    <n v="7678.2113999999992"/>
    <s v="Q1-2024"/>
    <x v="9"/>
    <s v="Medium"/>
    <n v="10"/>
    <d v="2023-01-01T00:00:00"/>
    <d v="2024-01-01T00:00:00"/>
    <n v="0"/>
    <x v="9"/>
  </r>
  <r>
    <s v="ORD-2023-253245"/>
    <d v="2023-08-03T00:00:00"/>
    <d v="2023-08-14T00:00:00"/>
    <s v="OK"/>
    <d v="2023-08-14T00:00:00"/>
    <n v="11"/>
    <x v="2"/>
    <x v="5"/>
    <s v="Brasília"/>
    <s v="Corporate"/>
    <x v="4"/>
    <x v="1"/>
    <x v="6"/>
    <x v="270"/>
    <n v="232.73"/>
    <s v="OK"/>
    <n v="334.19"/>
    <n v="334.19"/>
    <n v="0.13400000000000001"/>
    <s v="OK"/>
    <n v="0.13400000000000001"/>
    <n v="0"/>
    <n v="0.1958426658729559"/>
    <n v="5818.25"/>
    <n v="1416.9634999999998"/>
    <n v="7235.2134999999998"/>
    <s v="Q3-2023"/>
    <x v="25"/>
    <s v="Low"/>
    <n v="25"/>
    <d v="2023-01-01T00:00:00"/>
    <d v="2023-08-01T00:00:00"/>
    <n v="0"/>
    <x v="25"/>
  </r>
  <r>
    <s v="ORD-2025-484073"/>
    <d v="2025-02-19T00:00:00"/>
    <d v="2025-03-09T00:00:00"/>
    <s v="OK"/>
    <d v="2025-03-09T00:00:00"/>
    <n v="18"/>
    <x v="1"/>
    <x v="4"/>
    <s v="Delhi"/>
    <s v="Small Business"/>
    <x v="4"/>
    <x v="7"/>
    <x v="5"/>
    <x v="271"/>
    <n v="325.87"/>
    <s v="OK"/>
    <n v="538.79"/>
    <n v="538.79"/>
    <n v="0.17399999999999999"/>
    <s v="OK"/>
    <n v="0.17399999999999999"/>
    <n v="0"/>
    <n v="0.26777457172778013"/>
    <n v="5213.92"/>
    <n v="1906.7286400000003"/>
    <n v="7120.6486400000003"/>
    <s v="Q1-2025"/>
    <x v="26"/>
    <s v="Low"/>
    <n v="16"/>
    <d v="2023-01-01T00:00:00"/>
    <d v="2025-02-01T00:00:00"/>
    <n v="0"/>
    <x v="26"/>
  </r>
  <r>
    <s v="ORD-2024-745822"/>
    <d v="2024-03-31T00:00:00"/>
    <d v="2024-04-17T00:00:00"/>
    <s v="OK"/>
    <d v="2024-04-17T00:00:00"/>
    <n v="17"/>
    <x v="3"/>
    <x v="6"/>
    <s v="Frankfurt"/>
    <s v="Education"/>
    <x v="4"/>
    <x v="10"/>
    <x v="5"/>
    <x v="272"/>
    <n v="1025.51"/>
    <s v="OK"/>
    <n v="1436.54"/>
    <n v="1436.54"/>
    <n v="0.13900000000000001"/>
    <s v="OK"/>
    <n v="0.13900000000000001"/>
    <n v="0"/>
    <n v="0.17087688127656453"/>
    <n v="28714.28"/>
    <n v="5917.8263200000001"/>
    <n v="34632.106319999999"/>
    <s v="Q1-2024"/>
    <x v="0"/>
    <s v="Medium"/>
    <n v="28"/>
    <d v="2023-01-01T00:00:00"/>
    <d v="2024-03-01T00:00:00"/>
    <n v="0"/>
    <x v="0"/>
  </r>
  <r>
    <s v="ORD-2023-369160"/>
    <d v="2023-07-24T00:00:00"/>
    <d v="2023-08-13T00:00:00"/>
    <s v="OK"/>
    <d v="2023-08-13T00:00:00"/>
    <n v="20"/>
    <x v="2"/>
    <x v="3"/>
    <s v="Montreal"/>
    <s v="Education"/>
    <x v="4"/>
    <x v="0"/>
    <x v="5"/>
    <x v="273"/>
    <n v="1082.3800000000001"/>
    <s v="OK"/>
    <n v="1766.55"/>
    <n v="1766.55"/>
    <n v="0.16400000000000001"/>
    <s v="OK"/>
    <n v="0.16400000000000001"/>
    <n v="0"/>
    <n v="0.26709523157550752"/>
    <n v="21647.600000000002"/>
    <n v="7889.1159999999982"/>
    <n v="29536.716"/>
    <s v="Q3-2023"/>
    <x v="24"/>
    <s v="Medium"/>
    <n v="20"/>
    <d v="2023-01-01T00:00:00"/>
    <d v="2023-07-01T00:00:00"/>
    <n v="0"/>
    <x v="23"/>
  </r>
  <r>
    <s v="ORD-2024-834983"/>
    <d v="2024-03-16T00:00:00"/>
    <d v="2024-04-13T00:00:00"/>
    <s v="OK"/>
    <d v="2024-04-13T00:00:00"/>
    <n v="28"/>
    <x v="3"/>
    <x v="7"/>
    <s v="Paris"/>
    <s v="Small Business"/>
    <x v="1"/>
    <x v="11"/>
    <x v="1"/>
    <x v="274"/>
    <n v="287.61"/>
    <s v="OK"/>
    <n v="628.54"/>
    <n v="628.54"/>
    <n v="0.13500000000000001"/>
    <s v="OK"/>
    <n v="0.13500000000000001"/>
    <n v="0"/>
    <n v="0.47100087531964613"/>
    <n v="6039.81"/>
    <n v="5377.619099999999"/>
    <n v="11417.429099999999"/>
    <s v="Q1-2024"/>
    <x v="0"/>
    <s v="Medium"/>
    <n v="21"/>
    <d v="2023-01-01T00:00:00"/>
    <d v="2024-03-01T00:00:00"/>
    <n v="0"/>
    <x v="0"/>
  </r>
  <r>
    <s v="ORD-2024-499009"/>
    <d v="2024-01-25T00:00:00"/>
    <d v="2024-01-27T00:00:00"/>
    <s v="OK"/>
    <d v="2024-01-27T00:00:00"/>
    <n v="2"/>
    <x v="2"/>
    <x v="5"/>
    <s v="São Paulo"/>
    <s v="Non-Profit"/>
    <x v="2"/>
    <x v="13"/>
    <x v="4"/>
    <x v="275"/>
    <n v="1410.97"/>
    <s v="OK"/>
    <n v="1650.75"/>
    <n v="1650.75"/>
    <n v="0.13500000000000001"/>
    <s v="OK"/>
    <n v="0.13500000000000001"/>
    <n v="0"/>
    <n v="1.1855707556295596E-2"/>
    <n v="8465.82"/>
    <n v="101.57250000000022"/>
    <n v="8567.3924999999999"/>
    <s v="Q1-2024"/>
    <x v="9"/>
    <s v="Medium"/>
    <n v="6"/>
    <d v="2023-01-01T00:00:00"/>
    <d v="2024-01-01T00:00:00"/>
    <n v="1"/>
    <x v="9"/>
  </r>
  <r>
    <s v="ORD-2024-948800"/>
    <d v="2024-03-27T00:00:00"/>
    <d v="2024-04-11T00:00:00"/>
    <s v="OK"/>
    <d v="2024-04-11T00:00:00"/>
    <n v="15"/>
    <x v="2"/>
    <x v="10"/>
    <s v="San Francisco"/>
    <s v="Small Business"/>
    <x v="4"/>
    <x v="7"/>
    <x v="2"/>
    <x v="276"/>
    <n v="1338.35"/>
    <s v="OK"/>
    <n v="2247.14"/>
    <n v="2247.14"/>
    <n v="0.115"/>
    <s v="OK"/>
    <n v="0.115"/>
    <n v="0"/>
    <n v="0.32702907384246205"/>
    <n v="53534"/>
    <n v="26014.755999999994"/>
    <n v="79548.755999999994"/>
    <s v="Q1-2024"/>
    <x v="0"/>
    <s v="High"/>
    <n v="40"/>
    <d v="2023-01-01T00:00:00"/>
    <d v="2024-03-01T00:00:00"/>
    <n v="0"/>
    <x v="0"/>
  </r>
  <r>
    <s v="ORD-2025-678328"/>
    <d v="2025-06-24T00:00:00"/>
    <d v="2025-07-14T00:00:00"/>
    <s v="OK"/>
    <d v="2025-07-14T00:00:00"/>
    <n v="20"/>
    <x v="3"/>
    <x v="6"/>
    <s v="Berlin"/>
    <s v="Corporate"/>
    <x v="4"/>
    <x v="7"/>
    <x v="6"/>
    <x v="277"/>
    <n v="385.08"/>
    <s v="OK"/>
    <n v="893.19"/>
    <n v="893.19"/>
    <n v="0.151"/>
    <s v="OK"/>
    <n v="0.151"/>
    <n v="0"/>
    <n v="0.49219213762621666"/>
    <n v="3080.64"/>
    <n v="2985.9064800000001"/>
    <n v="6066.54648"/>
    <s v="Q2-2025"/>
    <x v="16"/>
    <s v="Medium"/>
    <n v="8"/>
    <d v="2023-01-01T00:00:00"/>
    <d v="2025-06-01T00:00:00"/>
    <n v="0"/>
    <x v="16"/>
  </r>
  <r>
    <s v="ORD-2024-580808"/>
    <d v="2024-06-16T00:00:00"/>
    <d v="2024-07-03T00:00:00"/>
    <s v="OK"/>
    <d v="2024-07-03T00:00:00"/>
    <n v="17"/>
    <x v="0"/>
    <x v="11"/>
    <s v="Johannesburg"/>
    <s v="Enterprise"/>
    <x v="2"/>
    <x v="9"/>
    <x v="3"/>
    <x v="278"/>
    <n v="1173.83"/>
    <s v="OK"/>
    <n v="2328.9"/>
    <n v="2328.9"/>
    <n v="0.12"/>
    <s v="OK"/>
    <n v="0.12"/>
    <n v="0"/>
    <n v="0.42724130393201637"/>
    <n v="19955.11"/>
    <n v="14885.234000000004"/>
    <n v="34840.344000000005"/>
    <s v="Q2-2024"/>
    <x v="17"/>
    <s v="High"/>
    <n v="17"/>
    <d v="2023-01-01T00:00:00"/>
    <d v="2024-06-01T00:00:00"/>
    <n v="0"/>
    <x v="17"/>
  </r>
  <r>
    <s v="ORD-2023-211715"/>
    <d v="2023-10-30T00:00:00"/>
    <d v="2023-11-14T00:00:00"/>
    <s v="OK"/>
    <d v="2023-11-14T00:00:00"/>
    <n v="15"/>
    <x v="1"/>
    <x v="4"/>
    <s v="Bengaluru"/>
    <s v="Corporate"/>
    <x v="1"/>
    <x v="9"/>
    <x v="4"/>
    <x v="279"/>
    <n v="953.46"/>
    <s v="OK"/>
    <n v="2066.75"/>
    <n v="2066.75"/>
    <n v="0.13800000000000001"/>
    <s v="OK"/>
    <n v="0.13800000000000001"/>
    <n v="0"/>
    <n v="0.46481089238318446"/>
    <n v="4767.3"/>
    <n v="4140.392499999999"/>
    <n v="8907.6924999999992"/>
    <s v="Q4-2023"/>
    <x v="32"/>
    <s v="High"/>
    <n v="5"/>
    <d v="2023-01-01T00:00:00"/>
    <d v="2023-10-01T00:00:00"/>
    <n v="0"/>
    <x v="4"/>
  </r>
  <r>
    <s v="ORD-2023-715175"/>
    <d v="2023-06-15T00:00:00"/>
    <d v="2023-06-23T00:00:00"/>
    <s v="OK"/>
    <d v="2023-06-23T00:00:00"/>
    <n v="8"/>
    <x v="2"/>
    <x v="10"/>
    <s v="San Francisco"/>
    <s v="Consumer"/>
    <x v="3"/>
    <x v="7"/>
    <x v="5"/>
    <x v="280"/>
    <n v="1097.0899999999999"/>
    <s v="OK"/>
    <n v="2182.31"/>
    <n v="2182.31"/>
    <n v="0.112"/>
    <s v="OK"/>
    <n v="0.112"/>
    <n v="0"/>
    <n v="0.43387432962699546"/>
    <n v="9873.81"/>
    <n v="7567.2115200000026"/>
    <n v="17441.021520000002"/>
    <s v="Q2-2023"/>
    <x v="23"/>
    <s v="High"/>
    <n v="9"/>
    <d v="2023-01-01T00:00:00"/>
    <d v="2023-06-01T00:00:00"/>
    <n v="0"/>
    <x v="22"/>
  </r>
  <r>
    <s v="ORD-2025-685236"/>
    <d v="2025-03-14T00:00:00"/>
    <d v="2025-03-29T00:00:00"/>
    <s v="OK"/>
    <d v="2025-03-29T00:00:00"/>
    <n v="15"/>
    <x v="1"/>
    <x v="2"/>
    <s v="Tokyo"/>
    <s v="Non-Profit"/>
    <x v="4"/>
    <x v="10"/>
    <x v="2"/>
    <x v="281"/>
    <n v="1106.96"/>
    <s v="OK"/>
    <n v="2726.62"/>
    <n v="2726.62"/>
    <n v="0.3"/>
    <s v="Check"/>
    <n v="0.317"/>
    <n v="1"/>
    <n v="0.42002500217432992"/>
    <n v="7748.72"/>
    <n v="5611.7179999999998"/>
    <n v="13360.438"/>
    <s v="Q1-2025"/>
    <x v="3"/>
    <s v="High"/>
    <n v="7"/>
    <d v="2023-03-01T00:00:00"/>
    <d v="2025-03-01T00:00:00"/>
    <n v="0"/>
    <x v="24"/>
  </r>
  <r>
    <s v="ORD-2023-274037"/>
    <d v="2023-08-15T00:00:00"/>
    <d v="2023-08-25T00:00:00"/>
    <s v="OK"/>
    <d v="2023-08-25T00:00:00"/>
    <n v="10"/>
    <x v="0"/>
    <x v="0"/>
    <s v="Nairobi"/>
    <s v="Small Business"/>
    <x v="0"/>
    <x v="13"/>
    <x v="3"/>
    <x v="282"/>
    <n v="91.85"/>
    <s v="OK"/>
    <n v="111.29"/>
    <n v="111.29"/>
    <n v="0"/>
    <s v="OK"/>
    <n v="0"/>
    <n v="0"/>
    <n v="0.17467876718483258"/>
    <n v="551.09999999999991"/>
    <n v="116.6400000000001"/>
    <n v="667.74"/>
    <s v="Q3-2023"/>
    <x v="25"/>
    <s v="Low"/>
    <n v="6"/>
    <d v="2023-01-01T00:00:00"/>
    <d v="2023-08-01T00:00:00"/>
    <n v="0"/>
    <x v="25"/>
  </r>
  <r>
    <s v="ORD-2025-983096"/>
    <d v="2025-05-17T00:00:00"/>
    <d v="2025-05-28T00:00:00"/>
    <s v="OK"/>
    <d v="2025-05-28T00:00:00"/>
    <n v="11"/>
    <x v="1"/>
    <x v="4"/>
    <s v="Bengaluru"/>
    <s v="Corporate"/>
    <x v="3"/>
    <x v="5"/>
    <x v="4"/>
    <x v="283"/>
    <n v="623.4"/>
    <s v="OK"/>
    <n v="1100.0899999999999"/>
    <n v="1100.0899999999999"/>
    <n v="0.114"/>
    <s v="OK"/>
    <n v="0.114"/>
    <n v="0"/>
    <n v="0.36040529579490388"/>
    <n v="7480.7999999999993"/>
    <n v="4215.3568799999994"/>
    <n v="11696.156879999999"/>
    <s v="Q2-2025"/>
    <x v="8"/>
    <s v="Medium"/>
    <n v="12"/>
    <d v="2023-01-01T00:00:00"/>
    <d v="2025-05-01T00:00:00"/>
    <n v="0"/>
    <x v="8"/>
  </r>
  <r>
    <s v="ORD-2024-366010"/>
    <d v="2024-01-13T00:00:00"/>
    <d v="2024-02-05T00:00:00"/>
    <s v="OK"/>
    <d v="2024-02-05T00:00:00"/>
    <n v="23"/>
    <x v="3"/>
    <x v="6"/>
    <s v="Frankfurt"/>
    <s v="Education"/>
    <x v="4"/>
    <x v="5"/>
    <x v="4"/>
    <x v="284"/>
    <n v="1017.93"/>
    <s v="OK"/>
    <n v="1529.14"/>
    <n v="1529.14"/>
    <n v="0.155"/>
    <s v="OK"/>
    <n v="0.155"/>
    <n v="0"/>
    <n v="0.21220366508366503"/>
    <n v="12215.16"/>
    <n v="3290.3196000000007"/>
    <n v="15505.479600000001"/>
    <s v="Q1-2024"/>
    <x v="9"/>
    <s v="Medium"/>
    <n v="12"/>
    <d v="2023-01-01T00:00:00"/>
    <d v="2024-01-01T00:00:00"/>
    <n v="0"/>
    <x v="9"/>
  </r>
  <r>
    <s v="ORD-2023-610470"/>
    <d v="2023-06-24T00:00:00"/>
    <d v="2023-07-21T00:00:00"/>
    <s v="OK"/>
    <d v="2023-07-21T00:00:00"/>
    <n v="27"/>
    <x v="1"/>
    <x v="2"/>
    <s v="Nagoya"/>
    <s v="Consumer"/>
    <x v="2"/>
    <x v="1"/>
    <x v="3"/>
    <x v="285"/>
    <n v="554.76"/>
    <s v="OK"/>
    <n v="728.69"/>
    <n v="728.69"/>
    <n v="0.22"/>
    <s v="OK"/>
    <n v="0.22"/>
    <n v="1"/>
    <n v="2.395975074343119E-2"/>
    <n v="3883.3199999999997"/>
    <n v="95.32740000000058"/>
    <n v="3978.6474000000003"/>
    <s v="Q2-2023"/>
    <x v="23"/>
    <s v="Medium"/>
    <n v="7"/>
    <d v="2023-03-01T00:00:00"/>
    <d v="2023-06-01T00:00:00"/>
    <n v="0"/>
    <x v="12"/>
  </r>
  <r>
    <s v="ORD-2025-541048"/>
    <d v="2025-04-04T00:00:00"/>
    <d v="2025-04-13T00:00:00"/>
    <s v="OK"/>
    <d v="2025-04-13T00:00:00"/>
    <n v="9"/>
    <x v="3"/>
    <x v="6"/>
    <s v="Munich"/>
    <s v="Consumer"/>
    <x v="2"/>
    <x v="9"/>
    <x v="3"/>
    <x v="286"/>
    <n v="7.02"/>
    <s v="OK"/>
    <n v="6.28"/>
    <n v="6.28"/>
    <n v="0.13400000000000001"/>
    <s v="OK"/>
    <n v="0.13400000000000001"/>
    <n v="0"/>
    <n v="-0.29080184169106066"/>
    <n v="98.28"/>
    <n v="-22.141279999999995"/>
    <n v="76.138720000000006"/>
    <s v="Q2-2025"/>
    <x v="19"/>
    <s v="Low"/>
    <n v="14"/>
    <d v="2023-01-01T00:00:00"/>
    <d v="2025-04-01T00:00:00"/>
    <n v="0"/>
    <x v="18"/>
  </r>
  <r>
    <s v="ORD-2024-862371"/>
    <d v="2024-09-07T00:00:00"/>
    <d v="2024-09-07T00:00:00"/>
    <s v="OK"/>
    <d v="2024-09-07T00:00:00"/>
    <n v="0"/>
    <x v="1"/>
    <x v="4"/>
    <s v="Mumbai"/>
    <s v="Education"/>
    <x v="3"/>
    <x v="5"/>
    <x v="2"/>
    <x v="287"/>
    <n v="1066.6500000000001"/>
    <s v="OK"/>
    <n v="2569.77"/>
    <n v="2569.77"/>
    <n v="0.13400000000000001"/>
    <s v="OK"/>
    <n v="0.13400000000000001"/>
    <n v="0"/>
    <n v="0.52069739331368348"/>
    <n v="9599.85"/>
    <n v="10428.937380000001"/>
    <n v="20028.787380000002"/>
    <s v="Q3-2024"/>
    <x v="29"/>
    <s v="High"/>
    <n v="9"/>
    <d v="2023-01-01T00:00:00"/>
    <d v="2024-09-01T00:00:00"/>
    <n v="1"/>
    <x v="30"/>
  </r>
  <r>
    <s v="ORD-2024-277241"/>
    <d v="2024-01-28T00:00:00"/>
    <d v="2024-01-30T00:00:00"/>
    <s v="OK"/>
    <d v="2024-01-30T00:00:00"/>
    <n v="2"/>
    <x v="0"/>
    <x v="11"/>
    <s v="Cape Town"/>
    <s v="Consumer"/>
    <x v="4"/>
    <x v="9"/>
    <x v="6"/>
    <x v="288"/>
    <n v="798.45"/>
    <s v="OK"/>
    <n v="1592.02"/>
    <n v="1592.02"/>
    <n v="6.6000000000000003E-2"/>
    <s v="OK"/>
    <n v="6.6000000000000003E-2"/>
    <n v="0"/>
    <n v="0.46302714768494585"/>
    <n v="14372.1"/>
    <n v="12392.940239999998"/>
    <n v="26765.040239999998"/>
    <s v="Q1-2024"/>
    <x v="9"/>
    <s v="Medium"/>
    <n v="18"/>
    <d v="2023-01-01T00:00:00"/>
    <d v="2024-01-01T00:00:00"/>
    <n v="1"/>
    <x v="9"/>
  </r>
  <r>
    <s v="ORD-2023-369150"/>
    <d v="2023-07-18T00:00:00"/>
    <d v="2023-08-10T00:00:00"/>
    <s v="OK"/>
    <d v="2023-08-10T00:00:00"/>
    <n v="23"/>
    <x v="0"/>
    <x v="11"/>
    <s v="Johannesburg"/>
    <s v="Small Business"/>
    <x v="0"/>
    <x v="4"/>
    <x v="0"/>
    <x v="289"/>
    <n v="1271.56"/>
    <s v="OK"/>
    <n v="995.47"/>
    <n v="995.47"/>
    <n v="0.192"/>
    <s v="OK"/>
    <n v="0.192"/>
    <n v="0"/>
    <n v="-0.58087423155607754"/>
    <n v="16530.28"/>
    <n v="-6073.8631199999982"/>
    <n v="10456.416880000001"/>
    <s v="Q3-2023"/>
    <x v="24"/>
    <s v="Medium"/>
    <n v="13"/>
    <d v="2023-01-01T00:00:00"/>
    <d v="2023-07-01T00:00:00"/>
    <n v="0"/>
    <x v="23"/>
  </r>
  <r>
    <s v="ORD-2025-922513"/>
    <d v="2025-08-28T00:00:00"/>
    <d v="2025-09-04T00:00:00"/>
    <s v="Check"/>
    <d v="2025-08-26T00:00:00"/>
    <n v="7"/>
    <x v="0"/>
    <x v="1"/>
    <s v="Port Harcourt"/>
    <s v="Small Business"/>
    <x v="0"/>
    <x v="8"/>
    <x v="6"/>
    <x v="290"/>
    <n v="521.05999999999995"/>
    <s v="OK"/>
    <n v="1240.31"/>
    <n v="1240.31"/>
    <n v="0.14599999999999999"/>
    <s v="OK"/>
    <n v="0.14599999999999999"/>
    <n v="0"/>
    <n v="0.50807417885650974"/>
    <n v="9379.0799999999981"/>
    <n v="9686.9653199999993"/>
    <n v="19066.045319999997"/>
    <s v="Q3-2025"/>
    <x v="28"/>
    <s v="Medium"/>
    <n v="18"/>
    <d v="2023-01-01T00:00:00"/>
    <d v="2025-08-01T00:00:00"/>
    <n v="1"/>
    <x v="29"/>
  </r>
  <r>
    <s v="ORD-2025-752845"/>
    <d v="2025-03-30T00:00:00"/>
    <d v="2025-04-07T00:00:00"/>
    <s v="OK"/>
    <d v="2025-04-07T00:00:00"/>
    <n v="8"/>
    <x v="2"/>
    <x v="5"/>
    <s v="São Paulo"/>
    <s v="Non-Profit"/>
    <x v="4"/>
    <x v="4"/>
    <x v="1"/>
    <x v="291"/>
    <n v="71.62"/>
    <s v="OK"/>
    <n v="118.37"/>
    <n v="118.37"/>
    <n v="0.156"/>
    <s v="OK"/>
    <n v="0.156"/>
    <n v="0"/>
    <n v="0.28311379652603474"/>
    <n v="787.82"/>
    <n v="311.12708000000009"/>
    <n v="1098.9470800000001"/>
    <s v="Q1-2025"/>
    <x v="3"/>
    <s v="Low"/>
    <n v="11"/>
    <d v="2023-01-01T00:00:00"/>
    <d v="2025-03-01T00:00:00"/>
    <n v="0"/>
    <x v="3"/>
  </r>
  <r>
    <s v="ORD-2023-667815"/>
    <d v="2023-10-21T00:00:00"/>
    <d v="2023-11-09T00:00:00"/>
    <s v="OK"/>
    <d v="2023-11-09T00:00:00"/>
    <n v="19"/>
    <x v="3"/>
    <x v="8"/>
    <s v="London"/>
    <s v="Non-Profit"/>
    <x v="4"/>
    <x v="8"/>
    <x v="6"/>
    <x v="292"/>
    <n v="1142.48"/>
    <s v="OK"/>
    <n v="2105.5300000000002"/>
    <n v="2105.5300000000002"/>
    <n v="0.20699999999999999"/>
    <s v="OK"/>
    <n v="0.20699999999999999"/>
    <n v="1"/>
    <n v="0.31575129346680658"/>
    <n v="15994.720000000001"/>
    <n v="7380.8740600000019"/>
    <n v="23375.594060000003"/>
    <s v="Q4-2023"/>
    <x v="32"/>
    <s v="High"/>
    <n v="14"/>
    <d v="2023-01-01T00:00:00"/>
    <d v="2023-10-01T00:00:00"/>
    <n v="0"/>
    <x v="4"/>
  </r>
  <r>
    <s v="ORD-2023-375011"/>
    <d v="2023-08-23T00:00:00"/>
    <d v="2023-09-22T00:00:00"/>
    <s v="OK"/>
    <d v="2023-09-22T00:00:00"/>
    <n v="30"/>
    <x v="3"/>
    <x v="8"/>
    <s v="London"/>
    <s v="Consumer"/>
    <x v="3"/>
    <x v="7"/>
    <x v="6"/>
    <x v="293"/>
    <n v="209.81"/>
    <s v="OK"/>
    <n v="523"/>
    <n v="523"/>
    <n v="5.8999999999999997E-2"/>
    <s v="OK"/>
    <n v="5.8999999999999997E-2"/>
    <n v="0"/>
    <n v="0.57368082041195356"/>
    <n v="3147.15"/>
    <n v="4234.9950000000008"/>
    <n v="7382.1450000000004"/>
    <s v="Q3-2023"/>
    <x v="25"/>
    <s v="Low"/>
    <n v="15"/>
    <d v="2023-01-01T00:00:00"/>
    <d v="2023-08-01T00:00:00"/>
    <n v="0"/>
    <x v="25"/>
  </r>
  <r>
    <s v="ORD-2025-487025"/>
    <d v="2025-04-11T00:00:00"/>
    <d v="2025-05-04T00:00:00"/>
    <s v="OK"/>
    <d v="2025-05-04T00:00:00"/>
    <n v="23"/>
    <x v="1"/>
    <x v="2"/>
    <s v="Osaka"/>
    <s v="Small Business"/>
    <x v="1"/>
    <x v="12"/>
    <x v="0"/>
    <x v="294"/>
    <n v="786.2"/>
    <s v="OK"/>
    <n v="1075.3"/>
    <n v="1075.3"/>
    <n v="0.08"/>
    <s v="OK"/>
    <n v="0.08"/>
    <n v="0"/>
    <n v="0.20527739478163815"/>
    <n v="7075.8"/>
    <n v="1827.6839999999984"/>
    <n v="8903.4839999999986"/>
    <s v="Q2-2025"/>
    <x v="19"/>
    <s v="Medium"/>
    <n v="9"/>
    <d v="2023-03-01T00:00:00"/>
    <d v="2025-04-01T00:00:00"/>
    <n v="0"/>
    <x v="26"/>
  </r>
  <r>
    <s v="ORD-2025-398335"/>
    <d v="2025-06-01T00:00:00"/>
    <d v="2025-06-27T00:00:00"/>
    <s v="OK"/>
    <d v="2025-06-27T00:00:00"/>
    <n v="26"/>
    <x v="3"/>
    <x v="6"/>
    <s v="Munich"/>
    <s v="Consumer"/>
    <x v="3"/>
    <x v="6"/>
    <x v="4"/>
    <x v="295"/>
    <n v="1362.31"/>
    <s v="OK"/>
    <n v="3294.57"/>
    <n v="3294.57"/>
    <n v="0.113"/>
    <s v="OK"/>
    <n v="0.113"/>
    <n v="0"/>
    <n v="0.5338200561157721"/>
    <n v="9536.17"/>
    <n v="10919.815130000001"/>
    <n v="20455.985130000001"/>
    <s v="Q2-2025"/>
    <x v="16"/>
    <s v="High"/>
    <n v="7"/>
    <d v="2023-01-01T00:00:00"/>
    <d v="2025-06-01T00:00:00"/>
    <n v="0"/>
    <x v="16"/>
  </r>
  <r>
    <s v="ORD-2024-792137"/>
    <d v="2024-03-02T00:00:00"/>
    <d v="2024-03-16T00:00:00"/>
    <s v="OK"/>
    <d v="2024-03-16T00:00:00"/>
    <n v="14"/>
    <x v="2"/>
    <x v="3"/>
    <s v="Vancouver"/>
    <s v="Non-Profit"/>
    <x v="4"/>
    <x v="7"/>
    <x v="1"/>
    <x v="296"/>
    <n v="248.24"/>
    <s v="OK"/>
    <n v="464.05"/>
    <n v="464.05"/>
    <n v="0.16900000000000001"/>
    <s v="OK"/>
    <n v="0.16900000000000001"/>
    <n v="0"/>
    <n v="0.3562667203975462"/>
    <n v="2730.6400000000003"/>
    <n v="1511.2410499999996"/>
    <n v="4241.88105"/>
    <s v="Q1-2024"/>
    <x v="0"/>
    <s v="Low"/>
    <n v="11"/>
    <d v="2023-01-01T00:00:00"/>
    <d v="2024-03-01T00:00:00"/>
    <n v="0"/>
    <x v="0"/>
  </r>
  <r>
    <s v="ORD-2023-602648"/>
    <d v="2023-06-20T00:00:00"/>
    <d v="2023-07-08T00:00:00"/>
    <s v="OK"/>
    <d v="2023-07-08T00:00:00"/>
    <n v="18"/>
    <x v="2"/>
    <x v="10"/>
    <s v="Austin"/>
    <s v="Non-Profit"/>
    <x v="4"/>
    <x v="9"/>
    <x v="5"/>
    <x v="297"/>
    <n v="337"/>
    <s v="OK"/>
    <n v="511.03"/>
    <n v="511.03"/>
    <n v="0.108"/>
    <s v="OK"/>
    <n v="0.108"/>
    <n v="0"/>
    <n v="0.26070349963219458"/>
    <n v="2359"/>
    <n v="831.8713200000002"/>
    <n v="3190.8713200000002"/>
    <s v="Q2-2023"/>
    <x v="23"/>
    <s v="Low"/>
    <n v="7"/>
    <d v="2023-01-01T00:00:00"/>
    <d v="2023-06-01T00:00:00"/>
    <n v="0"/>
    <x v="22"/>
  </r>
  <r>
    <s v="ORD-2024-207096"/>
    <d v="2024-03-26T00:00:00"/>
    <d v="2024-04-05T00:00:00"/>
    <s v="OK"/>
    <d v="2024-04-05T00:00:00"/>
    <n v="10"/>
    <x v="2"/>
    <x v="10"/>
    <s v="Austin"/>
    <s v="Consumer"/>
    <x v="4"/>
    <x v="1"/>
    <x v="5"/>
    <x v="298"/>
    <n v="5.66"/>
    <s v="OK"/>
    <n v="4.22"/>
    <n v="4.22"/>
    <n v="0.11899999999999999"/>
    <s v="OK"/>
    <n v="0.11899999999999999"/>
    <n v="0"/>
    <n v="-0.52239753403876454"/>
    <n v="101.88"/>
    <n v="-34.959239999999994"/>
    <n v="66.920760000000001"/>
    <s v="Q1-2024"/>
    <x v="0"/>
    <s v="Low"/>
    <n v="18"/>
    <d v="2023-01-01T00:00:00"/>
    <d v="2024-03-01T00:00:00"/>
    <n v="0"/>
    <x v="0"/>
  </r>
  <r>
    <s v="ORD-2025-939953"/>
    <d v="2025-01-22T00:00:00"/>
    <d v="2025-01-22T00:00:00"/>
    <s v="OK"/>
    <d v="2025-01-22T00:00:00"/>
    <n v="0"/>
    <x v="3"/>
    <x v="7"/>
    <s v="Lyon"/>
    <s v="Small Business"/>
    <x v="1"/>
    <x v="5"/>
    <x v="6"/>
    <x v="299"/>
    <n v="591.72"/>
    <s v="OK"/>
    <n v="577.24"/>
    <n v="577.24"/>
    <n v="0"/>
    <s v="OK"/>
    <n v="0"/>
    <n v="0"/>
    <n v="-2.5084886702238195E-2"/>
    <n v="13017.84"/>
    <n v="-318.55999999999949"/>
    <n v="12699.28"/>
    <s v="Q1-2025"/>
    <x v="10"/>
    <s v="Low"/>
    <n v="22"/>
    <d v="2023-01-01T00:00:00"/>
    <d v="2025-01-01T00:00:00"/>
    <n v="1"/>
    <x v="24"/>
  </r>
  <r>
    <s v="ORD-2025-191328"/>
    <d v="2025-05-10T00:00:00"/>
    <d v="2025-05-27T00:00:00"/>
    <s v="OK"/>
    <d v="2025-05-27T00:00:00"/>
    <n v="17"/>
    <x v="2"/>
    <x v="3"/>
    <s v="Vancouver"/>
    <s v="Education"/>
    <x v="4"/>
    <x v="0"/>
    <x v="0"/>
    <x v="300"/>
    <n v="862.89"/>
    <s v="OK"/>
    <n v="1426.03"/>
    <n v="1426.03"/>
    <n v="5.6000000000000001E-2"/>
    <s v="OK"/>
    <n v="5.6000000000000001E-2"/>
    <n v="0"/>
    <n v="0.35900479665188778"/>
    <n v="16394.91"/>
    <n v="9182.3640799999994"/>
    <n v="25577.274079999999"/>
    <s v="Q2-2025"/>
    <x v="8"/>
    <s v="Medium"/>
    <n v="19"/>
    <d v="2023-01-01T00:00:00"/>
    <d v="2025-05-01T00:00:00"/>
    <n v="0"/>
    <x v="8"/>
  </r>
  <r>
    <s v="ORD-2023-166668"/>
    <d v="2023-10-05T00:00:00"/>
    <d v="2023-10-31T00:00:00"/>
    <s v="OK"/>
    <d v="2023-10-31T00:00:00"/>
    <n v="26"/>
    <x v="1"/>
    <x v="9"/>
    <s v="Shanghai"/>
    <s v="Consumer"/>
    <x v="5"/>
    <x v="1"/>
    <x v="1"/>
    <x v="301"/>
    <n v="649.91"/>
    <s v="OK"/>
    <n v="1360.12"/>
    <n v="1360.12"/>
    <n v="0.19400000000000001"/>
    <s v="OK"/>
    <n v="0.19400000000000001"/>
    <n v="0"/>
    <n v="0.40715528749506769"/>
    <n v="5849.19"/>
    <n v="4017.1204799999987"/>
    <n v="9866.3104799999983"/>
    <s v="Q4-2023"/>
    <x v="32"/>
    <s v="Medium"/>
    <n v="9"/>
    <d v="2023-01-01T00:00:00"/>
    <d v="2023-10-01T00:00:00"/>
    <n v="0"/>
    <x v="4"/>
  </r>
  <r>
    <s v="ORD-2023-594700"/>
    <d v="2023-07-18T00:00:00"/>
    <d v="2023-07-22T00:00:00"/>
    <s v="OK"/>
    <d v="2023-07-22T00:00:00"/>
    <n v="4"/>
    <x v="2"/>
    <x v="5"/>
    <s v="São Paulo"/>
    <s v="Consumer"/>
    <x v="4"/>
    <x v="9"/>
    <x v="2"/>
    <x v="302"/>
    <n v="1269.55"/>
    <s v="OK"/>
    <n v="2071.1"/>
    <n v="2071.1"/>
    <n v="0.129"/>
    <s v="OK"/>
    <n v="0.129"/>
    <n v="0"/>
    <n v="0.29623026549672354"/>
    <n v="27930.1"/>
    <n v="11756.318200000002"/>
    <n v="39686.4182"/>
    <s v="Q3-2023"/>
    <x v="24"/>
    <s v="High"/>
    <n v="22"/>
    <d v="2023-01-01T00:00:00"/>
    <d v="2023-07-01T00:00:00"/>
    <n v="1"/>
    <x v="23"/>
  </r>
  <r>
    <s v="ORD-2025-278048"/>
    <d v="2025-06-22T00:00:00"/>
    <d v="2025-07-08T00:00:00"/>
    <s v="OK"/>
    <d v="2025-07-08T00:00:00"/>
    <n v="16"/>
    <x v="3"/>
    <x v="8"/>
    <s v="London"/>
    <s v="Education"/>
    <x v="4"/>
    <x v="8"/>
    <x v="3"/>
    <x v="303"/>
    <n v="892.73"/>
    <s v="OK"/>
    <n v="979.84"/>
    <n v="979.84"/>
    <n v="0.17399999999999999"/>
    <s v="OK"/>
    <n v="0.17399999999999999"/>
    <n v="0"/>
    <n v="-0.10302388649112838"/>
    <n v="8927.2999999999993"/>
    <n v="-833.82159999999931"/>
    <n v="8093.4784"/>
    <s v="Q2-2025"/>
    <x v="16"/>
    <s v="Medium"/>
    <n v="10"/>
    <d v="2023-01-01T00:00:00"/>
    <d v="2025-06-01T00:00:00"/>
    <n v="0"/>
    <x v="16"/>
  </r>
  <r>
    <s v="ORD-2024-878493"/>
    <d v="2024-06-19T00:00:00"/>
    <d v="2024-06-20T00:00:00"/>
    <s v="OK"/>
    <d v="2024-06-20T00:00:00"/>
    <n v="1"/>
    <x v="0"/>
    <x v="0"/>
    <s v="Kisumu"/>
    <s v="Small Business"/>
    <x v="4"/>
    <x v="1"/>
    <x v="4"/>
    <x v="304"/>
    <n v="231.63"/>
    <s v="OK"/>
    <n v="537.39"/>
    <n v="537.39"/>
    <n v="0.08"/>
    <s v="OK"/>
    <n v="0.08"/>
    <n v="0"/>
    <n v="0.53149158129024587"/>
    <n v="2779.56"/>
    <n v="3153.2256000000002"/>
    <n v="5932.7856000000002"/>
    <s v="Q2-2024"/>
    <x v="17"/>
    <s v="Low"/>
    <n v="12"/>
    <d v="2023-01-01T00:00:00"/>
    <d v="2024-06-01T00:00:00"/>
    <n v="1"/>
    <x v="17"/>
  </r>
  <r>
    <s v="ORD-2025-138578"/>
    <d v="2025-04-09T00:00:00"/>
    <d v="2025-04-12T00:00:00"/>
    <s v="OK"/>
    <d v="2025-04-12T00:00:00"/>
    <n v="3"/>
    <x v="3"/>
    <x v="7"/>
    <s v="Lyon"/>
    <s v="Small Business"/>
    <x v="3"/>
    <x v="10"/>
    <x v="5"/>
    <x v="305"/>
    <n v="86.68"/>
    <s v="OK"/>
    <n v="213.32"/>
    <n v="213.32"/>
    <n v="3.7999999999999999E-2"/>
    <s v="OK"/>
    <n v="3.7999999999999999E-2"/>
    <n v="0"/>
    <n v="0.57761133459614611"/>
    <n v="693.44"/>
    <n v="948.27071999999976"/>
    <n v="1641.7107199999998"/>
    <s v="Q2-2025"/>
    <x v="19"/>
    <s v="Low"/>
    <n v="8"/>
    <d v="2023-01-01T00:00:00"/>
    <d v="2025-04-01T00:00:00"/>
    <n v="1"/>
    <x v="18"/>
  </r>
  <r>
    <s v="ORD-2025-944081"/>
    <d v="2025-03-25T00:00:00"/>
    <d v="2025-03-26T00:00:00"/>
    <s v="OK"/>
    <d v="2025-03-26T00:00:00"/>
    <n v="1"/>
    <x v="0"/>
    <x v="1"/>
    <s v="Lagos"/>
    <s v="Education"/>
    <x v="3"/>
    <x v="3"/>
    <x v="6"/>
    <x v="306"/>
    <n v="1450.43"/>
    <s v="OK"/>
    <n v="1994.67"/>
    <n v="1994.67"/>
    <n v="0.1"/>
    <s v="OK"/>
    <n v="0.1"/>
    <n v="0"/>
    <n v="0.19205237513529116"/>
    <n v="34810.32"/>
    <n v="8274.5520000000033"/>
    <n v="43084.872000000003"/>
    <s v="Q1-2025"/>
    <x v="3"/>
    <s v="High"/>
    <n v="24"/>
    <d v="2023-01-01T00:00:00"/>
    <d v="2025-03-01T00:00:00"/>
    <n v="1"/>
    <x v="3"/>
  </r>
  <r>
    <s v="ORD-2025-364852"/>
    <d v="2025-05-18T00:00:00"/>
    <d v="2025-06-09T00:00:00"/>
    <s v="OK"/>
    <d v="2025-06-09T00:00:00"/>
    <n v="22"/>
    <x v="2"/>
    <x v="10"/>
    <s v="New York"/>
    <s v="Consumer"/>
    <x v="0"/>
    <x v="10"/>
    <x v="2"/>
    <x v="307"/>
    <n v="382.96"/>
    <s v="OK"/>
    <n v="552.84"/>
    <n v="552.84"/>
    <n v="0.17599999999999999"/>
    <s v="OK"/>
    <n v="0.17599999999999999"/>
    <n v="0"/>
    <n v="0.15932768693763483"/>
    <n v="3063.68"/>
    <n v="580.64128000000073"/>
    <n v="3644.3212800000006"/>
    <s v="Q2-2025"/>
    <x v="8"/>
    <s v="Low"/>
    <n v="8"/>
    <d v="2023-01-01T00:00:00"/>
    <d v="2025-05-01T00:00:00"/>
    <n v="0"/>
    <x v="8"/>
  </r>
  <r>
    <s v="ORD-2025-415018"/>
    <d v="2025-01-22T00:00:00"/>
    <d v="2025-02-04T00:00:00"/>
    <s v="OK"/>
    <d v="2025-02-04T00:00:00"/>
    <n v="13"/>
    <x v="1"/>
    <x v="2"/>
    <s v="Tokyo"/>
    <s v="Small Business"/>
    <x v="3"/>
    <x v="4"/>
    <x v="1"/>
    <x v="308"/>
    <n v="122.29"/>
    <s v="OK"/>
    <n v="224.95"/>
    <n v="224.95"/>
    <n v="0.153"/>
    <s v="OK"/>
    <n v="0.153"/>
    <n v="0"/>
    <n v="0.3581677471026618"/>
    <n v="3424.1200000000003"/>
    <n v="1910.7941999999989"/>
    <n v="5334.9141999999993"/>
    <s v="Q1-2025"/>
    <x v="10"/>
    <s v="Low"/>
    <n v="28"/>
    <d v="2023-03-01T00:00:00"/>
    <d v="2025-01-01T00:00:00"/>
    <n v="0"/>
    <x v="10"/>
  </r>
  <r>
    <s v="ORD-2023-884192"/>
    <d v="2023-01-10T00:00:00"/>
    <d v="2023-01-29T00:00:00"/>
    <s v="OK"/>
    <d v="2023-01-29T00:00:00"/>
    <n v="19"/>
    <x v="3"/>
    <x v="7"/>
    <s v="Lyon"/>
    <s v="Non-Profit"/>
    <x v="4"/>
    <x v="14"/>
    <x v="4"/>
    <x v="309"/>
    <n v="401.66"/>
    <s v="OK"/>
    <n v="772.09"/>
    <n v="772.09"/>
    <n v="8.8999999999999996E-2"/>
    <s v="OK"/>
    <n v="8.8999999999999996E-2"/>
    <n v="0"/>
    <n v="0.42895244107619046"/>
    <n v="5623.2400000000007"/>
    <n v="4223.99586"/>
    <n v="9847.2358600000007"/>
    <s v="Q1-2023"/>
    <x v="5"/>
    <s v="Medium"/>
    <n v="14"/>
    <d v="2023-01-01T00:00:00"/>
    <d v="2023-01-01T00:00:00"/>
    <n v="0"/>
    <x v="5"/>
  </r>
  <r>
    <s v="ORD-2024-165942"/>
    <d v="2024-12-29T00:00:00"/>
    <d v="2025-01-12T00:00:00"/>
    <s v="OK"/>
    <d v="2025-01-12T00:00:00"/>
    <n v="14"/>
    <x v="3"/>
    <x v="8"/>
    <s v="Manchester"/>
    <s v="Corporate"/>
    <x v="4"/>
    <x v="5"/>
    <x v="5"/>
    <x v="310"/>
    <n v="1399.72"/>
    <s v="OK"/>
    <n v="3149.21"/>
    <n v="3149.21"/>
    <n v="0.185"/>
    <s v="OK"/>
    <n v="0.185"/>
    <n v="0"/>
    <n v="0.45464168703873797"/>
    <n v="16796.64"/>
    <n v="14002.633800000003"/>
    <n v="30799.273800000003"/>
    <s v="Q4-2024"/>
    <x v="6"/>
    <s v="High"/>
    <n v="12"/>
    <d v="2023-01-01T00:00:00"/>
    <d v="2024-12-01T00:00:00"/>
    <n v="0"/>
    <x v="6"/>
  </r>
  <r>
    <s v="ORD-2024-403664"/>
    <d v="2024-05-23T00:00:00"/>
    <d v="2024-06-06T00:00:00"/>
    <s v="OK"/>
    <d v="2024-06-06T00:00:00"/>
    <n v="14"/>
    <x v="2"/>
    <x v="5"/>
    <s v="Rio de Janeiro"/>
    <s v="Non-Profit"/>
    <x v="1"/>
    <x v="2"/>
    <x v="2"/>
    <x v="311"/>
    <n v="51.13"/>
    <s v="OK"/>
    <n v="57.53"/>
    <n v="57.53"/>
    <n v="4.4999999999999998E-2"/>
    <s v="OK"/>
    <n v="4.4999999999999998E-2"/>
    <n v="0"/>
    <n v="6.9367859973808302E-2"/>
    <n v="818.08"/>
    <n v="60.978399999999965"/>
    <n v="879.05840000000001"/>
    <s v="Q2-2024"/>
    <x v="7"/>
    <s v="Low"/>
    <n v="16"/>
    <d v="2023-01-01T00:00:00"/>
    <d v="2024-05-01T00:00:00"/>
    <n v="0"/>
    <x v="7"/>
  </r>
  <r>
    <s v="ORD-2023-890605"/>
    <d v="2023-06-24T00:00:00"/>
    <d v="2023-07-01T00:00:00"/>
    <s v="Check"/>
    <d v="2023-06-22T00:00:00"/>
    <n v="7"/>
    <x v="2"/>
    <x v="3"/>
    <s v="Toronto"/>
    <s v="Non-Profit"/>
    <x v="0"/>
    <x v="12"/>
    <x v="6"/>
    <x v="312"/>
    <n v="471.42"/>
    <s v="OK"/>
    <n v="824.81"/>
    <n v="824.81"/>
    <n v="8.7999999999999995E-2"/>
    <s v="OK"/>
    <n v="8.7999999999999995E-2"/>
    <n v="0"/>
    <n v="0.37330064531608231"/>
    <n v="7071.3"/>
    <n v="4212.1007999999993"/>
    <n v="11283.400799999999"/>
    <s v="Q2-2023"/>
    <x v="23"/>
    <s v="Medium"/>
    <n v="15"/>
    <d v="2023-01-01T00:00:00"/>
    <d v="2023-06-01T00:00:00"/>
    <n v="1"/>
    <x v="22"/>
  </r>
  <r>
    <s v="ORD-2024-925626"/>
    <d v="2024-11-04T00:00:00"/>
    <d v="2024-11-05T00:00:00"/>
    <s v="OK"/>
    <d v="2024-11-05T00:00:00"/>
    <n v="1"/>
    <x v="3"/>
    <x v="8"/>
    <s v="London"/>
    <s v="Corporate"/>
    <x v="0"/>
    <x v="12"/>
    <x v="1"/>
    <x v="313"/>
    <n v="840.68"/>
    <s v="OK"/>
    <n v="1493.53"/>
    <n v="1493.53"/>
    <n v="0"/>
    <s v="OK"/>
    <n v="0"/>
    <n v="0"/>
    <n v="0.43711877230454027"/>
    <n v="22698.359999999997"/>
    <n v="17626.95"/>
    <n v="40325.31"/>
    <s v="Q4-2024"/>
    <x v="18"/>
    <s v="Medium"/>
    <n v="27"/>
    <d v="2023-01-01T00:00:00"/>
    <d v="2024-11-01T00:00:00"/>
    <n v="1"/>
    <x v="10"/>
  </r>
  <r>
    <s v="ORD-2024-427031"/>
    <d v="2024-06-08T00:00:00"/>
    <d v="2024-06-24T00:00:00"/>
    <s v="OK"/>
    <d v="2024-06-24T00:00:00"/>
    <n v="16"/>
    <x v="0"/>
    <x v="11"/>
    <s v="Durban"/>
    <s v="Education"/>
    <x v="3"/>
    <x v="10"/>
    <x v="5"/>
    <x v="314"/>
    <n v="597.85"/>
    <s v="OK"/>
    <n v="741.92"/>
    <n v="741.92"/>
    <n v="3.1E-2"/>
    <s v="OK"/>
    <n v="3.1E-2"/>
    <n v="0"/>
    <n v="0.16840594108544515"/>
    <n v="4184.95"/>
    <n v="847.49335999999948"/>
    <n v="5032.4433599999993"/>
    <s v="Q2-2024"/>
    <x v="17"/>
    <s v="Medium"/>
    <n v="7"/>
    <d v="2023-01-01T00:00:00"/>
    <d v="2024-06-01T00:00:00"/>
    <n v="0"/>
    <x v="17"/>
  </r>
  <r>
    <s v="ORD-2025-231184"/>
    <d v="2025-06-01T00:00:00"/>
    <d v="2025-06-06T00:00:00"/>
    <s v="OK"/>
    <d v="2025-06-06T00:00:00"/>
    <n v="5"/>
    <x v="3"/>
    <x v="7"/>
    <s v="Paris"/>
    <s v="Consumer"/>
    <x v="3"/>
    <x v="3"/>
    <x v="0"/>
    <x v="315"/>
    <n v="379.45"/>
    <s v="OK"/>
    <n v="742.23"/>
    <n v="742.23"/>
    <n v="0.09"/>
    <s v="OK"/>
    <n v="0.09"/>
    <n v="0"/>
    <n v="0.43820915083192286"/>
    <n v="4932.8499999999995"/>
    <n v="3847.7309000000014"/>
    <n v="8780.5809000000008"/>
    <s v="Q2-2025"/>
    <x v="16"/>
    <s v="Medium"/>
    <n v="13"/>
    <d v="2023-01-01T00:00:00"/>
    <d v="2025-06-01T00:00:00"/>
    <n v="1"/>
    <x v="16"/>
  </r>
  <r>
    <s v="ORD-2023-363031"/>
    <d v="2023-05-06T00:00:00"/>
    <d v="2023-05-14T00:00:00"/>
    <s v="OK"/>
    <d v="2023-05-14T00:00:00"/>
    <n v="8"/>
    <x v="1"/>
    <x v="2"/>
    <s v="Osaka"/>
    <s v="Enterprise"/>
    <x v="2"/>
    <x v="5"/>
    <x v="3"/>
    <x v="316"/>
    <n v="291.18"/>
    <s v="OK"/>
    <n v="479.54"/>
    <n v="479.54"/>
    <n v="0.14099999999999999"/>
    <s v="OK"/>
    <n v="0.14099999999999999"/>
    <n v="0"/>
    <n v="0.29312350801066001"/>
    <n v="6405.96"/>
    <n v="2656.3869199999999"/>
    <n v="9062.34692"/>
    <s v="Q2-2023"/>
    <x v="15"/>
    <s v="Low"/>
    <n v="22"/>
    <d v="2023-03-01T00:00:00"/>
    <d v="2023-05-01T00:00:00"/>
    <n v="0"/>
    <x v="21"/>
  </r>
  <r>
    <s v="ORD-2023-619570"/>
    <d v="2023-11-14T00:00:00"/>
    <d v="2023-11-30T00:00:00"/>
    <s v="OK"/>
    <d v="2023-11-30T00:00:00"/>
    <n v="16"/>
    <x v="2"/>
    <x v="5"/>
    <s v="São Paulo"/>
    <s v="Enterprise"/>
    <x v="4"/>
    <x v="11"/>
    <x v="2"/>
    <x v="317"/>
    <n v="1017.92"/>
    <s v="OK"/>
    <n v="1175.25"/>
    <n v="1175.25"/>
    <n v="7.4999999999999997E-2"/>
    <s v="OK"/>
    <n v="7.4999999999999997E-2"/>
    <n v="0"/>
    <n v="6.3642583234159542E-2"/>
    <n v="15268.8"/>
    <n v="1037.7937500000007"/>
    <n v="16306.59375"/>
    <s v="Q4-2023"/>
    <x v="30"/>
    <s v="Medium"/>
    <n v="15"/>
    <d v="2023-01-01T00:00:00"/>
    <d v="2023-11-01T00:00:00"/>
    <n v="0"/>
    <x v="31"/>
  </r>
  <r>
    <s v="ORD-2025-861401"/>
    <d v="2025-04-01T00:00:00"/>
    <d v="2025-04-27T00:00:00"/>
    <s v="OK"/>
    <d v="2025-04-27T00:00:00"/>
    <n v="26"/>
    <x v="2"/>
    <x v="10"/>
    <s v="San Francisco"/>
    <s v="Corporate"/>
    <x v="4"/>
    <x v="2"/>
    <x v="5"/>
    <x v="318"/>
    <n v="156.55000000000001"/>
    <s v="OK"/>
    <n v="227.45"/>
    <n v="227.45"/>
    <n v="1.4E-2"/>
    <s v="OK"/>
    <n v="1.4E-2"/>
    <n v="0"/>
    <n v="0.3019440779396938"/>
    <n v="2035.15"/>
    <n v="880.30409999999983"/>
    <n v="2915.4540999999999"/>
    <s v="Q2-2025"/>
    <x v="19"/>
    <s v="Low"/>
    <n v="13"/>
    <d v="2023-01-01T00:00:00"/>
    <d v="2025-04-01T00:00:00"/>
    <n v="0"/>
    <x v="18"/>
  </r>
  <r>
    <s v="ORD-2023-835010"/>
    <d v="2023-03-23T00:00:00"/>
    <d v="2023-04-15T00:00:00"/>
    <s v="OK"/>
    <d v="2023-04-15T00:00:00"/>
    <n v="23"/>
    <x v="0"/>
    <x v="0"/>
    <s v="Mombasa"/>
    <s v="Small Business"/>
    <x v="0"/>
    <x v="0"/>
    <x v="6"/>
    <x v="319"/>
    <n v="875.36"/>
    <s v="OK"/>
    <n v="1178.6199999999999"/>
    <n v="1178.6199999999999"/>
    <n v="0.151"/>
    <s v="OK"/>
    <n v="0.151"/>
    <n v="0"/>
    <n v="0.12520719815685888"/>
    <n v="46394.080000000002"/>
    <n v="6640.2841399999888"/>
    <n v="53034.364139999991"/>
    <s v="Q1-2023"/>
    <x v="22"/>
    <s v="Medium"/>
    <n v="53"/>
    <d v="2023-01-01T00:00:00"/>
    <d v="2023-03-01T00:00:00"/>
    <n v="0"/>
    <x v="21"/>
  </r>
  <r>
    <s v="ORD-2024-819979"/>
    <d v="2024-05-28T00:00:00"/>
    <d v="2024-06-18T00:00:00"/>
    <s v="OK"/>
    <d v="2024-06-18T00:00:00"/>
    <n v="21"/>
    <x v="3"/>
    <x v="6"/>
    <s v="Frankfurt"/>
    <s v="Small Business"/>
    <x v="1"/>
    <x v="6"/>
    <x v="3"/>
    <x v="320"/>
    <n v="986.85"/>
    <s v="OK"/>
    <n v="2422.1"/>
    <n v="2422.1"/>
    <n v="7.5999999999999998E-2"/>
    <s v="OK"/>
    <n v="7.5999999999999998E-2"/>
    <n v="0"/>
    <n v="0.55905227673527913"/>
    <n v="9868.5"/>
    <n v="12511.704000000002"/>
    <n v="22380.204000000002"/>
    <s v="Q2-2024"/>
    <x v="7"/>
    <s v="High"/>
    <n v="10"/>
    <d v="2023-01-01T00:00:00"/>
    <d v="2024-05-01T00:00:00"/>
    <n v="0"/>
    <x v="7"/>
  </r>
  <r>
    <s v="ORD-2024-719055"/>
    <d v="2024-01-02T00:00:00"/>
    <d v="2024-01-09T00:00:00"/>
    <s v="Check"/>
    <d v="2024-01-01T00:00:00"/>
    <n v="7"/>
    <x v="2"/>
    <x v="10"/>
    <s v="Chicago"/>
    <s v="Education"/>
    <x v="2"/>
    <x v="5"/>
    <x v="2"/>
    <x v="321"/>
    <n v="404.77"/>
    <s v="OK"/>
    <n v="433.88"/>
    <n v="433.88"/>
    <n v="0.215"/>
    <s v="OK"/>
    <n v="0.215"/>
    <n v="1"/>
    <n v="-0.18841747314558746"/>
    <n v="8904.9399999999987"/>
    <n v="-1411.8323999999975"/>
    <n v="7493.1076000000012"/>
    <s v="Q1-2024"/>
    <x v="9"/>
    <s v="Low"/>
    <n v="22"/>
    <d v="2023-01-01T00:00:00"/>
    <d v="2024-01-01T00:00:00"/>
    <n v="1"/>
    <x v="9"/>
  </r>
  <r>
    <s v="ORD-2023-888245"/>
    <d v="2023-02-28T00:00:00"/>
    <d v="2023-03-07T00:00:00"/>
    <s v="Check"/>
    <d v="2023-02-27T00:00:00"/>
    <n v="7"/>
    <x v="3"/>
    <x v="7"/>
    <s v="Marseille"/>
    <s v="Corporate"/>
    <x v="0"/>
    <x v="11"/>
    <x v="2"/>
    <x v="322"/>
    <n v="1299.81"/>
    <s v="OK"/>
    <n v="3149.13"/>
    <n v="3149.13"/>
    <n v="0.10299999999999999"/>
    <s v="OK"/>
    <n v="0.10299999999999999"/>
    <n v="0"/>
    <n v="0.53985273864511729"/>
    <n v="18197.34"/>
    <n v="21349.434539999998"/>
    <n v="39546.774539999999"/>
    <s v="Q1-2023"/>
    <x v="2"/>
    <s v="High"/>
    <n v="14"/>
    <d v="2023-01-01T00:00:00"/>
    <d v="2023-02-01T00:00:00"/>
    <n v="1"/>
    <x v="2"/>
  </r>
  <r>
    <s v="ORD-2024-206121"/>
    <d v="2024-02-18T00:00:00"/>
    <d v="2024-03-11T00:00:00"/>
    <s v="OK"/>
    <d v="2024-03-11T00:00:00"/>
    <n v="22"/>
    <x v="2"/>
    <x v="5"/>
    <s v="São Paulo"/>
    <s v="Consumer"/>
    <x v="1"/>
    <x v="8"/>
    <x v="0"/>
    <x v="323"/>
    <n v="80.48"/>
    <s v="OK"/>
    <n v="65.650000000000006"/>
    <n v="65.650000000000006"/>
    <n v="0.17599999999999999"/>
    <s v="OK"/>
    <n v="0.17599999999999999"/>
    <n v="0"/>
    <n v="-0.48773652570634191"/>
    <n v="1046.24"/>
    <n v="-342.99719999999991"/>
    <n v="703.2428000000001"/>
    <s v="Q1-2024"/>
    <x v="31"/>
    <s v="Low"/>
    <n v="13"/>
    <d v="2023-01-01T00:00:00"/>
    <d v="2024-02-01T00:00:00"/>
    <n v="0"/>
    <x v="32"/>
  </r>
  <r>
    <s v="ORD-2024-500890"/>
    <d v="2024-09-09T00:00:00"/>
    <d v="2024-10-08T00:00:00"/>
    <s v="OK"/>
    <d v="2024-10-08T00:00:00"/>
    <n v="29"/>
    <x v="2"/>
    <x v="5"/>
    <s v="São Paulo"/>
    <s v="Education"/>
    <x v="4"/>
    <x v="1"/>
    <x v="0"/>
    <x v="324"/>
    <n v="1010.33"/>
    <s v="OK"/>
    <n v="2492.14"/>
    <n v="2492.14"/>
    <n v="5.0999999999999997E-2"/>
    <s v="OK"/>
    <n v="5.0999999999999997E-2"/>
    <n v="0"/>
    <n v="0.57280653493656752"/>
    <n v="11113.630000000001"/>
    <n v="14901.819459999995"/>
    <n v="26015.449459999996"/>
    <s v="Q3-2024"/>
    <x v="29"/>
    <s v="High"/>
    <n v="11"/>
    <d v="2023-01-01T00:00:00"/>
    <d v="2024-09-01T00:00:00"/>
    <n v="0"/>
    <x v="30"/>
  </r>
  <r>
    <s v="ORD-2023-144816"/>
    <d v="2023-05-07T00:00:00"/>
    <d v="2023-05-29T00:00:00"/>
    <s v="OK"/>
    <d v="2023-05-29T00:00:00"/>
    <n v="22"/>
    <x v="0"/>
    <x v="11"/>
    <s v="Durban"/>
    <s v="Education"/>
    <x v="3"/>
    <x v="11"/>
    <x v="6"/>
    <x v="325"/>
    <n v="653.86"/>
    <s v="OK"/>
    <n v="931.84"/>
    <n v="931.84"/>
    <n v="0.121"/>
    <s v="OK"/>
    <n v="0.121"/>
    <n v="0"/>
    <n v="0.20172129136506273"/>
    <n v="7846.32"/>
    <n v="1982.7283200000002"/>
    <n v="9829.0483199999999"/>
    <s v="Q2-2023"/>
    <x v="15"/>
    <s v="Medium"/>
    <n v="12"/>
    <d v="2023-01-01T00:00:00"/>
    <d v="2023-05-01T00:00:00"/>
    <n v="0"/>
    <x v="15"/>
  </r>
  <r>
    <s v="ORD-2024-153053"/>
    <d v="2024-01-12T00:00:00"/>
    <d v="2024-01-29T00:00:00"/>
    <s v="OK"/>
    <d v="2024-01-29T00:00:00"/>
    <n v="17"/>
    <x v="1"/>
    <x v="4"/>
    <s v="Hyderabad"/>
    <s v="Small Business"/>
    <x v="4"/>
    <x v="5"/>
    <x v="0"/>
    <x v="326"/>
    <n v="310.02"/>
    <s v="OK"/>
    <n v="619.51"/>
    <n v="619.51"/>
    <n v="4.2000000000000003E-2"/>
    <s v="OK"/>
    <n v="4.2000000000000003E-2"/>
    <n v="0"/>
    <n v="0.47763282106347843"/>
    <n v="1240.08"/>
    <n v="1133.8823200000002"/>
    <n v="2373.9623200000001"/>
    <s v="Q1-2024"/>
    <x v="9"/>
    <s v="Medium"/>
    <n v="4"/>
    <d v="2023-01-01T00:00:00"/>
    <d v="2024-01-01T00:00:00"/>
    <n v="0"/>
    <x v="9"/>
  </r>
  <r>
    <s v="ORD-2023-536542"/>
    <d v="2023-06-10T00:00:00"/>
    <d v="2023-06-18T00:00:00"/>
    <s v="OK"/>
    <d v="2023-06-18T00:00:00"/>
    <n v="8"/>
    <x v="0"/>
    <x v="0"/>
    <s v="Nakuru"/>
    <s v="Enterprise"/>
    <x v="4"/>
    <x v="10"/>
    <x v="3"/>
    <x v="327"/>
    <n v="894.23"/>
    <s v="OK"/>
    <n v="1421.55"/>
    <n v="1421.55"/>
    <n v="0.109"/>
    <s v="OK"/>
    <n v="0.109"/>
    <n v="0"/>
    <n v="0.29399237431549574"/>
    <n v="2682.69"/>
    <n v="1117.1131499999997"/>
    <n v="3799.8031499999997"/>
    <s v="Q2-2023"/>
    <x v="23"/>
    <s v="Medium"/>
    <n v="3"/>
    <d v="2023-01-01T00:00:00"/>
    <d v="2023-06-01T00:00:00"/>
    <n v="0"/>
    <x v="22"/>
  </r>
  <r>
    <s v="ORD-2025-779530"/>
    <d v="2025-05-19T00:00:00"/>
    <d v="2025-05-26T00:00:00"/>
    <s v="Check"/>
    <d v="2025-05-17T00:00:00"/>
    <n v="7"/>
    <x v="2"/>
    <x v="5"/>
    <s v="São Paulo"/>
    <s v="Small Business"/>
    <x v="3"/>
    <x v="4"/>
    <x v="5"/>
    <x v="328"/>
    <n v="383.77"/>
    <s v="OK"/>
    <n v="952.56"/>
    <n v="952.56"/>
    <n v="0.3"/>
    <s v="Check"/>
    <n v="0.34599999999999997"/>
    <n v="1"/>
    <n v="0.42445320279787385"/>
    <n v="3837.7"/>
    <n v="2830.2199999999984"/>
    <n v="6667.9199999999983"/>
    <s v="Q2-2025"/>
    <x v="8"/>
    <s v="Medium"/>
    <n v="10"/>
    <d v="2023-01-01T00:00:00"/>
    <d v="2025-05-01T00:00:00"/>
    <n v="1"/>
    <x v="8"/>
  </r>
  <r>
    <s v="ORD-2023-163610"/>
    <d v="2023-10-22T00:00:00"/>
    <d v="2023-11-16T00:00:00"/>
    <s v="OK"/>
    <d v="2023-11-16T00:00:00"/>
    <n v="25"/>
    <x v="2"/>
    <x v="3"/>
    <s v="Toronto"/>
    <s v="Small Business"/>
    <x v="2"/>
    <x v="2"/>
    <x v="4"/>
    <x v="329"/>
    <n v="1373.31"/>
    <s v="OK"/>
    <n v="3154.14"/>
    <n v="3154.14"/>
    <n v="0.2"/>
    <s v="OK"/>
    <n v="0.2"/>
    <n v="0"/>
    <n v="0.45575101295440279"/>
    <n v="15106.41"/>
    <n v="12650.022000000001"/>
    <n v="27756.432000000001"/>
    <s v="Q4-2023"/>
    <x v="32"/>
    <s v="High"/>
    <n v="11"/>
    <d v="2023-01-01T00:00:00"/>
    <d v="2023-10-01T00:00:00"/>
    <n v="0"/>
    <x v="4"/>
  </r>
  <r>
    <s v="ORD-2025-653781"/>
    <d v="2025-01-11T00:00:00"/>
    <d v="2025-01-23T00:00:00"/>
    <s v="OK"/>
    <d v="2025-01-23T00:00:00"/>
    <n v="12"/>
    <x v="2"/>
    <x v="10"/>
    <s v="Austin"/>
    <s v="Consumer"/>
    <x v="3"/>
    <x v="10"/>
    <x v="3"/>
    <x v="330"/>
    <n v="100.69"/>
    <s v="OK"/>
    <n v="226.14"/>
    <n v="226.14"/>
    <n v="6.5000000000000002E-2"/>
    <s v="OK"/>
    <n v="6.5000000000000002E-2"/>
    <n v="0"/>
    <n v="0.52379128162999689"/>
    <n v="1208.28"/>
    <n v="1329.0108000000002"/>
    <n v="2537.2908000000002"/>
    <s v="Q1-2025"/>
    <x v="10"/>
    <s v="Low"/>
    <n v="12"/>
    <d v="2023-01-01T00:00:00"/>
    <d v="2025-01-01T00:00:00"/>
    <n v="0"/>
    <x v="24"/>
  </r>
  <r>
    <s v="ORD-2025-737787"/>
    <d v="2025-09-14T00:00:00"/>
    <d v="2025-09-26T00:00:00"/>
    <s v="OK"/>
    <d v="2025-09-26T00:00:00"/>
    <n v="12"/>
    <x v="3"/>
    <x v="8"/>
    <s v="London"/>
    <s v="Small Business"/>
    <x v="4"/>
    <x v="13"/>
    <x v="2"/>
    <x v="331"/>
    <n v="425.15"/>
    <s v="OK"/>
    <n v="885.92"/>
    <n v="885.92"/>
    <n v="0.23899999999999999"/>
    <s v="OK"/>
    <n v="0.23899999999999999"/>
    <n v="1"/>
    <n v="0.3693868532725848"/>
    <n v="5526.95"/>
    <n v="3237.4565599999996"/>
    <n v="8764.4065599999994"/>
    <s v="Q3-2025"/>
    <x v="11"/>
    <s v="Medium"/>
    <n v="13"/>
    <d v="2023-01-01T00:00:00"/>
    <d v="2025-09-01T00:00:00"/>
    <n v="0"/>
    <x v="11"/>
  </r>
  <r>
    <s v="ORD-2023-944052"/>
    <d v="2023-08-30T00:00:00"/>
    <d v="2023-09-03T00:00:00"/>
    <s v="OK"/>
    <d v="2023-09-03T00:00:00"/>
    <n v="4"/>
    <x v="1"/>
    <x v="4"/>
    <s v="Delhi"/>
    <s v="Small Business"/>
    <x v="2"/>
    <x v="4"/>
    <x v="6"/>
    <x v="332"/>
    <n v="1082.25"/>
    <s v="OK"/>
    <n v="2433.34"/>
    <n v="2433.34"/>
    <n v="0.27"/>
    <s v="OK"/>
    <n v="0.27"/>
    <n v="1"/>
    <n v="0.3907410199251472"/>
    <n v="4329"/>
    <n v="2776.3528000000006"/>
    <n v="7105.3528000000006"/>
    <s v="Q3-2023"/>
    <x v="25"/>
    <s v="High"/>
    <n v="4"/>
    <d v="2023-01-01T00:00:00"/>
    <d v="2023-08-01T00:00:00"/>
    <n v="1"/>
    <x v="25"/>
  </r>
  <r>
    <s v="ORD-2023-181257"/>
    <d v="2023-11-15T00:00:00"/>
    <d v="2023-12-06T00:00:00"/>
    <s v="OK"/>
    <d v="2023-12-06T00:00:00"/>
    <n v="21"/>
    <x v="3"/>
    <x v="8"/>
    <s v="Manchester"/>
    <s v="Education"/>
    <x v="4"/>
    <x v="10"/>
    <x v="6"/>
    <x v="333"/>
    <n v="1184.99"/>
    <s v="OK"/>
    <n v="1154.3399999999999"/>
    <n v="1154.3399999999999"/>
    <n v="2.8000000000000001E-2"/>
    <s v="OK"/>
    <n v="2.8000000000000001E-2"/>
    <n v="0"/>
    <n v="-5.6123424990290764E-2"/>
    <n v="5924.95"/>
    <n v="-314.85760000000028"/>
    <n v="5610.0923999999995"/>
    <s v="Q4-2023"/>
    <x v="30"/>
    <s v="Medium"/>
    <n v="5"/>
    <d v="2023-01-01T00:00:00"/>
    <d v="2023-11-01T00:00:00"/>
    <n v="0"/>
    <x v="31"/>
  </r>
  <r>
    <s v="ORD-2025-323492"/>
    <d v="2025-04-27T00:00:00"/>
    <d v="2025-05-27T00:00:00"/>
    <s v="OK"/>
    <d v="2025-05-27T00:00:00"/>
    <n v="30"/>
    <x v="1"/>
    <x v="4"/>
    <s v="Unkown"/>
    <s v="Enterprise"/>
    <x v="2"/>
    <x v="10"/>
    <x v="3"/>
    <x v="334"/>
    <n v="481.32"/>
    <s v="OK"/>
    <n v="1135.99"/>
    <n v="1135.99"/>
    <n v="0.14499999999999999"/>
    <s v="OK"/>
    <n v="0.14499999999999999"/>
    <n v="0"/>
    <n v="0.50444337677175621"/>
    <n v="2406.6"/>
    <n v="2449.7572500000001"/>
    <n v="4856.35725"/>
    <s v="Q2-2025"/>
    <x v="19"/>
    <s v="Medium"/>
    <n v="5"/>
    <d v="2023-01-01T00:00:00"/>
    <d v="2025-04-01T00:00:00"/>
    <n v="0"/>
    <x v="18"/>
  </r>
  <r>
    <s v="ORD-2024-332076"/>
    <d v="2024-04-09T00:00:00"/>
    <d v="2024-04-18T00:00:00"/>
    <s v="OK"/>
    <d v="2024-04-18T00:00:00"/>
    <n v="9"/>
    <x v="3"/>
    <x v="7"/>
    <s v="Lyon"/>
    <s v="Consumer"/>
    <x v="1"/>
    <x v="6"/>
    <x v="1"/>
    <x v="335"/>
    <n v="1288.8499999999999"/>
    <s v="OK"/>
    <n v="2751.84"/>
    <n v="2751.84"/>
    <n v="0.158"/>
    <s v="OK"/>
    <n v="0.158"/>
    <n v="0"/>
    <n v="0.44375373837538756"/>
    <n v="9021.9499999999989"/>
    <n v="7197.3949600000014"/>
    <n v="16219.34496"/>
    <s v="Q2-2024"/>
    <x v="20"/>
    <s v="High"/>
    <n v="7"/>
    <d v="2023-01-01T00:00:00"/>
    <d v="2024-04-01T00:00:00"/>
    <n v="0"/>
    <x v="19"/>
  </r>
  <r>
    <s v="ORD-2024-571797"/>
    <d v="2024-07-11T00:00:00"/>
    <d v="2024-07-31T00:00:00"/>
    <s v="OK"/>
    <d v="2024-07-31T00:00:00"/>
    <n v="20"/>
    <x v="1"/>
    <x v="9"/>
    <s v="Shenzhen"/>
    <s v="Consumer"/>
    <x v="1"/>
    <x v="3"/>
    <x v="3"/>
    <x v="336"/>
    <n v="647.26"/>
    <s v="OK"/>
    <n v="1374.72"/>
    <n v="1374.72"/>
    <n v="6.6000000000000003E-2"/>
    <s v="OK"/>
    <n v="6.6000000000000003E-2"/>
    <n v="0"/>
    <n v="0.49589890401508901"/>
    <n v="14239.72"/>
    <n v="14008.02656"/>
    <n v="28247.74656"/>
    <s v="Q3-2024"/>
    <x v="14"/>
    <s v="Medium"/>
    <n v="22"/>
    <d v="2023-01-01T00:00:00"/>
    <d v="2024-07-01T00:00:00"/>
    <n v="0"/>
    <x v="14"/>
  </r>
  <r>
    <s v="ORD-2024-129345"/>
    <d v="2024-02-18T00:00:00"/>
    <d v="2024-03-03T00:00:00"/>
    <s v="OK"/>
    <d v="2024-03-03T00:00:00"/>
    <n v="14"/>
    <x v="2"/>
    <x v="5"/>
    <s v="Unkown"/>
    <s v="Enterprise"/>
    <x v="3"/>
    <x v="8"/>
    <x v="1"/>
    <x v="337"/>
    <n v="624.23"/>
    <s v="OK"/>
    <n v="1318.37"/>
    <n v="1318.37"/>
    <n v="0.21"/>
    <s v="OK"/>
    <n v="0.21"/>
    <n v="1"/>
    <n v="0.40065038118128793"/>
    <n v="23096.510000000002"/>
    <n v="15439.445099999997"/>
    <n v="38535.955099999999"/>
    <s v="Q1-2024"/>
    <x v="31"/>
    <s v="Medium"/>
    <n v="37"/>
    <d v="2023-01-01T00:00:00"/>
    <d v="2024-02-01T00:00:00"/>
    <n v="0"/>
    <x v="32"/>
  </r>
  <r>
    <s v="ORD-2023-660608"/>
    <d v="2023-07-25T00:00:00"/>
    <d v="2023-08-10T00:00:00"/>
    <s v="OK"/>
    <d v="2023-08-10T00:00:00"/>
    <n v="16"/>
    <x v="0"/>
    <x v="1"/>
    <s v="Port Harcourt"/>
    <s v="Corporate"/>
    <x v="3"/>
    <x v="2"/>
    <x v="6"/>
    <x v="338"/>
    <n v="506.83"/>
    <s v="OK"/>
    <n v="441.74"/>
    <n v="441.74"/>
    <n v="0.24"/>
    <s v="OK"/>
    <n v="0.24"/>
    <n v="1"/>
    <n v="-0.50966989393618067"/>
    <n v="4561.47"/>
    <n v="-1539.9684000000002"/>
    <n v="3021.5016000000001"/>
    <s v="Q3-2023"/>
    <x v="24"/>
    <s v="Low"/>
    <n v="9"/>
    <d v="2023-01-01T00:00:00"/>
    <d v="2023-07-01T00:00:00"/>
    <n v="0"/>
    <x v="23"/>
  </r>
  <r>
    <s v="ORD-2023-825084"/>
    <d v="2023-07-14T00:00:00"/>
    <d v="2023-07-21T00:00:00"/>
    <s v="OK"/>
    <d v="2023-07-21T00:00:00"/>
    <n v="7"/>
    <x v="0"/>
    <x v="11"/>
    <s v="Durban"/>
    <s v="Enterprise"/>
    <x v="2"/>
    <x v="15"/>
    <x v="5"/>
    <x v="339"/>
    <n v="620.74"/>
    <s v="OK"/>
    <n v="1330.07"/>
    <n v="1330.07"/>
    <n v="0.29899999999999999"/>
    <s v="OK"/>
    <n v="0.29899999999999999"/>
    <n v="1"/>
    <n v="0.33424073965967516"/>
    <n v="17380.72"/>
    <n v="8725.8939600000012"/>
    <n v="26106.613960000002"/>
    <s v="Q3-2023"/>
    <x v="24"/>
    <s v="Medium"/>
    <n v="28"/>
    <d v="2023-01-01T00:00:00"/>
    <d v="2023-07-01T00:00:00"/>
    <n v="1"/>
    <x v="23"/>
  </r>
  <r>
    <s v="ORD-2023-261081"/>
    <d v="2023-07-24T00:00:00"/>
    <d v="2023-08-19T00:00:00"/>
    <s v="OK"/>
    <d v="2023-08-19T00:00:00"/>
    <n v="26"/>
    <x v="0"/>
    <x v="0"/>
    <s v="Nairobi"/>
    <s v="Enterprise"/>
    <x v="3"/>
    <x v="12"/>
    <x v="6"/>
    <x v="340"/>
    <n v="661.45"/>
    <s v="OK"/>
    <n v="1634.86"/>
    <n v="1634.86"/>
    <n v="0.3"/>
    <s v="Check"/>
    <n v="0.56499999999999995"/>
    <n v="1"/>
    <n v="0.42201254454291404"/>
    <n v="15874.800000000001"/>
    <n v="11590.847999999996"/>
    <n v="27465.647999999997"/>
    <s v="Q3-2023"/>
    <x v="24"/>
    <s v="Medium"/>
    <n v="24"/>
    <d v="2023-01-01T00:00:00"/>
    <d v="2023-07-01T00:00:00"/>
    <n v="0"/>
    <x v="23"/>
  </r>
  <r>
    <s v="ORD-2023-766015"/>
    <d v="2023-04-13T00:00:00"/>
    <d v="2023-04-20T00:00:00"/>
    <s v="Check"/>
    <d v="2023-04-11T00:00:00"/>
    <n v="7"/>
    <x v="2"/>
    <x v="10"/>
    <s v="San Francisco"/>
    <s v="Education"/>
    <x v="2"/>
    <x v="3"/>
    <x v="2"/>
    <x v="341"/>
    <n v="32.1"/>
    <s v="OK"/>
    <n v="70.599999999999994"/>
    <n v="70.599999999999994"/>
    <n v="0.28199999999999997"/>
    <s v="OK"/>
    <n v="0.28199999999999997"/>
    <n v="1"/>
    <n v="0.36674899587301818"/>
    <n v="706.2"/>
    <n v="408.99759999999969"/>
    <n v="1115.1975999999997"/>
    <s v="Q2-2023"/>
    <x v="12"/>
    <s v="Low"/>
    <n v="22"/>
    <d v="2023-01-01T00:00:00"/>
    <d v="2023-04-01T00:00:00"/>
    <n v="1"/>
    <x v="12"/>
  </r>
  <r>
    <s v="ORD-2024-333192"/>
    <d v="2024-10-29T00:00:00"/>
    <d v="2024-11-04T00:00:00"/>
    <s v="OK"/>
    <d v="2024-11-04T00:00:00"/>
    <n v="6"/>
    <x v="0"/>
    <x v="0"/>
    <s v="Nairobi"/>
    <s v="Corporate"/>
    <x v="3"/>
    <x v="12"/>
    <x v="1"/>
    <x v="342"/>
    <n v="805.81"/>
    <s v="OK"/>
    <n v="1823.04"/>
    <n v="1823.04"/>
    <n v="0"/>
    <s v="OK"/>
    <n v="0"/>
    <n v="0"/>
    <n v="0.55798556257679477"/>
    <n v="8863.91"/>
    <n v="11189.529999999999"/>
    <n v="20053.439999999999"/>
    <s v="Q4-2024"/>
    <x v="1"/>
    <s v="Medium"/>
    <n v="11"/>
    <d v="2023-01-01T00:00:00"/>
    <d v="2024-10-01T00:00:00"/>
    <n v="1"/>
    <x v="1"/>
  </r>
  <r>
    <s v="ORD-2024-647473"/>
    <d v="2024-02-17T00:00:00"/>
    <d v="2024-03-04T00:00:00"/>
    <s v="OK"/>
    <d v="2024-03-04T00:00:00"/>
    <n v="16"/>
    <x v="1"/>
    <x v="4"/>
    <s v="Delhi"/>
    <s v="Small Business"/>
    <x v="2"/>
    <x v="9"/>
    <x v="3"/>
    <x v="343"/>
    <n v="1231.8"/>
    <s v="OK"/>
    <n v="2015.99"/>
    <n v="2015.99"/>
    <n v="0.26100000000000001"/>
    <s v="OK"/>
    <n v="0.26100000000000001"/>
    <n v="1"/>
    <n v="0.17318682599464391"/>
    <n v="7390.7999999999993"/>
    <n v="1548.0996600000017"/>
    <n v="8938.8996600000009"/>
    <s v="Q1-2024"/>
    <x v="31"/>
    <s v="High"/>
    <n v="6"/>
    <d v="2023-01-01T00:00:00"/>
    <d v="2024-02-01T00:00:00"/>
    <n v="0"/>
    <x v="32"/>
  </r>
  <r>
    <s v="ORD-2024-892908"/>
    <d v="2024-07-13T00:00:00"/>
    <d v="2024-07-20T00:00:00"/>
    <s v="Check"/>
    <d v="2024-07-12T00:00:00"/>
    <n v="7"/>
    <x v="1"/>
    <x v="2"/>
    <s v="Nagoya"/>
    <s v="Small Business"/>
    <x v="2"/>
    <x v="9"/>
    <x v="2"/>
    <x v="344"/>
    <n v="105.13"/>
    <s v="OK"/>
    <n v="244.13"/>
    <n v="244.13"/>
    <n v="7.0999999999999994E-2"/>
    <s v="OK"/>
    <n v="7.0999999999999994E-2"/>
    <n v="0"/>
    <n v="0.53645724319618837"/>
    <n v="1471.82"/>
    <n v="1703.3347799999999"/>
    <n v="3175.1547799999998"/>
    <s v="Q3-2024"/>
    <x v="14"/>
    <s v="Low"/>
    <n v="14"/>
    <d v="2023-03-01T00:00:00"/>
    <d v="2024-07-01T00:00:00"/>
    <n v="1"/>
    <x v="7"/>
  </r>
  <r>
    <s v="ORD-2023-573146"/>
    <d v="2023-12-01T00:00:00"/>
    <d v="2023-12-18T00:00:00"/>
    <s v="OK"/>
    <d v="2023-12-18T00:00:00"/>
    <n v="17"/>
    <x v="1"/>
    <x v="2"/>
    <s v="Nagoya"/>
    <s v="Small Business"/>
    <x v="4"/>
    <x v="13"/>
    <x v="4"/>
    <x v="345"/>
    <n v="1495.79"/>
    <s v="OK"/>
    <n v="2783.12"/>
    <n v="2783.12"/>
    <n v="0.02"/>
    <s v="OK"/>
    <n v="0.02"/>
    <n v="0"/>
    <n v="0.45158084217331185"/>
    <n v="7478.95"/>
    <n v="6158.3379999999988"/>
    <n v="13637.287999999999"/>
    <s v="Q4-2023"/>
    <x v="4"/>
    <s v="High"/>
    <n v="5"/>
    <d v="2023-03-01T00:00:00"/>
    <d v="2023-12-01T00:00:00"/>
    <n v="0"/>
    <x v="4"/>
  </r>
  <r>
    <s v="ORD-2024-901115"/>
    <d v="2024-07-25T00:00:00"/>
    <d v="2024-08-02T00:00:00"/>
    <s v="OK"/>
    <d v="2024-08-02T00:00:00"/>
    <n v="8"/>
    <x v="2"/>
    <x v="3"/>
    <s v="Montreal"/>
    <s v="Consumer"/>
    <x v="4"/>
    <x v="1"/>
    <x v="6"/>
    <x v="346"/>
    <n v="986.81"/>
    <s v="OK"/>
    <n v="2050.31"/>
    <n v="2050.31"/>
    <n v="0.10299999999999999"/>
    <s v="OK"/>
    <n v="0.10299999999999999"/>
    <n v="0"/>
    <n v="0.46343595310358138"/>
    <n v="42432.829999999994"/>
    <n v="36649.677010000007"/>
    <n v="79082.507010000001"/>
    <s v="Q3-2024"/>
    <x v="14"/>
    <s v="High"/>
    <n v="43"/>
    <d v="2023-01-01T00:00:00"/>
    <d v="2024-07-01T00:00:00"/>
    <n v="0"/>
    <x v="14"/>
  </r>
  <r>
    <s v="ORD-2023-898009"/>
    <d v="2023-05-04T00:00:00"/>
    <d v="2023-05-16T00:00:00"/>
    <s v="OK"/>
    <d v="2023-05-16T00:00:00"/>
    <n v="12"/>
    <x v="0"/>
    <x v="1"/>
    <s v="Abuja"/>
    <s v="Small Business"/>
    <x v="2"/>
    <x v="1"/>
    <x v="3"/>
    <x v="347"/>
    <n v="77.739999999999995"/>
    <s v="OK"/>
    <n v="147.12"/>
    <n v="147.12"/>
    <n v="0"/>
    <s v="OK"/>
    <n v="0"/>
    <n v="0"/>
    <n v="0.47158781946710177"/>
    <n v="1166.0999999999999"/>
    <n v="1040.7000000000003"/>
    <n v="2206.8000000000002"/>
    <s v="Q2-2023"/>
    <x v="15"/>
    <s v="Low"/>
    <n v="15"/>
    <d v="2023-01-01T00:00:00"/>
    <d v="2023-05-01T00:00:00"/>
    <n v="0"/>
    <x v="15"/>
  </r>
  <r>
    <s v="ORD-2023-208944"/>
    <d v="2023-12-21T00:00:00"/>
    <d v="2024-01-06T00:00:00"/>
    <s v="OK"/>
    <d v="2024-01-06T00:00:00"/>
    <n v="16"/>
    <x v="0"/>
    <x v="1"/>
    <s v="Unkown"/>
    <s v="Corporate"/>
    <x v="2"/>
    <x v="11"/>
    <x v="0"/>
    <x v="348"/>
    <n v="932.61"/>
    <s v="OK"/>
    <n v="1982.98"/>
    <n v="1982.98"/>
    <n v="0.14399999999999999"/>
    <s v="OK"/>
    <n v="0.14399999999999999"/>
    <n v="0"/>
    <n v="0.45057556629345635"/>
    <n v="14921.76"/>
    <n v="12237.134079999998"/>
    <n v="27158.894079999998"/>
    <s v="Q4-2023"/>
    <x v="4"/>
    <s v="High"/>
    <n v="16"/>
    <d v="2023-01-01T00:00:00"/>
    <d v="2023-12-01T00:00:00"/>
    <n v="0"/>
    <x v="27"/>
  </r>
  <r>
    <s v="ORD-2025-480172"/>
    <d v="2025-06-17T00:00:00"/>
    <d v="2025-07-05T00:00:00"/>
    <s v="OK"/>
    <d v="2025-07-05T00:00:00"/>
    <n v="18"/>
    <x v="1"/>
    <x v="4"/>
    <s v="Delhi"/>
    <s v="Consumer"/>
    <x v="2"/>
    <x v="4"/>
    <x v="4"/>
    <x v="349"/>
    <n v="982.93"/>
    <s v="OK"/>
    <n v="2299.3000000000002"/>
    <n v="2299.3000000000002"/>
    <n v="0.113"/>
    <s v="OK"/>
    <n v="0.113"/>
    <n v="0"/>
    <n v="0.51804850562087157"/>
    <n v="5897.58"/>
    <n v="6339.2946000000011"/>
    <n v="12236.874600000001"/>
    <s v="Q2-2025"/>
    <x v="16"/>
    <s v="High"/>
    <n v="6"/>
    <d v="2023-01-01T00:00:00"/>
    <d v="2025-06-01T00:00:00"/>
    <n v="0"/>
    <x v="16"/>
  </r>
  <r>
    <s v="ORD-2023-735274"/>
    <d v="2023-02-23T00:00:00"/>
    <d v="2023-03-08T00:00:00"/>
    <s v="OK"/>
    <d v="2023-03-08T00:00:00"/>
    <n v="13"/>
    <x v="3"/>
    <x v="8"/>
    <s v="Manchester"/>
    <s v="Small Business"/>
    <x v="4"/>
    <x v="0"/>
    <x v="1"/>
    <x v="350"/>
    <n v="307.37"/>
    <s v="OK"/>
    <n v="462.61"/>
    <n v="462.61"/>
    <n v="0.188"/>
    <s v="OK"/>
    <n v="0.188"/>
    <n v="0"/>
    <n v="0.18174167709599739"/>
    <n v="3381.07"/>
    <n v="750.9625200000005"/>
    <n v="4132.0325200000007"/>
    <s v="Q1-2023"/>
    <x v="2"/>
    <s v="Low"/>
    <n v="11"/>
    <d v="2023-01-01T00:00:00"/>
    <d v="2023-02-01T00:00:00"/>
    <n v="0"/>
    <x v="2"/>
  </r>
  <r>
    <s v="ORD-2023-212701"/>
    <d v="2023-12-02T00:00:00"/>
    <d v="2023-12-16T00:00:00"/>
    <s v="OK"/>
    <d v="2023-12-16T00:00:00"/>
    <n v="14"/>
    <x v="3"/>
    <x v="6"/>
    <s v="Frankfurt"/>
    <s v="Education"/>
    <x v="4"/>
    <x v="13"/>
    <x v="5"/>
    <x v="351"/>
    <n v="879.08"/>
    <s v="OK"/>
    <n v="1093.3900000000001"/>
    <n v="1093.3900000000001"/>
    <n v="0.113"/>
    <s v="OK"/>
    <n v="0.113"/>
    <n v="0"/>
    <n v="9.3579577341935186E-2"/>
    <n v="14944.36"/>
    <n v="1542.8678099999997"/>
    <n v="16487.22781"/>
    <s v="Q4-2023"/>
    <x v="4"/>
    <s v="Medium"/>
    <n v="17"/>
    <d v="2023-01-01T00:00:00"/>
    <d v="2023-12-01T00:00:00"/>
    <n v="0"/>
    <x v="27"/>
  </r>
  <r>
    <s v="ORD-2023-479747"/>
    <d v="2023-07-14T00:00:00"/>
    <d v="2023-07-14T00:00:00"/>
    <s v="OK"/>
    <d v="2023-07-14T00:00:00"/>
    <n v="0"/>
    <x v="0"/>
    <x v="1"/>
    <s v="Lagos"/>
    <s v="Education"/>
    <x v="0"/>
    <x v="2"/>
    <x v="6"/>
    <x v="352"/>
    <n v="956.38"/>
    <s v="OK"/>
    <n v="1454.22"/>
    <n v="1454.22"/>
    <n v="3.9E-2"/>
    <s v="OK"/>
    <n v="3.9E-2"/>
    <n v="0"/>
    <n v="0.31565202802576603"/>
    <n v="18171.22"/>
    <n v="8381.3829799999985"/>
    <n v="26552.60298"/>
    <s v="Q3-2023"/>
    <x v="24"/>
    <s v="Medium"/>
    <n v="19"/>
    <d v="2023-01-01T00:00:00"/>
    <d v="2023-07-01T00:00:00"/>
    <n v="1"/>
    <x v="23"/>
  </r>
  <r>
    <s v="ORD-2024-915495"/>
    <d v="2024-08-08T00:00:00"/>
    <d v="2024-08-20T00:00:00"/>
    <s v="OK"/>
    <d v="2024-08-20T00:00:00"/>
    <n v="12"/>
    <x v="1"/>
    <x v="2"/>
    <s v="Osaka"/>
    <s v="Small Business"/>
    <x v="0"/>
    <x v="10"/>
    <x v="2"/>
    <x v="353"/>
    <n v="1233.3599999999999"/>
    <s v="OK"/>
    <n v="2120.4"/>
    <n v="2120.4"/>
    <n v="0.17899999999999999"/>
    <s v="OK"/>
    <n v="0.17899999999999999"/>
    <n v="0"/>
    <n v="0.29151785991244278"/>
    <n v="24667.199999999997"/>
    <n v="10149.768000000004"/>
    <n v="34816.968000000001"/>
    <s v="Q3-2024"/>
    <x v="21"/>
    <s v="High"/>
    <n v="20"/>
    <d v="2023-03-01T00:00:00"/>
    <d v="2024-08-01T00:00:00"/>
    <n v="0"/>
    <x v="17"/>
  </r>
  <r>
    <s v="ORD-2024-225829"/>
    <d v="2024-11-07T00:00:00"/>
    <d v="2024-11-26T00:00:00"/>
    <s v="OK"/>
    <d v="2024-11-26T00:00:00"/>
    <n v="19"/>
    <x v="2"/>
    <x v="5"/>
    <s v="Rio de Janeiro"/>
    <s v="Non-Profit"/>
    <x v="3"/>
    <x v="1"/>
    <x v="1"/>
    <x v="354"/>
    <n v="55.35"/>
    <s v="OK"/>
    <n v="128.68"/>
    <n v="128.68"/>
    <n v="0.128"/>
    <s v="OK"/>
    <n v="0.128"/>
    <n v="0"/>
    <n v="0.50672388372550647"/>
    <n v="553.5"/>
    <n v="568.58960000000025"/>
    <n v="1122.0896000000002"/>
    <s v="Q4-2024"/>
    <x v="18"/>
    <s v="Low"/>
    <n v="10"/>
    <d v="2023-01-01T00:00:00"/>
    <d v="2024-11-01T00:00:00"/>
    <n v="0"/>
    <x v="10"/>
  </r>
  <r>
    <s v="ORD-2024-921935"/>
    <d v="2024-01-01T00:00:00"/>
    <d v="2024-01-27T00:00:00"/>
    <s v="OK"/>
    <d v="2024-01-27T00:00:00"/>
    <n v="26"/>
    <x v="3"/>
    <x v="8"/>
    <s v="Manchester"/>
    <s v="Education"/>
    <x v="3"/>
    <x v="14"/>
    <x v="6"/>
    <x v="355"/>
    <n v="657.45"/>
    <s v="OK"/>
    <n v="1325.96"/>
    <n v="1325.96"/>
    <n v="0.16700000000000001"/>
    <s v="OK"/>
    <n v="0.16700000000000001"/>
    <n v="0"/>
    <n v="0.40476658249048808"/>
    <n v="13806.45"/>
    <n v="9388.5682799999995"/>
    <n v="23195.01828"/>
    <s v="Q1-2024"/>
    <x v="9"/>
    <s v="Medium"/>
    <n v="21"/>
    <d v="2023-01-01T00:00:00"/>
    <d v="2024-01-01T00:00:00"/>
    <n v="0"/>
    <x v="9"/>
  </r>
  <r>
    <s v="ORD-2025-949776"/>
    <d v="2025-08-14T00:00:00"/>
    <d v="2025-09-11T00:00:00"/>
    <s v="OK"/>
    <d v="2025-09-11T00:00:00"/>
    <n v="28"/>
    <x v="2"/>
    <x v="5"/>
    <s v="São Paulo"/>
    <s v="Non-Profit"/>
    <x v="4"/>
    <x v="9"/>
    <x v="1"/>
    <x v="356"/>
    <n v="1203.02"/>
    <s v="OK"/>
    <n v="2439.33"/>
    <n v="2439.33"/>
    <n v="0"/>
    <s v="OK"/>
    <n v="0"/>
    <n v="0"/>
    <n v="0.50682359500354612"/>
    <n v="21654.36"/>
    <n v="22253.58"/>
    <n v="43907.94"/>
    <s v="Q3-2025"/>
    <x v="28"/>
    <s v="High"/>
    <n v="18"/>
    <d v="2023-01-01T00:00:00"/>
    <d v="2025-08-01T00:00:00"/>
    <n v="0"/>
    <x v="29"/>
  </r>
  <r>
    <s v="ORD-2024-510591"/>
    <d v="2024-04-03T00:00:00"/>
    <d v="2024-04-21T00:00:00"/>
    <s v="OK"/>
    <d v="2024-04-21T00:00:00"/>
    <n v="18"/>
    <x v="2"/>
    <x v="5"/>
    <s v="Brasília"/>
    <s v="Small Business"/>
    <x v="3"/>
    <x v="5"/>
    <x v="2"/>
    <x v="357"/>
    <n v="1176.69"/>
    <s v="OK"/>
    <n v="2201.54"/>
    <n v="2201.54"/>
    <n v="0.17"/>
    <s v="OK"/>
    <n v="0.17"/>
    <n v="0"/>
    <n v="0.35604222717701106"/>
    <n v="31770.63"/>
    <n v="17565.881399999995"/>
    <n v="49336.511399999996"/>
    <s v="Q2-2024"/>
    <x v="20"/>
    <s v="High"/>
    <n v="27"/>
    <d v="2023-01-01T00:00:00"/>
    <d v="2024-04-01T00:00:00"/>
    <n v="0"/>
    <x v="19"/>
  </r>
  <r>
    <s v="ORD-2024-961756"/>
    <d v="2024-11-25T00:00:00"/>
    <d v="2024-12-07T00:00:00"/>
    <s v="OK"/>
    <d v="2024-12-07T00:00:00"/>
    <n v="12"/>
    <x v="1"/>
    <x v="9"/>
    <s v="Shanghai"/>
    <s v="Corporate"/>
    <x v="3"/>
    <x v="8"/>
    <x v="6"/>
    <x v="358"/>
    <n v="769.9"/>
    <s v="OK"/>
    <n v="814.36"/>
    <n v="814.36"/>
    <n v="0"/>
    <s v="OK"/>
    <n v="0"/>
    <n v="0"/>
    <n v="5.4595019401738831E-2"/>
    <n v="3849.5"/>
    <n v="222.30000000000018"/>
    <n v="4071.8"/>
    <s v="Q4-2024"/>
    <x v="18"/>
    <s v="Medium"/>
    <n v="5"/>
    <d v="2023-01-01T00:00:00"/>
    <d v="2024-11-01T00:00:00"/>
    <n v="0"/>
    <x v="10"/>
  </r>
  <r>
    <s v="ORD-2024-892173"/>
    <d v="2024-01-18T00:00:00"/>
    <d v="2024-02-03T00:00:00"/>
    <s v="OK"/>
    <d v="2024-02-03T00:00:00"/>
    <n v="16"/>
    <x v="0"/>
    <x v="11"/>
    <s v="Cape Town"/>
    <s v="Non-Profit"/>
    <x v="3"/>
    <x v="4"/>
    <x v="1"/>
    <x v="359"/>
    <n v="666.23"/>
    <s v="OK"/>
    <n v="1382.91"/>
    <n v="1382.91"/>
    <n v="0.17599999999999999"/>
    <s v="OK"/>
    <n v="0.17599999999999999"/>
    <n v="0"/>
    <n v="0.41534043907553048"/>
    <n v="8660.99"/>
    <n v="6152.7419200000022"/>
    <n v="14813.731920000002"/>
    <s v="Q1-2024"/>
    <x v="9"/>
    <s v="Medium"/>
    <n v="13"/>
    <d v="2023-01-01T00:00:00"/>
    <d v="2024-01-01T00:00:00"/>
    <n v="0"/>
    <x v="9"/>
  </r>
  <r>
    <s v="ORD-2024-704056"/>
    <d v="2024-06-23T00:00:00"/>
    <d v="2024-06-25T00:00:00"/>
    <s v="OK"/>
    <d v="2024-06-25T00:00:00"/>
    <n v="2"/>
    <x v="3"/>
    <x v="8"/>
    <s v="Birmingham"/>
    <s v="Small Business"/>
    <x v="2"/>
    <x v="4"/>
    <x v="6"/>
    <x v="360"/>
    <n v="951.44"/>
    <s v="OK"/>
    <n v="1646.43"/>
    <n v="1646.43"/>
    <n v="0.11"/>
    <s v="OK"/>
    <n v="0.11"/>
    <n v="0"/>
    <n v="0.35069592520473475"/>
    <n v="22834.560000000001"/>
    <n v="12333.184799999999"/>
    <n v="35167.7448"/>
    <s v="Q2-2024"/>
    <x v="17"/>
    <s v="Medium"/>
    <n v="24"/>
    <d v="2023-01-01T00:00:00"/>
    <d v="2024-06-01T00:00:00"/>
    <n v="1"/>
    <x v="17"/>
  </r>
  <r>
    <s v="ORD-2025-591006"/>
    <d v="2025-06-25T00:00:00"/>
    <d v="2025-07-10T00:00:00"/>
    <s v="OK"/>
    <d v="2025-07-10T00:00:00"/>
    <n v="15"/>
    <x v="3"/>
    <x v="8"/>
    <s v="Birmingham"/>
    <s v="Non-Profit"/>
    <x v="2"/>
    <x v="14"/>
    <x v="3"/>
    <x v="361"/>
    <n v="546.83000000000004"/>
    <s v="OK"/>
    <n v="400.84"/>
    <n v="400.84"/>
    <n v="7.8E-2"/>
    <s v="OK"/>
    <n v="7.8E-2"/>
    <n v="0"/>
    <n v="-0.47962056254533608"/>
    <n v="7108.7900000000009"/>
    <n v="-2304.3217600000007"/>
    <n v="4804.4682400000002"/>
    <s v="Q2-2025"/>
    <x v="16"/>
    <s v="Low"/>
    <n v="13"/>
    <d v="2023-01-01T00:00:00"/>
    <d v="2025-06-01T00:00:00"/>
    <n v="0"/>
    <x v="16"/>
  </r>
  <r>
    <s v="ORD-2023-159821"/>
    <d v="2023-07-01T00:00:00"/>
    <d v="2023-07-08T00:00:00"/>
    <s v="OK"/>
    <d v="2023-07-08T00:00:00"/>
    <n v="7"/>
    <x v="0"/>
    <x v="1"/>
    <s v="Port Harcourt"/>
    <s v="Corporate"/>
    <x v="0"/>
    <x v="8"/>
    <x v="4"/>
    <x v="362"/>
    <n v="834.26"/>
    <s v="OK"/>
    <n v="1780.56"/>
    <n v="1780.56"/>
    <n v="1.4E-2"/>
    <s v="OK"/>
    <n v="1.4E-2"/>
    <n v="0"/>
    <n v="0.5248093427497933"/>
    <n v="39210.22"/>
    <n v="43304.491519999996"/>
    <n v="82514.711519999997"/>
    <s v="Q3-2023"/>
    <x v="24"/>
    <s v="Medium"/>
    <n v="47"/>
    <d v="2023-01-01T00:00:00"/>
    <d v="2023-07-01T00:00:00"/>
    <n v="1"/>
    <x v="23"/>
  </r>
  <r>
    <s v="ORD-2024-343877"/>
    <d v="2024-03-09T00:00:00"/>
    <d v="2024-03-26T00:00:00"/>
    <s v="OK"/>
    <d v="2024-03-26T00:00:00"/>
    <n v="17"/>
    <x v="1"/>
    <x v="9"/>
    <s v="Shenzhen"/>
    <s v="Enterprise"/>
    <x v="1"/>
    <x v="11"/>
    <x v="5"/>
    <x v="363"/>
    <n v="1029.67"/>
    <s v="OK"/>
    <n v="1118.43"/>
    <n v="1118.43"/>
    <n v="0.27200000000000002"/>
    <s v="OK"/>
    <n v="0.27200000000000002"/>
    <n v="1"/>
    <n v="-0.26461367106736061"/>
    <n v="9267.0300000000007"/>
    <n v="-1939.0766400000002"/>
    <n v="7327.9533600000004"/>
    <s v="Q1-2024"/>
    <x v="0"/>
    <s v="Medium"/>
    <n v="9"/>
    <d v="2023-01-01T00:00:00"/>
    <d v="2024-03-01T00:00:00"/>
    <n v="0"/>
    <x v="0"/>
  </r>
  <r>
    <s v="ORD-2023-386663"/>
    <d v="2023-06-05T00:00:00"/>
    <d v="2023-06-28T00:00:00"/>
    <s v="OK"/>
    <d v="2023-06-28T00:00:00"/>
    <n v="23"/>
    <x v="3"/>
    <x v="8"/>
    <s v="Birmingham"/>
    <s v="Corporate"/>
    <x v="4"/>
    <x v="11"/>
    <x v="1"/>
    <x v="364"/>
    <n v="605.82000000000005"/>
    <s v="OK"/>
    <n v="771.12"/>
    <n v="771.12"/>
    <n v="0.13200000000000001"/>
    <s v="OK"/>
    <n v="0.13200000000000001"/>
    <n v="0"/>
    <n v="9.4888851597986767E-2"/>
    <n v="11510.580000000002"/>
    <n v="1206.7310399999988"/>
    <n v="12717.311040000001"/>
    <s v="Q2-2023"/>
    <x v="23"/>
    <s v="Medium"/>
    <n v="19"/>
    <d v="2023-01-01T00:00:00"/>
    <d v="2023-06-01T00:00:00"/>
    <n v="0"/>
    <x v="22"/>
  </r>
  <r>
    <s v="ORD-2025-125517"/>
    <d v="2025-03-21T00:00:00"/>
    <d v="2025-04-09T00:00:00"/>
    <s v="OK"/>
    <d v="2025-04-09T00:00:00"/>
    <n v="19"/>
    <x v="1"/>
    <x v="2"/>
    <s v="Tokyo"/>
    <s v="Small Business"/>
    <x v="3"/>
    <x v="6"/>
    <x v="0"/>
    <x v="365"/>
    <n v="1055.45"/>
    <s v="OK"/>
    <n v="1210.04"/>
    <n v="1210.04"/>
    <n v="8.9999999999999993E-3"/>
    <s v="OK"/>
    <n v="8.9999999999999993E-3"/>
    <n v="0"/>
    <n v="0.1198346188053727"/>
    <n v="18998.100000000002"/>
    <n v="2586.5935199999985"/>
    <n v="21584.693520000001"/>
    <s v="Q1-2025"/>
    <x v="3"/>
    <s v="Medium"/>
    <n v="18"/>
    <d v="2023-03-01T00:00:00"/>
    <d v="2025-03-01T00:00:00"/>
    <n v="0"/>
    <x v="24"/>
  </r>
  <r>
    <s v="ORD-2024-819778"/>
    <d v="2024-06-02T00:00:00"/>
    <d v="2024-06-15T00:00:00"/>
    <s v="OK"/>
    <d v="2024-06-15T00:00:00"/>
    <n v="13"/>
    <x v="0"/>
    <x v="0"/>
    <s v="Mombasa"/>
    <s v="Education"/>
    <x v="1"/>
    <x v="7"/>
    <x v="3"/>
    <x v="366"/>
    <n v="1295.18"/>
    <s v="OK"/>
    <n v="3024.03"/>
    <n v="3024.03"/>
    <n v="0.192"/>
    <s v="OK"/>
    <n v="0.192"/>
    <n v="0"/>
    <n v="0.46993067378483178"/>
    <n v="10361.44"/>
    <n v="9185.8899200000033"/>
    <n v="19547.329920000004"/>
    <s v="Q2-2024"/>
    <x v="17"/>
    <s v="High"/>
    <n v="8"/>
    <d v="2023-01-01T00:00:00"/>
    <d v="2024-06-01T00:00:00"/>
    <n v="0"/>
    <x v="17"/>
  </r>
  <r>
    <s v="ORD-2025-624006"/>
    <d v="2025-03-15T00:00:00"/>
    <d v="2025-03-29T00:00:00"/>
    <s v="OK"/>
    <d v="2025-03-29T00:00:00"/>
    <n v="14"/>
    <x v="1"/>
    <x v="4"/>
    <s v="Mumbai"/>
    <s v="Enterprise"/>
    <x v="4"/>
    <x v="0"/>
    <x v="0"/>
    <x v="367"/>
    <n v="935.83"/>
    <s v="OK"/>
    <n v="2303.46"/>
    <n v="2303.46"/>
    <n v="0.105"/>
    <s v="OK"/>
    <n v="0.105"/>
    <n v="0"/>
    <n v="0.54606543559174292"/>
    <n v="8422.4700000000012"/>
    <n v="10131.900299999998"/>
    <n v="18554.370299999999"/>
    <s v="Q1-2025"/>
    <x v="3"/>
    <s v="High"/>
    <n v="9"/>
    <d v="2023-01-01T00:00:00"/>
    <d v="2025-03-01T00:00:00"/>
    <n v="0"/>
    <x v="3"/>
  </r>
  <r>
    <s v="ORD-2023-132101"/>
    <d v="2023-09-25T00:00:00"/>
    <d v="2023-10-09T00:00:00"/>
    <s v="OK"/>
    <d v="2023-10-09T00:00:00"/>
    <n v="14"/>
    <x v="2"/>
    <x v="10"/>
    <s v="New York"/>
    <s v="Small Business"/>
    <x v="2"/>
    <x v="1"/>
    <x v="4"/>
    <x v="368"/>
    <n v="1279.56"/>
    <s v="OK"/>
    <n v="3083.8"/>
    <n v="3083.8"/>
    <n v="0.106"/>
    <s v="OK"/>
    <n v="0.106"/>
    <n v="0"/>
    <n v="0.53587289455047848"/>
    <n v="6397.7999999999993"/>
    <n v="7386.7860000000019"/>
    <n v="13784.586000000001"/>
    <s v="Q3-2023"/>
    <x v="27"/>
    <s v="High"/>
    <n v="5"/>
    <d v="2023-01-01T00:00:00"/>
    <d v="2023-09-01T00:00:00"/>
    <n v="0"/>
    <x v="28"/>
  </r>
  <r>
    <s v="ORD-2025-306903"/>
    <d v="2025-06-24T00:00:00"/>
    <d v="2025-07-23T00:00:00"/>
    <s v="OK"/>
    <d v="2025-07-23T00:00:00"/>
    <n v="29"/>
    <x v="2"/>
    <x v="3"/>
    <s v="Vancouver"/>
    <s v="Non-Profit"/>
    <x v="2"/>
    <x v="2"/>
    <x v="1"/>
    <x v="369"/>
    <n v="255.4"/>
    <s v="OK"/>
    <n v="322.70999999999998"/>
    <n v="322.70999999999998"/>
    <n v="0.115"/>
    <s v="OK"/>
    <n v="0.115"/>
    <n v="0"/>
    <n v="0.10573713048412212"/>
    <n v="4086.4"/>
    <n v="483.17359999999962"/>
    <n v="4569.5735999999997"/>
    <s v="Q2-2025"/>
    <x v="16"/>
    <s v="Low"/>
    <n v="16"/>
    <d v="2023-01-01T00:00:00"/>
    <d v="2025-06-01T00:00:00"/>
    <n v="0"/>
    <x v="16"/>
  </r>
  <r>
    <s v="ORD-2023-813340"/>
    <d v="2023-12-26T00:00:00"/>
    <d v="2024-01-03T00:00:00"/>
    <s v="OK"/>
    <d v="2024-01-03T00:00:00"/>
    <n v="8"/>
    <x v="3"/>
    <x v="7"/>
    <s v="Lyon"/>
    <s v="Small Business"/>
    <x v="0"/>
    <x v="12"/>
    <x v="4"/>
    <x v="370"/>
    <n v="492.75"/>
    <s v="OK"/>
    <n v="731.29"/>
    <n v="731.29"/>
    <n v="5.8000000000000003E-2"/>
    <s v="OK"/>
    <n v="5.8000000000000003E-2"/>
    <n v="0"/>
    <n v="0.28470350753528384"/>
    <n v="2956.5"/>
    <n v="1176.75108"/>
    <n v="4133.25108"/>
    <s v="Q4-2023"/>
    <x v="4"/>
    <s v="Medium"/>
    <n v="6"/>
    <d v="2023-01-01T00:00:00"/>
    <d v="2023-12-01T00:00:00"/>
    <n v="0"/>
    <x v="27"/>
  </r>
  <r>
    <s v="ORD-2023-855675"/>
    <d v="2023-02-05T00:00:00"/>
    <d v="2023-02-28T00:00:00"/>
    <s v="OK"/>
    <d v="2023-02-28T00:00:00"/>
    <n v="23"/>
    <x v="2"/>
    <x v="10"/>
    <s v="Austin"/>
    <s v="Non-Profit"/>
    <x v="3"/>
    <x v="4"/>
    <x v="3"/>
    <x v="371"/>
    <n v="1214.49"/>
    <s v="OK"/>
    <n v="1533.95"/>
    <n v="1533.95"/>
    <n v="0"/>
    <s v="OK"/>
    <n v="0"/>
    <n v="0"/>
    <n v="0.20825972163369086"/>
    <n v="13359.39"/>
    <n v="3514.0600000000013"/>
    <n v="16873.45"/>
    <s v="Q1-2023"/>
    <x v="2"/>
    <s v="Medium"/>
    <n v="11"/>
    <d v="2023-01-01T00:00:00"/>
    <d v="2023-02-01T00:00:00"/>
    <n v="0"/>
    <x v="2"/>
  </r>
  <r>
    <s v="ORD-2023-545150"/>
    <d v="2023-04-06T00:00:00"/>
    <d v="2023-04-08T00:00:00"/>
    <s v="OK"/>
    <d v="2023-04-08T00:00:00"/>
    <n v="2"/>
    <x v="0"/>
    <x v="1"/>
    <s v="Abuja"/>
    <s v="Small Business"/>
    <x v="2"/>
    <x v="11"/>
    <x v="5"/>
    <x v="372"/>
    <n v="720.35"/>
    <s v="OK"/>
    <n v="1571.66"/>
    <n v="1571.66"/>
    <n v="0.107"/>
    <s v="OK"/>
    <n v="0.107"/>
    <n v="0"/>
    <n v="0.4867446305622265"/>
    <n v="16568.05"/>
    <n v="15712.274740000001"/>
    <n v="32280.32474"/>
    <s v="Q2-2023"/>
    <x v="12"/>
    <s v="Medium"/>
    <n v="23"/>
    <d v="2023-01-01T00:00:00"/>
    <d v="2023-04-01T00:00:00"/>
    <n v="1"/>
    <x v="12"/>
  </r>
  <r>
    <s v="ORD-2025-269934"/>
    <d v="2025-04-04T00:00:00"/>
    <d v="2025-04-10T00:00:00"/>
    <s v="OK"/>
    <d v="2025-04-10T00:00:00"/>
    <n v="6"/>
    <x v="3"/>
    <x v="8"/>
    <s v="Birmingham"/>
    <s v="Non-Profit"/>
    <x v="4"/>
    <x v="13"/>
    <x v="1"/>
    <x v="373"/>
    <n v="290.14"/>
    <s v="OK"/>
    <n v="250.73"/>
    <n v="250.73"/>
    <n v="3.4000000000000002E-2"/>
    <s v="OK"/>
    <n v="3.4000000000000002E-2"/>
    <n v="0"/>
    <n v="-0.19790997038131072"/>
    <n v="4932.38"/>
    <n v="-814.89194000000043"/>
    <n v="4117.4880599999997"/>
    <s v="Q2-2025"/>
    <x v="19"/>
    <s v="Low"/>
    <n v="17"/>
    <d v="2023-01-01T00:00:00"/>
    <d v="2025-04-01T00:00:00"/>
    <n v="1"/>
    <x v="18"/>
  </r>
  <r>
    <s v="ORD-2024-690270"/>
    <d v="2024-05-17T00:00:00"/>
    <d v="2024-05-27T00:00:00"/>
    <s v="OK"/>
    <d v="2024-05-27T00:00:00"/>
    <n v="10"/>
    <x v="2"/>
    <x v="10"/>
    <s v="Austin"/>
    <s v="Non-Profit"/>
    <x v="1"/>
    <x v="0"/>
    <x v="3"/>
    <x v="374"/>
    <n v="1484.23"/>
    <s v="OK"/>
    <n v="3472.81"/>
    <n v="3472.81"/>
    <n v="0.25600000000000001"/>
    <s v="OK"/>
    <n v="0.25600000000000001"/>
    <n v="1"/>
    <n v="0.42555659661803413"/>
    <n v="17810.760000000002"/>
    <n v="13194.487679999998"/>
    <n v="31005.24768"/>
    <s v="Q2-2024"/>
    <x v="7"/>
    <s v="High"/>
    <n v="12"/>
    <d v="2023-01-01T00:00:00"/>
    <d v="2024-05-01T00:00:00"/>
    <n v="0"/>
    <x v="7"/>
  </r>
  <r>
    <s v="ORD-2024-868223"/>
    <d v="2024-03-03T00:00:00"/>
    <d v="2024-03-19T00:00:00"/>
    <s v="OK"/>
    <d v="2024-03-19T00:00:00"/>
    <n v="16"/>
    <x v="1"/>
    <x v="9"/>
    <s v="Beijing"/>
    <s v="Consumer"/>
    <x v="3"/>
    <x v="3"/>
    <x v="3"/>
    <x v="375"/>
    <n v="988.83"/>
    <s v="OK"/>
    <n v="1206.04"/>
    <n v="1206.04"/>
    <n v="6.3E-2"/>
    <s v="OK"/>
    <n v="6.3E-2"/>
    <n v="0"/>
    <n v="0.12497526236406606"/>
    <n v="33620.22"/>
    <n v="4801.8023200000025"/>
    <n v="38422.022320000004"/>
    <s v="Q1-2024"/>
    <x v="0"/>
    <s v="Medium"/>
    <n v="34"/>
    <d v="2023-01-01T00:00:00"/>
    <d v="2024-03-01T00:00:00"/>
    <n v="0"/>
    <x v="0"/>
  </r>
  <r>
    <s v="ORD-2025-188059"/>
    <d v="2025-06-27T00:00:00"/>
    <d v="2025-07-11T00:00:00"/>
    <s v="OK"/>
    <d v="2025-07-11T00:00:00"/>
    <n v="14"/>
    <x v="1"/>
    <x v="9"/>
    <s v="Shanghai"/>
    <s v="Small Business"/>
    <x v="2"/>
    <x v="4"/>
    <x v="2"/>
    <x v="376"/>
    <n v="1227.7"/>
    <s v="OK"/>
    <n v="2197.23"/>
    <n v="2197.23"/>
    <n v="9.9000000000000005E-2"/>
    <s v="OK"/>
    <n v="9.9000000000000005E-2"/>
    <n v="0"/>
    <n v="0.37985685871873898"/>
    <n v="27009.4"/>
    <n v="16544.093059999999"/>
    <n v="43553.493060000001"/>
    <s v="Q2-2025"/>
    <x v="16"/>
    <s v="High"/>
    <n v="22"/>
    <d v="2023-01-01T00:00:00"/>
    <d v="2025-06-01T00:00:00"/>
    <n v="0"/>
    <x v="16"/>
  </r>
  <r>
    <s v="ORD-2023-281890"/>
    <d v="2023-03-13T00:00:00"/>
    <d v="2023-04-04T00:00:00"/>
    <s v="OK"/>
    <d v="2023-04-04T00:00:00"/>
    <n v="22"/>
    <x v="0"/>
    <x v="11"/>
    <s v="Durban"/>
    <s v="Small Business"/>
    <x v="0"/>
    <x v="8"/>
    <x v="0"/>
    <x v="377"/>
    <n v="1113.7"/>
    <s v="OK"/>
    <n v="1620.6"/>
    <n v="1620.6"/>
    <n v="0.13900000000000001"/>
    <s v="OK"/>
    <n v="0.13900000000000001"/>
    <n v="0"/>
    <n v="0.20184133348182787"/>
    <n v="12250.7"/>
    <n v="3098.002599999998"/>
    <n v="15348.702599999999"/>
    <s v="Q1-2023"/>
    <x v="22"/>
    <s v="Medium"/>
    <n v="11"/>
    <d v="2023-01-01T00:00:00"/>
    <d v="2023-03-01T00:00:00"/>
    <n v="0"/>
    <x v="21"/>
  </r>
  <r>
    <s v="ORD-2025-636162"/>
    <d v="2025-01-07T00:00:00"/>
    <d v="2025-01-20T00:00:00"/>
    <s v="OK"/>
    <d v="2025-01-20T00:00:00"/>
    <n v="13"/>
    <x v="0"/>
    <x v="11"/>
    <s v="Cape Town"/>
    <s v="Corporate"/>
    <x v="4"/>
    <x v="11"/>
    <x v="2"/>
    <x v="378"/>
    <n v="432.13"/>
    <s v="OK"/>
    <n v="1034.6600000000001"/>
    <n v="1034.6600000000001"/>
    <n v="9.1999999999999998E-2"/>
    <s v="OK"/>
    <n v="9.1999999999999998E-2"/>
    <n v="0"/>
    <n v="0.54002851476204794"/>
    <n v="3024.91"/>
    <n v="3551.3889600000011"/>
    <n v="6576.298960000001"/>
    <s v="Q1-2025"/>
    <x v="10"/>
    <s v="Medium"/>
    <n v="7"/>
    <d v="2023-01-01T00:00:00"/>
    <d v="2025-01-01T00:00:00"/>
    <n v="0"/>
    <x v="24"/>
  </r>
  <r>
    <s v="ORD-2025-915869"/>
    <d v="2025-02-06T00:00:00"/>
    <d v="2025-02-15T00:00:00"/>
    <s v="OK"/>
    <d v="2025-02-15T00:00:00"/>
    <n v="9"/>
    <x v="2"/>
    <x v="5"/>
    <s v="São Paulo"/>
    <s v="Non-Profit"/>
    <x v="3"/>
    <x v="9"/>
    <x v="2"/>
    <x v="379"/>
    <n v="837.39"/>
    <s v="OK"/>
    <n v="1905.42"/>
    <n v="1905.42"/>
    <n v="3.2000000000000001E-2"/>
    <s v="OK"/>
    <n v="3.2000000000000001E-2"/>
    <n v="0"/>
    <n v="0.54599389423350919"/>
    <n v="15073.02"/>
    <n v="18127.018079999998"/>
    <n v="33200.038079999998"/>
    <s v="Q1-2025"/>
    <x v="26"/>
    <s v="Medium"/>
    <n v="18"/>
    <d v="2023-01-01T00:00:00"/>
    <d v="2025-02-01T00:00:00"/>
    <n v="0"/>
    <x v="26"/>
  </r>
  <r>
    <s v="ORD-2025-192876"/>
    <d v="2025-01-31T00:00:00"/>
    <d v="2025-02-17T00:00:00"/>
    <s v="OK"/>
    <d v="2025-02-17T00:00:00"/>
    <n v="17"/>
    <x v="3"/>
    <x v="8"/>
    <s v="London"/>
    <s v="Enterprise"/>
    <x v="0"/>
    <x v="10"/>
    <x v="0"/>
    <x v="78"/>
    <n v="378.26"/>
    <s v="OK"/>
    <n v="541.55999999999995"/>
    <n v="541.55999999999995"/>
    <n v="0.16300000000000001"/>
    <s v="OK"/>
    <n v="0.16300000000000001"/>
    <n v="0"/>
    <n v="0.16551529573885526"/>
    <n v="9456.5"/>
    <n v="1875.6429999999982"/>
    <n v="11332.142999999998"/>
    <s v="Q1-2025"/>
    <x v="10"/>
    <s v="Low"/>
    <n v="25"/>
    <d v="2023-01-01T00:00:00"/>
    <d v="2025-01-01T00:00:00"/>
    <n v="0"/>
    <x v="24"/>
  </r>
  <r>
    <s v="ORD-2025-822030"/>
    <d v="2025-08-07T00:00:00"/>
    <d v="2025-09-06T00:00:00"/>
    <s v="OK"/>
    <d v="2025-09-06T00:00:00"/>
    <n v="30"/>
    <x v="2"/>
    <x v="3"/>
    <s v="Montreal"/>
    <s v="Education"/>
    <x v="4"/>
    <x v="12"/>
    <x v="2"/>
    <x v="380"/>
    <n v="833.73"/>
    <s v="OK"/>
    <n v="1116.5999999999999"/>
    <n v="1116.5999999999999"/>
    <n v="0.17599999999999999"/>
    <s v="OK"/>
    <n v="0.17599999999999999"/>
    <n v="0"/>
    <n v="9.3848958958279924E-2"/>
    <n v="11672.220000000001"/>
    <n v="1208.877599999998"/>
    <n v="12881.097599999999"/>
    <s v="Q3-2025"/>
    <x v="28"/>
    <s v="Medium"/>
    <n v="14"/>
    <d v="2023-01-01T00:00:00"/>
    <d v="2025-08-01T00:00:00"/>
    <n v="0"/>
    <x v="29"/>
  </r>
  <r>
    <s v="ORD-2025-789245"/>
    <d v="2025-07-23T00:00:00"/>
    <d v="2025-08-17T00:00:00"/>
    <s v="OK"/>
    <d v="2025-08-17T00:00:00"/>
    <n v="25"/>
    <x v="3"/>
    <x v="8"/>
    <s v="Birmingham"/>
    <s v="Education"/>
    <x v="1"/>
    <x v="2"/>
    <x v="1"/>
    <x v="381"/>
    <n v="1142.06"/>
    <s v="OK"/>
    <n v="1455"/>
    <n v="1455"/>
    <n v="7.8E-2"/>
    <s v="OK"/>
    <n v="7.8E-2"/>
    <n v="0"/>
    <n v="0.1486757459877302"/>
    <n v="31977.68"/>
    <n v="5584.5999999999985"/>
    <n v="37562.28"/>
    <s v="Q3-2025"/>
    <x v="13"/>
    <s v="Medium"/>
    <n v="28"/>
    <d v="2023-01-01T00:00:00"/>
    <d v="2025-07-01T00:00:00"/>
    <n v="0"/>
    <x v="13"/>
  </r>
  <r>
    <s v="ORD-2023-594955"/>
    <d v="2023-06-20T00:00:00"/>
    <d v="2023-07-08T00:00:00"/>
    <s v="OK"/>
    <d v="2023-07-08T00:00:00"/>
    <n v="18"/>
    <x v="2"/>
    <x v="10"/>
    <s v="New York"/>
    <s v="Consumer"/>
    <x v="2"/>
    <x v="7"/>
    <x v="2"/>
    <x v="382"/>
    <n v="1145.53"/>
    <s v="OK"/>
    <n v="1278.3"/>
    <n v="1278.3"/>
    <n v="0.09"/>
    <s v="OK"/>
    <n v="0.09"/>
    <n v="0"/>
    <n v="1.5235722581416158E-2"/>
    <n v="46966.729999999996"/>
    <n v="726.64300000000367"/>
    <n v="47693.373"/>
    <s v="Q2-2023"/>
    <x v="23"/>
    <s v="Medium"/>
    <n v="41"/>
    <d v="2023-01-01T00:00:00"/>
    <d v="2023-06-01T00:00:00"/>
    <n v="0"/>
    <x v="22"/>
  </r>
  <r>
    <s v="ORD-2024-398783"/>
    <d v="2024-07-18T00:00:00"/>
    <d v="2024-08-07T00:00:00"/>
    <s v="OK"/>
    <d v="2024-08-07T00:00:00"/>
    <n v="20"/>
    <x v="3"/>
    <x v="7"/>
    <s v="Marseille"/>
    <s v="Corporate"/>
    <x v="0"/>
    <x v="9"/>
    <x v="5"/>
    <x v="383"/>
    <n v="941.35"/>
    <s v="OK"/>
    <n v="899.83"/>
    <n v="899.83"/>
    <n v="5.8000000000000003E-2"/>
    <s v="OK"/>
    <n v="5.8000000000000003E-2"/>
    <n v="0"/>
    <n v="-0.11055419220139073"/>
    <n v="16944.3"/>
    <n v="-1686.7825199999988"/>
    <n v="15257.51748"/>
    <s v="Q3-2024"/>
    <x v="14"/>
    <s v="Medium"/>
    <n v="18"/>
    <d v="2023-01-01T00:00:00"/>
    <d v="2024-07-01T00:00:00"/>
    <n v="0"/>
    <x v="14"/>
  </r>
  <r>
    <s v="ORD-2023-676553"/>
    <d v="2023-05-20T00:00:00"/>
    <d v="2023-06-19T00:00:00"/>
    <s v="OK"/>
    <d v="2023-06-19T00:00:00"/>
    <n v="30"/>
    <x v="1"/>
    <x v="4"/>
    <s v="Delhi"/>
    <s v="Non-Profit"/>
    <x v="2"/>
    <x v="10"/>
    <x v="4"/>
    <x v="384"/>
    <n v="1161.2"/>
    <s v="OK"/>
    <n v="878.73"/>
    <n v="878.73"/>
    <n v="0.19"/>
    <s v="OK"/>
    <n v="0.19"/>
    <n v="0"/>
    <n v="-0.63142290227212028"/>
    <n v="35997.200000000004"/>
    <n v="-13932.289700000001"/>
    <n v="22064.910300000003"/>
    <s v="Q2-2023"/>
    <x v="15"/>
    <s v="Medium"/>
    <n v="31"/>
    <d v="2023-01-01T00:00:00"/>
    <d v="2023-05-01T00:00:00"/>
    <n v="0"/>
    <x v="15"/>
  </r>
  <r>
    <s v="ORD-2025-866565"/>
    <d v="2025-05-12T00:00:00"/>
    <d v="2025-05-26T00:00:00"/>
    <s v="OK"/>
    <d v="2025-05-26T00:00:00"/>
    <n v="14"/>
    <x v="1"/>
    <x v="4"/>
    <s v="Hyderabad"/>
    <s v="Corporate"/>
    <x v="2"/>
    <x v="3"/>
    <x v="1"/>
    <x v="385"/>
    <n v="320.12"/>
    <s v="OK"/>
    <n v="594.41999999999996"/>
    <n v="594.41999999999996"/>
    <n v="0.104"/>
    <s v="OK"/>
    <n v="0.104"/>
    <n v="0"/>
    <n v="0.39894891538931104"/>
    <n v="5762.16"/>
    <n v="3824.6457599999994"/>
    <n v="9586.8057599999993"/>
    <s v="Q2-2025"/>
    <x v="8"/>
    <s v="Low"/>
    <n v="18"/>
    <d v="2023-01-01T00:00:00"/>
    <d v="2025-05-01T00:00:00"/>
    <n v="0"/>
    <x v="8"/>
  </r>
  <r>
    <s v="ORD-2024-527858"/>
    <d v="2024-05-07T00:00:00"/>
    <d v="2024-05-12T00:00:00"/>
    <s v="OK"/>
    <d v="2024-05-12T00:00:00"/>
    <n v="5"/>
    <x v="0"/>
    <x v="1"/>
    <s v="Abuja"/>
    <s v="Non-Profit"/>
    <x v="3"/>
    <x v="4"/>
    <x v="4"/>
    <x v="386"/>
    <n v="1163.99"/>
    <s v="OK"/>
    <n v="1617.85"/>
    <n v="1617.85"/>
    <n v="0.127"/>
    <s v="OK"/>
    <n v="0.127"/>
    <n v="0"/>
    <n v="0.17586804797749436"/>
    <n v="16295.86"/>
    <n v="3477.5026999999973"/>
    <n v="19773.362699999998"/>
    <s v="Q2-2024"/>
    <x v="7"/>
    <s v="Medium"/>
    <n v="14"/>
    <d v="2023-01-01T00:00:00"/>
    <d v="2024-05-01T00:00:00"/>
    <n v="1"/>
    <x v="7"/>
  </r>
  <r>
    <s v="ORD-2023-619385"/>
    <d v="2023-09-30T00:00:00"/>
    <d v="2023-10-03T00:00:00"/>
    <s v="OK"/>
    <d v="2023-10-03T00:00:00"/>
    <n v="3"/>
    <x v="1"/>
    <x v="9"/>
    <s v="Beijing"/>
    <s v="Non-Profit"/>
    <x v="0"/>
    <x v="1"/>
    <x v="4"/>
    <x v="387"/>
    <n v="1019.36"/>
    <s v="OK"/>
    <n v="972.91"/>
    <n v="972.91"/>
    <n v="0.14699999999999999"/>
    <s v="OK"/>
    <n v="0.14699999999999999"/>
    <n v="0"/>
    <n v="-0.22830406545678819"/>
    <n v="17329.12"/>
    <n v="-3220.9520899999989"/>
    <n v="14108.16791"/>
    <s v="Q3-2023"/>
    <x v="27"/>
    <s v="Medium"/>
    <n v="17"/>
    <d v="2023-01-01T00:00:00"/>
    <d v="2023-09-01T00:00:00"/>
    <n v="1"/>
    <x v="28"/>
  </r>
  <r>
    <s v="ORD-2023-835226"/>
    <d v="2023-10-26T00:00:00"/>
    <d v="2023-11-05T00:00:00"/>
    <s v="OK"/>
    <d v="2023-11-05T00:00:00"/>
    <n v="10"/>
    <x v="0"/>
    <x v="11"/>
    <s v="Cape Town"/>
    <s v="Non-Profit"/>
    <x v="1"/>
    <x v="2"/>
    <x v="4"/>
    <x v="388"/>
    <n v="20.38"/>
    <s v="OK"/>
    <n v="42.56"/>
    <n v="42.56"/>
    <n v="7.1999999999999995E-2"/>
    <s v="OK"/>
    <n v="7.1999999999999995E-2"/>
    <n v="0"/>
    <n v="0.48399419885921713"/>
    <n v="224.17999999999998"/>
    <n v="210.27248000000006"/>
    <n v="434.45248000000004"/>
    <s v="Q4-2023"/>
    <x v="32"/>
    <s v="Low"/>
    <n v="11"/>
    <d v="2023-01-01T00:00:00"/>
    <d v="2023-10-01T00:00:00"/>
    <n v="0"/>
    <x v="4"/>
  </r>
  <r>
    <s v="ORD-2025-485946"/>
    <d v="2025-06-15T00:00:00"/>
    <d v="2025-06-30T00:00:00"/>
    <s v="OK"/>
    <d v="2025-06-30T00:00:00"/>
    <n v="15"/>
    <x v="0"/>
    <x v="11"/>
    <s v="Johannesburg"/>
    <s v="Small Business"/>
    <x v="4"/>
    <x v="0"/>
    <x v="5"/>
    <x v="389"/>
    <n v="1487.59"/>
    <s v="OK"/>
    <n v="1480.83"/>
    <n v="1480.83"/>
    <n v="8.9999999999999993E-3"/>
    <s v="OK"/>
    <n v="8.9999999999999993E-3"/>
    <n v="0"/>
    <n v="-1.3688201273492908E-2"/>
    <n v="16363.49"/>
    <n v="-220.9621700000007"/>
    <n v="16142.527829999999"/>
    <s v="Q2-2025"/>
    <x v="16"/>
    <s v="Medium"/>
    <n v="11"/>
    <d v="2023-01-01T00:00:00"/>
    <d v="2025-06-01T00:00:00"/>
    <n v="0"/>
    <x v="16"/>
  </r>
  <r>
    <s v="ORD-2024-307849"/>
    <d v="2024-08-10T00:00:00"/>
    <d v="2024-09-07T00:00:00"/>
    <s v="OK"/>
    <d v="2024-09-07T00:00:00"/>
    <n v="28"/>
    <x v="3"/>
    <x v="7"/>
    <s v="Marseille"/>
    <s v="Non-Profit"/>
    <x v="4"/>
    <x v="9"/>
    <x v="1"/>
    <x v="390"/>
    <n v="229.96"/>
    <s v="OK"/>
    <n v="564.26"/>
    <n v="564.26"/>
    <n v="0.105"/>
    <s v="OK"/>
    <n v="0.105"/>
    <n v="0"/>
    <n v="0.54464511486542821"/>
    <n v="1149.8"/>
    <n v="1375.2635000000002"/>
    <n v="2525.0635000000002"/>
    <s v="Q3-2024"/>
    <x v="21"/>
    <s v="Low"/>
    <n v="5"/>
    <d v="2023-01-01T00:00:00"/>
    <d v="2024-08-01T00:00:00"/>
    <n v="0"/>
    <x v="20"/>
  </r>
  <r>
    <s v="ORD-2023-368449"/>
    <d v="2023-10-09T00:00:00"/>
    <d v="2023-10-26T00:00:00"/>
    <s v="OK"/>
    <d v="2023-10-26T00:00:00"/>
    <n v="17"/>
    <x v="1"/>
    <x v="9"/>
    <s v="Shanghai"/>
    <s v="Consumer"/>
    <x v="2"/>
    <x v="0"/>
    <x v="0"/>
    <x v="391"/>
    <n v="1132.03"/>
    <s v="OK"/>
    <n v="2137.21"/>
    <n v="2137.21"/>
    <n v="0.3"/>
    <s v="Check"/>
    <n v="0.35699999999999998"/>
    <n v="1"/>
    <n v="0.24331922727026639"/>
    <n v="39621.049999999996"/>
    <n v="12740.595000000008"/>
    <n v="52361.645000000004"/>
    <s v="Q4-2023"/>
    <x v="32"/>
    <s v="High"/>
    <n v="35"/>
    <d v="2023-01-01T00:00:00"/>
    <d v="2023-10-01T00:00:00"/>
    <n v="0"/>
    <x v="4"/>
  </r>
  <r>
    <s v="ORD-2024-251426"/>
    <d v="2024-03-09T00:00:00"/>
    <d v="2024-03-26T00:00:00"/>
    <s v="OK"/>
    <d v="2024-03-26T00:00:00"/>
    <n v="17"/>
    <x v="2"/>
    <x v="10"/>
    <s v="San Francisco"/>
    <s v="Education"/>
    <x v="4"/>
    <x v="2"/>
    <x v="3"/>
    <x v="392"/>
    <n v="1137.4100000000001"/>
    <s v="OK"/>
    <n v="1680.93"/>
    <n v="1680.93"/>
    <n v="0.254"/>
    <s v="OK"/>
    <n v="0.254"/>
    <n v="1"/>
    <n v="9.2955516183121464E-2"/>
    <n v="10236.69"/>
    <n v="1049.07402"/>
    <n v="11285.764020000001"/>
    <s v="Q1-2024"/>
    <x v="0"/>
    <s v="Medium"/>
    <n v="9"/>
    <d v="2023-01-01T00:00:00"/>
    <d v="2024-03-01T00:00:00"/>
    <n v="0"/>
    <x v="0"/>
  </r>
  <r>
    <s v="ORD-2023-927385"/>
    <d v="2023-05-29T00:00:00"/>
    <d v="2023-06-20T00:00:00"/>
    <s v="OK"/>
    <d v="2023-06-20T00:00:00"/>
    <n v="22"/>
    <x v="3"/>
    <x v="8"/>
    <s v="London"/>
    <s v="Small Business"/>
    <x v="4"/>
    <x v="11"/>
    <x v="0"/>
    <x v="393"/>
    <n v="1295.3900000000001"/>
    <s v="OK"/>
    <n v="2905.06"/>
    <n v="2905.06"/>
    <n v="0.14799999999999999"/>
    <s v="OK"/>
    <n v="0.14799999999999999"/>
    <n v="0"/>
    <n v="0.47663359857556614"/>
    <n v="10363.120000000001"/>
    <n v="9437.7689599999994"/>
    <n v="19800.88896"/>
    <s v="Q2-2023"/>
    <x v="15"/>
    <s v="High"/>
    <n v="8"/>
    <d v="2023-01-01T00:00:00"/>
    <d v="2023-05-01T00:00:00"/>
    <n v="0"/>
    <x v="15"/>
  </r>
  <r>
    <s v="ORD-2025-486350"/>
    <d v="2025-05-27T00:00:00"/>
    <d v="2025-06-08T00:00:00"/>
    <s v="OK"/>
    <d v="2025-06-08T00:00:00"/>
    <n v="12"/>
    <x v="1"/>
    <x v="2"/>
    <s v="Osaka"/>
    <s v="Corporate"/>
    <x v="0"/>
    <x v="10"/>
    <x v="6"/>
    <x v="394"/>
    <n v="653.6"/>
    <s v="OK"/>
    <n v="842.09"/>
    <n v="842.09"/>
    <n v="9.8000000000000004E-2"/>
    <s v="OK"/>
    <n v="9.8000000000000004E-2"/>
    <n v="0"/>
    <n v="0.13950768517324622"/>
    <n v="12418.4"/>
    <n v="2013.3384200000019"/>
    <n v="14431.738420000001"/>
    <s v="Q2-2025"/>
    <x v="8"/>
    <s v="Medium"/>
    <n v="19"/>
    <d v="2023-03-01T00:00:00"/>
    <d v="2025-05-01T00:00:00"/>
    <n v="0"/>
    <x v="3"/>
  </r>
  <r>
    <s v="ORD-2025-677880"/>
    <d v="2025-08-21T00:00:00"/>
    <d v="2025-09-14T00:00:00"/>
    <s v="OK"/>
    <d v="2025-09-14T00:00:00"/>
    <n v="24"/>
    <x v="3"/>
    <x v="6"/>
    <s v="Berlin"/>
    <s v="Non-Profit"/>
    <x v="1"/>
    <x v="8"/>
    <x v="5"/>
    <x v="395"/>
    <n v="1397.67"/>
    <s v="OK"/>
    <n v="3131.37"/>
    <n v="3131.37"/>
    <n v="0.10299999999999999"/>
    <s v="OK"/>
    <n v="0.10299999999999999"/>
    <n v="0"/>
    <n v="0.50240293062874808"/>
    <n v="27953.4"/>
    <n v="28223.377799999995"/>
    <n v="56176.777799999996"/>
    <s v="Q3-2025"/>
    <x v="28"/>
    <s v="High"/>
    <n v="20"/>
    <d v="2023-01-01T00:00:00"/>
    <d v="2025-08-01T00:00:00"/>
    <n v="0"/>
    <x v="29"/>
  </r>
  <r>
    <s v="ORD-2024-102866"/>
    <d v="2024-12-12T00:00:00"/>
    <d v="2024-12-20T00:00:00"/>
    <s v="OK"/>
    <d v="2024-12-20T00:00:00"/>
    <n v="8"/>
    <x v="1"/>
    <x v="2"/>
    <s v="Tokyo"/>
    <s v="Corporate"/>
    <x v="0"/>
    <x v="5"/>
    <x v="4"/>
    <x v="396"/>
    <n v="1202.47"/>
    <s v="OK"/>
    <n v="1444.72"/>
    <n v="1444.72"/>
    <n v="0.24099999999999999"/>
    <s v="OK"/>
    <n v="0.24099999999999999"/>
    <n v="1"/>
    <n v="-9.6601382921343834E-2"/>
    <n v="20441.990000000002"/>
    <n v="-1800.7678400000004"/>
    <n v="18641.222160000001"/>
    <s v="Q4-2024"/>
    <x v="6"/>
    <s v="Medium"/>
    <n v="17"/>
    <d v="2023-03-01T00:00:00"/>
    <d v="2024-12-01T00:00:00"/>
    <n v="0"/>
    <x v="1"/>
  </r>
  <r>
    <s v="ORD-2025-588029"/>
    <d v="2025-09-14T00:00:00"/>
    <d v="2025-09-23T00:00:00"/>
    <s v="OK"/>
    <d v="2025-09-23T00:00:00"/>
    <n v="9"/>
    <x v="0"/>
    <x v="11"/>
    <s v="Durban"/>
    <s v="Non-Profit"/>
    <x v="1"/>
    <x v="14"/>
    <x v="0"/>
    <x v="397"/>
    <n v="1310.3"/>
    <s v="OK"/>
    <n v="2875.8"/>
    <n v="2875.8"/>
    <n v="8.3000000000000004E-2"/>
    <s v="OK"/>
    <n v="8.3000000000000004E-2"/>
    <n v="0"/>
    <n v="0.50313005691157353"/>
    <n v="6551.5"/>
    <n v="6634.0429999999997"/>
    <n v="13185.543"/>
    <s v="Q3-2025"/>
    <x v="11"/>
    <s v="High"/>
    <n v="5"/>
    <d v="2023-01-01T00:00:00"/>
    <d v="2025-09-01T00:00:00"/>
    <n v="0"/>
    <x v="11"/>
  </r>
  <r>
    <s v="ORD-2024-972999"/>
    <d v="2024-09-06T00:00:00"/>
    <d v="2024-10-04T00:00:00"/>
    <s v="OK"/>
    <d v="2024-10-04T00:00:00"/>
    <n v="28"/>
    <x v="0"/>
    <x v="11"/>
    <s v="Cape Town"/>
    <s v="Corporate"/>
    <x v="2"/>
    <x v="14"/>
    <x v="5"/>
    <x v="398"/>
    <n v="1174.17"/>
    <s v="OK"/>
    <n v="1641.61"/>
    <n v="1641.61"/>
    <n v="0.122"/>
    <s v="OK"/>
    <n v="0.122"/>
    <n v="0"/>
    <n v="0.18535860380079394"/>
    <n v="10567.53"/>
    <n v="2404.4722199999997"/>
    <n v="12972.00222"/>
    <s v="Q3-2024"/>
    <x v="29"/>
    <s v="Medium"/>
    <n v="9"/>
    <d v="2023-01-01T00:00:00"/>
    <d v="2024-09-01T00:00:00"/>
    <n v="0"/>
    <x v="30"/>
  </r>
  <r>
    <s v="ORD-2025-608069"/>
    <d v="2025-04-12T00:00:00"/>
    <d v="2025-04-30T00:00:00"/>
    <s v="OK"/>
    <d v="2025-04-30T00:00:00"/>
    <n v="18"/>
    <x v="0"/>
    <x v="0"/>
    <s v="Kisumu"/>
    <s v="Corporate"/>
    <x v="2"/>
    <x v="9"/>
    <x v="2"/>
    <x v="399"/>
    <n v="1119.04"/>
    <s v="OK"/>
    <n v="1299.02"/>
    <n v="1299.02"/>
    <n v="2.5000000000000001E-2"/>
    <s v="OK"/>
    <n v="2.5000000000000001E-2"/>
    <n v="0"/>
    <n v="0.11646215352085933"/>
    <n v="15666.56"/>
    <n v="2065.0630000000001"/>
    <n v="17731.623"/>
    <s v="Q2-2025"/>
    <x v="19"/>
    <s v="Medium"/>
    <n v="14"/>
    <d v="2023-01-01T00:00:00"/>
    <d v="2025-04-01T00:00:00"/>
    <n v="0"/>
    <x v="18"/>
  </r>
  <r>
    <s v="ORD-2024-626750"/>
    <d v="2024-08-12T00:00:00"/>
    <d v="2024-08-15T00:00:00"/>
    <s v="OK"/>
    <d v="2024-08-15T00:00:00"/>
    <n v="3"/>
    <x v="2"/>
    <x v="10"/>
    <s v="Chicago"/>
    <s v="Corporate"/>
    <x v="2"/>
    <x v="14"/>
    <x v="1"/>
    <x v="400"/>
    <n v="850.7"/>
    <s v="OK"/>
    <n v="1118.56"/>
    <n v="1118.56"/>
    <n v="0.18"/>
    <s v="OK"/>
    <n v="0.18"/>
    <n v="0"/>
    <n v="7.2522685962090688E-2"/>
    <n v="16163.300000000001"/>
    <n v="1263.8648000000012"/>
    <n v="17427.164800000002"/>
    <s v="Q3-2024"/>
    <x v="21"/>
    <s v="Medium"/>
    <n v="19"/>
    <d v="2023-01-01T00:00:00"/>
    <d v="2024-08-01T00:00:00"/>
    <n v="1"/>
    <x v="20"/>
  </r>
  <r>
    <s v="ORD-2024-170021"/>
    <d v="2024-11-05T00:00:00"/>
    <d v="2024-11-08T00:00:00"/>
    <s v="OK"/>
    <d v="2024-11-08T00:00:00"/>
    <n v="3"/>
    <x v="2"/>
    <x v="3"/>
    <s v="Toronto"/>
    <s v="Education"/>
    <x v="2"/>
    <x v="7"/>
    <x v="0"/>
    <x v="401"/>
    <n v="1020.4"/>
    <s v="OK"/>
    <n v="1184.71"/>
    <n v="1184.71"/>
    <n v="0.106"/>
    <s v="OK"/>
    <n v="0.106"/>
    <n v="0"/>
    <n v="3.6568422138328345E-2"/>
    <n v="16326.4"/>
    <n v="619.69184000000132"/>
    <n v="16946.091840000001"/>
    <s v="Q4-2024"/>
    <x v="18"/>
    <s v="Medium"/>
    <n v="16"/>
    <d v="2023-01-01T00:00:00"/>
    <d v="2024-11-01T00:00:00"/>
    <n v="1"/>
    <x v="10"/>
  </r>
  <r>
    <s v="ORD-2024-678110"/>
    <d v="2024-07-24T00:00:00"/>
    <d v="2024-08-08T00:00:00"/>
    <s v="OK"/>
    <d v="2024-08-08T00:00:00"/>
    <n v="15"/>
    <x v="3"/>
    <x v="7"/>
    <s v="Marseille"/>
    <s v="Enterprise"/>
    <x v="2"/>
    <x v="10"/>
    <x v="4"/>
    <x v="402"/>
    <n v="501.5"/>
    <s v="OK"/>
    <n v="1201.47"/>
    <n v="1201.47"/>
    <n v="0.126"/>
    <s v="OK"/>
    <n v="0.126"/>
    <n v="0"/>
    <n v="0.52241951359394057"/>
    <n v="2507.5"/>
    <n v="2742.9239000000007"/>
    <n v="5250.4239000000007"/>
    <s v="Q3-2024"/>
    <x v="14"/>
    <s v="Medium"/>
    <n v="5"/>
    <d v="2023-01-01T00:00:00"/>
    <d v="2024-07-01T00:00:00"/>
    <n v="0"/>
    <x v="14"/>
  </r>
  <r>
    <s v="ORD-2025-909340"/>
    <d v="2025-01-20T00:00:00"/>
    <d v="2025-02-03T00:00:00"/>
    <s v="OK"/>
    <d v="2025-02-03T00:00:00"/>
    <n v="14"/>
    <x v="2"/>
    <x v="5"/>
    <s v="Brasília"/>
    <s v="Enterprise"/>
    <x v="2"/>
    <x v="9"/>
    <x v="0"/>
    <x v="403"/>
    <n v="974.11"/>
    <s v="OK"/>
    <n v="880.99"/>
    <n v="880.99"/>
    <n v="0.111"/>
    <s v="OK"/>
    <n v="0.111"/>
    <n v="0"/>
    <n v="-0.2437562093805121"/>
    <n v="9741.1"/>
    <n v="-1909.0989000000009"/>
    <n v="7832.0010999999995"/>
    <s v="Q1-2025"/>
    <x v="10"/>
    <s v="Medium"/>
    <n v="10"/>
    <d v="2023-01-01T00:00:00"/>
    <d v="2025-01-01T00:00:00"/>
    <n v="0"/>
    <x v="24"/>
  </r>
  <r>
    <s v="ORD-2023-854471"/>
    <d v="2023-03-06T00:00:00"/>
    <d v="2023-04-04T00:00:00"/>
    <s v="OK"/>
    <d v="2023-04-04T00:00:00"/>
    <n v="29"/>
    <x v="1"/>
    <x v="9"/>
    <s v="Beijing"/>
    <s v="Small Business"/>
    <x v="4"/>
    <x v="0"/>
    <x v="5"/>
    <x v="404"/>
    <n v="1126.29"/>
    <s v="OK"/>
    <n v="2050.87"/>
    <n v="2050.87"/>
    <n v="6.4000000000000001E-2"/>
    <s v="OK"/>
    <n v="6.4000000000000001E-2"/>
    <n v="0"/>
    <n v="0.41327276616690373"/>
    <n v="7884.03"/>
    <n v="5553.2702399999989"/>
    <n v="13437.300239999999"/>
    <s v="Q1-2023"/>
    <x v="22"/>
    <s v="High"/>
    <n v="7"/>
    <d v="2023-01-01T00:00:00"/>
    <d v="2023-03-01T00:00:00"/>
    <n v="0"/>
    <x v="21"/>
  </r>
  <r>
    <s v="ORD-2024-390951"/>
    <d v="2024-12-20T00:00:00"/>
    <d v="2025-01-14T00:00:00"/>
    <s v="OK"/>
    <d v="2025-01-14T00:00:00"/>
    <n v="25"/>
    <x v="1"/>
    <x v="4"/>
    <s v="Delhi"/>
    <s v="Small Business"/>
    <x v="0"/>
    <x v="12"/>
    <x v="1"/>
    <x v="405"/>
    <n v="1361.34"/>
    <s v="OK"/>
    <n v="1737.9"/>
    <n v="1737.9"/>
    <n v="7.6999999999999999E-2"/>
    <s v="OK"/>
    <n v="7.6999999999999999E-2"/>
    <n v="0"/>
    <n v="0.15132751654731813"/>
    <n v="19058.759999999998"/>
    <n v="3398.3838000000032"/>
    <n v="22457.143800000002"/>
    <s v="Q4-2024"/>
    <x v="6"/>
    <s v="Medium"/>
    <n v="14"/>
    <d v="2023-01-01T00:00:00"/>
    <d v="2024-12-01T00:00:00"/>
    <n v="0"/>
    <x v="6"/>
  </r>
  <r>
    <s v="ORD-2025-881624"/>
    <d v="2025-02-21T00:00:00"/>
    <d v="2025-03-21T00:00:00"/>
    <s v="OK"/>
    <d v="2025-03-21T00:00:00"/>
    <n v="28"/>
    <x v="0"/>
    <x v="1"/>
    <s v="Abuja"/>
    <s v="Enterprise"/>
    <x v="2"/>
    <x v="2"/>
    <x v="3"/>
    <x v="406"/>
    <n v="1437.39"/>
    <s v="OK"/>
    <n v="1388.31"/>
    <n v="1388.31"/>
    <n v="0.13800000000000001"/>
    <s v="OK"/>
    <n v="0.13800000000000001"/>
    <n v="0"/>
    <n v="-0.20110479681341872"/>
    <n v="25873.02"/>
    <n v="-4332.002040000003"/>
    <n v="21541.017959999997"/>
    <s v="Q1-2025"/>
    <x v="26"/>
    <s v="Medium"/>
    <n v="18"/>
    <d v="2023-01-01T00:00:00"/>
    <d v="2025-02-01T00:00:00"/>
    <n v="0"/>
    <x v="26"/>
  </r>
  <r>
    <s v="ORD-2025-512310"/>
    <d v="2025-03-08T00:00:00"/>
    <d v="2025-03-15T00:00:00"/>
    <s v="OK"/>
    <d v="2025-03-15T00:00:00"/>
    <n v="7"/>
    <x v="1"/>
    <x v="4"/>
    <s v="Bengaluru"/>
    <s v="Corporate"/>
    <x v="3"/>
    <x v="11"/>
    <x v="4"/>
    <x v="407"/>
    <n v="475.66"/>
    <s v="OK"/>
    <n v="529.14"/>
    <n v="529.14"/>
    <n v="0.19600000000000001"/>
    <s v="OK"/>
    <n v="0.19600000000000001"/>
    <n v="0"/>
    <n v="-0.11807256193613323"/>
    <n v="5232.26"/>
    <n v="-552.54583999999977"/>
    <n v="4679.7141600000004"/>
    <s v="Q1-2025"/>
    <x v="3"/>
    <s v="Low"/>
    <n v="11"/>
    <d v="2023-01-01T00:00:00"/>
    <d v="2025-03-01T00:00:00"/>
    <n v="1"/>
    <x v="3"/>
  </r>
  <r>
    <s v="ORD-2023-674887"/>
    <d v="2023-12-16T00:00:00"/>
    <d v="2023-12-19T00:00:00"/>
    <s v="OK"/>
    <d v="2023-12-19T00:00:00"/>
    <n v="3"/>
    <x v="1"/>
    <x v="9"/>
    <s v="Beijing"/>
    <s v="Education"/>
    <x v="0"/>
    <x v="8"/>
    <x v="6"/>
    <x v="408"/>
    <n v="1415.05"/>
    <s v="OK"/>
    <n v="1972.38"/>
    <n v="1972.38"/>
    <n v="0"/>
    <s v="OK"/>
    <n v="0"/>
    <n v="0"/>
    <n v="0.28256725377462771"/>
    <n v="16980.599999999999"/>
    <n v="6687.9600000000028"/>
    <n v="23668.560000000001"/>
    <s v="Q4-2023"/>
    <x v="4"/>
    <s v="High"/>
    <n v="12"/>
    <d v="2023-01-01T00:00:00"/>
    <d v="2023-12-01T00:00:00"/>
    <n v="1"/>
    <x v="27"/>
  </r>
  <r>
    <s v="ORD-2024-542244"/>
    <d v="2024-08-30T00:00:00"/>
    <d v="2024-09-05T00:00:00"/>
    <s v="OK"/>
    <d v="2024-09-05T00:00:00"/>
    <n v="6"/>
    <x v="1"/>
    <x v="2"/>
    <s v="Nagoya"/>
    <s v="Education"/>
    <x v="1"/>
    <x v="13"/>
    <x v="4"/>
    <x v="409"/>
    <n v="466.16"/>
    <s v="OK"/>
    <n v="876.81"/>
    <n v="876.81"/>
    <n v="0.24099999999999999"/>
    <s v="OK"/>
    <n v="0.24099999999999999"/>
    <n v="1"/>
    <n v="0.29953291124691594"/>
    <n v="3729.28"/>
    <n v="1594.7103199999997"/>
    <n v="5323.9903199999999"/>
    <s v="Q3-2024"/>
    <x v="21"/>
    <s v="Medium"/>
    <n v="8"/>
    <d v="2023-03-01T00:00:00"/>
    <d v="2024-08-01T00:00:00"/>
    <n v="1"/>
    <x v="17"/>
  </r>
  <r>
    <s v="ORD-2024-375848"/>
    <d v="2024-05-18T00:00:00"/>
    <d v="2024-05-21T00:00:00"/>
    <s v="OK"/>
    <d v="2024-05-21T00:00:00"/>
    <n v="3"/>
    <x v="3"/>
    <x v="7"/>
    <s v="Marseille"/>
    <s v="Non-Profit"/>
    <x v="2"/>
    <x v="14"/>
    <x v="1"/>
    <x v="410"/>
    <n v="663.66"/>
    <s v="OK"/>
    <n v="824.26"/>
    <n v="824.26"/>
    <n v="0.23899999999999999"/>
    <s v="OK"/>
    <n v="0.23899999999999999"/>
    <n v="1"/>
    <n v="-5.8027025587048933E-2"/>
    <n v="7300.2599999999993"/>
    <n v="-400.379539999999"/>
    <n v="6899.8804600000003"/>
    <s v="Q2-2024"/>
    <x v="7"/>
    <s v="Medium"/>
    <n v="11"/>
    <d v="2023-01-01T00:00:00"/>
    <d v="2024-05-01T00:00:00"/>
    <n v="1"/>
    <x v="7"/>
  </r>
  <r>
    <s v="ORD-2023-933238"/>
    <d v="2023-03-17T00:00:00"/>
    <d v="2023-04-06T00:00:00"/>
    <s v="OK"/>
    <d v="2023-04-06T00:00:00"/>
    <n v="20"/>
    <x v="3"/>
    <x v="6"/>
    <s v="Munich"/>
    <s v="Consumer"/>
    <x v="0"/>
    <x v="7"/>
    <x v="3"/>
    <x v="411"/>
    <n v="692.18"/>
    <s v="OK"/>
    <n v="1159.3499999999999"/>
    <n v="1159.3499999999999"/>
    <n v="0.112"/>
    <s v="OK"/>
    <n v="0.112"/>
    <n v="0"/>
    <n v="0.32765602968734037"/>
    <n v="1384.36"/>
    <n v="674.64560000000006"/>
    <n v="2059.0056"/>
    <s v="Q1-2023"/>
    <x v="22"/>
    <s v="Medium"/>
    <n v="2"/>
    <d v="2023-01-01T00:00:00"/>
    <d v="2023-03-01T00:00:00"/>
    <n v="0"/>
    <x v="21"/>
  </r>
  <r>
    <s v="ORD-2023-732585"/>
    <d v="2023-08-25T00:00:00"/>
    <d v="2023-09-16T00:00:00"/>
    <s v="OK"/>
    <d v="2023-09-16T00:00:00"/>
    <n v="22"/>
    <x v="0"/>
    <x v="1"/>
    <s v="Abuja"/>
    <s v="Corporate"/>
    <x v="2"/>
    <x v="4"/>
    <x v="3"/>
    <x v="412"/>
    <n v="1196.83"/>
    <s v="OK"/>
    <n v="2513.5100000000002"/>
    <n v="2513.5100000000002"/>
    <n v="8.3000000000000004E-2"/>
    <s v="OK"/>
    <n v="8.3000000000000004E-2"/>
    <n v="0"/>
    <n v="0.48074281609445374"/>
    <n v="8377.81"/>
    <n v="7756.4106900000006"/>
    <n v="16134.22069"/>
    <s v="Q3-2023"/>
    <x v="25"/>
    <s v="High"/>
    <n v="7"/>
    <d v="2023-01-01T00:00:00"/>
    <d v="2023-08-01T00:00:00"/>
    <n v="0"/>
    <x v="25"/>
  </r>
  <r>
    <s v="ORD-2024-465898"/>
    <d v="2024-06-06T00:00:00"/>
    <d v="2024-06-24T00:00:00"/>
    <s v="OK"/>
    <d v="2024-06-24T00:00:00"/>
    <n v="18"/>
    <x v="1"/>
    <x v="4"/>
    <s v="Bengaluru"/>
    <s v="Small Business"/>
    <x v="4"/>
    <x v="10"/>
    <x v="2"/>
    <x v="413"/>
    <n v="1253.25"/>
    <s v="OK"/>
    <n v="3087.13"/>
    <n v="3087.13"/>
    <n v="7.1999999999999995E-2"/>
    <s v="OK"/>
    <n v="7.1999999999999995E-2"/>
    <n v="0"/>
    <n v="0.562543555408064"/>
    <n v="13785.75"/>
    <n v="17727.673040000001"/>
    <n v="31513.423040000001"/>
    <s v="Q2-2024"/>
    <x v="17"/>
    <s v="High"/>
    <n v="11"/>
    <d v="2023-01-01T00:00:00"/>
    <d v="2024-06-01T00:00:00"/>
    <n v="0"/>
    <x v="17"/>
  </r>
  <r>
    <s v="ORD-2023-987081"/>
    <d v="2023-08-29T00:00:00"/>
    <d v="2023-09-13T00:00:00"/>
    <s v="OK"/>
    <d v="2023-09-13T00:00:00"/>
    <n v="15"/>
    <x v="2"/>
    <x v="3"/>
    <s v="Vancouver"/>
    <s v="Small Business"/>
    <x v="2"/>
    <x v="7"/>
    <x v="1"/>
    <x v="414"/>
    <n v="1287.6400000000001"/>
    <s v="OK"/>
    <n v="2717.15"/>
    <n v="2717.15"/>
    <n v="3.2000000000000001E-2"/>
    <s v="OK"/>
    <n v="3.2000000000000001E-2"/>
    <n v="0"/>
    <n v="0.51044049405802105"/>
    <n v="9013.4800000000014"/>
    <n v="9397.9283999999989"/>
    <n v="18411.4084"/>
    <s v="Q3-2023"/>
    <x v="25"/>
    <s v="High"/>
    <n v="7"/>
    <d v="2023-01-01T00:00:00"/>
    <d v="2023-08-01T00:00:00"/>
    <n v="0"/>
    <x v="25"/>
  </r>
  <r>
    <s v="ORD-2024-655710"/>
    <d v="2024-11-30T00:00:00"/>
    <d v="2024-12-10T00:00:00"/>
    <s v="OK"/>
    <d v="2024-12-10T00:00:00"/>
    <n v="10"/>
    <x v="1"/>
    <x v="4"/>
    <s v="Hyderabad"/>
    <s v="Small Business"/>
    <x v="0"/>
    <x v="9"/>
    <x v="6"/>
    <x v="415"/>
    <n v="851.49"/>
    <s v="OK"/>
    <n v="901.79"/>
    <n v="901.79"/>
    <n v="0.245"/>
    <s v="OK"/>
    <n v="0.245"/>
    <n v="1"/>
    <n v="-0.25062522816100341"/>
    <n v="13623.84"/>
    <n v="-2730.2168000000001"/>
    <n v="10893.6232"/>
    <s v="Q4-2024"/>
    <x v="18"/>
    <s v="Medium"/>
    <n v="16"/>
    <d v="2023-01-01T00:00:00"/>
    <d v="2024-11-01T00:00:00"/>
    <n v="0"/>
    <x v="10"/>
  </r>
  <r>
    <s v="ORD-2025-411385"/>
    <d v="2025-06-05T00:00:00"/>
    <d v="2025-06-14T00:00:00"/>
    <s v="OK"/>
    <d v="2025-06-14T00:00:00"/>
    <n v="9"/>
    <x v="1"/>
    <x v="4"/>
    <s v="Delhi"/>
    <s v="Non-Profit"/>
    <x v="0"/>
    <x v="8"/>
    <x v="6"/>
    <x v="416"/>
    <n v="618.69000000000005"/>
    <s v="OK"/>
    <n v="796.15"/>
    <n v="796.15"/>
    <n v="0.09"/>
    <s v="OK"/>
    <n v="0.09"/>
    <n v="0"/>
    <n v="0.14604142325049191"/>
    <n v="6805.59"/>
    <n v="1163.8715000000002"/>
    <n v="7969.4615000000003"/>
    <s v="Q2-2025"/>
    <x v="16"/>
    <s v="Medium"/>
    <n v="11"/>
    <d v="2023-01-01T00:00:00"/>
    <d v="2025-06-01T00:00:00"/>
    <n v="0"/>
    <x v="16"/>
  </r>
  <r>
    <s v="ORD-2025-222035"/>
    <d v="2025-03-14T00:00:00"/>
    <d v="2025-04-08T00:00:00"/>
    <s v="OK"/>
    <d v="2025-04-08T00:00:00"/>
    <n v="25"/>
    <x v="1"/>
    <x v="9"/>
    <s v="Unkown"/>
    <s v="Corporate"/>
    <x v="3"/>
    <x v="14"/>
    <x v="1"/>
    <x v="417"/>
    <n v="80.59"/>
    <s v="OK"/>
    <n v="157.82"/>
    <n v="157.82"/>
    <n v="0.217"/>
    <s v="OK"/>
    <n v="0.217"/>
    <n v="1"/>
    <n v="0.34783519967863541"/>
    <n v="483.54"/>
    <n v="257.89835999999997"/>
    <n v="741.43835999999999"/>
    <s v="Q1-2025"/>
    <x v="3"/>
    <s v="Low"/>
    <n v="6"/>
    <d v="2023-01-01T00:00:00"/>
    <d v="2025-03-01T00:00:00"/>
    <n v="0"/>
    <x v="3"/>
  </r>
  <r>
    <s v="ORD-2024-749242"/>
    <d v="2024-01-16T00:00:00"/>
    <d v="2024-02-11T00:00:00"/>
    <s v="OK"/>
    <d v="2024-02-11T00:00:00"/>
    <n v="26"/>
    <x v="3"/>
    <x v="6"/>
    <s v="Frankfurt"/>
    <s v="Non-Profit"/>
    <x v="3"/>
    <x v="6"/>
    <x v="5"/>
    <x v="418"/>
    <n v="504.93"/>
    <s v="OK"/>
    <n v="819.06"/>
    <n v="819.06"/>
    <n v="0.22600000000000001"/>
    <s v="OK"/>
    <n v="0.22600000000000001"/>
    <n v="1"/>
    <n v="0.20352069312959814"/>
    <n v="7573.95"/>
    <n v="1935.3365999999996"/>
    <n v="9509.2865999999995"/>
    <s v="Q1-2024"/>
    <x v="9"/>
    <s v="Medium"/>
    <n v="15"/>
    <d v="2023-01-01T00:00:00"/>
    <d v="2024-01-01T00:00:00"/>
    <n v="0"/>
    <x v="9"/>
  </r>
  <r>
    <s v="ORD-2023-623293"/>
    <d v="2023-10-12T00:00:00"/>
    <d v="2023-10-29T00:00:00"/>
    <s v="OK"/>
    <d v="2023-10-29T00:00:00"/>
    <n v="17"/>
    <x v="1"/>
    <x v="2"/>
    <s v="Nagoya"/>
    <s v="Non-Profit"/>
    <x v="4"/>
    <x v="10"/>
    <x v="3"/>
    <x v="419"/>
    <n v="1102.19"/>
    <s v="OK"/>
    <n v="1711.16"/>
    <n v="1711.16"/>
    <n v="0.151"/>
    <s v="OK"/>
    <n v="0.151"/>
    <n v="0"/>
    <n v="0.24132083675127525"/>
    <n v="11021.900000000001"/>
    <n v="3505.8484000000008"/>
    <n v="14527.748400000002"/>
    <s v="Q4-2023"/>
    <x v="32"/>
    <s v="Medium"/>
    <n v="10"/>
    <d v="2023-03-01T00:00:00"/>
    <d v="2023-10-01T00:00:00"/>
    <n v="0"/>
    <x v="25"/>
  </r>
  <r>
    <s v="ORD-2025-276968"/>
    <d v="2025-02-25T00:00:00"/>
    <d v="2025-03-17T00:00:00"/>
    <s v="OK"/>
    <d v="2025-03-17T00:00:00"/>
    <n v="20"/>
    <x v="2"/>
    <x v="10"/>
    <s v="San Francisco"/>
    <s v="Non-Profit"/>
    <x v="2"/>
    <x v="10"/>
    <x v="3"/>
    <x v="420"/>
    <n v="1205.26"/>
    <s v="OK"/>
    <n v="1696.35"/>
    <n v="1696.35"/>
    <n v="1.9E-2"/>
    <s v="OK"/>
    <n v="1.9E-2"/>
    <n v="0"/>
    <n v="0.27573704374028213"/>
    <n v="7231.5599999999995"/>
    <n v="2753.1560999999983"/>
    <n v="9984.7160999999978"/>
    <s v="Q1-2025"/>
    <x v="26"/>
    <s v="Medium"/>
    <n v="6"/>
    <d v="2023-01-01T00:00:00"/>
    <d v="2025-02-01T00:00:00"/>
    <n v="0"/>
    <x v="26"/>
  </r>
  <r>
    <s v="ORD-2025-650841"/>
    <d v="2025-07-03T00:00:00"/>
    <d v="2025-07-06T00:00:00"/>
    <s v="OK"/>
    <d v="2025-07-06T00:00:00"/>
    <n v="3"/>
    <x v="0"/>
    <x v="1"/>
    <s v="Lagos"/>
    <s v="Consumer"/>
    <x v="1"/>
    <x v="15"/>
    <x v="4"/>
    <x v="421"/>
    <n v="1313.3"/>
    <s v="OK"/>
    <n v="2884.34"/>
    <n v="2884.34"/>
    <n v="0.157"/>
    <s v="OK"/>
    <n v="0.157"/>
    <n v="0"/>
    <n v="0.45988042551305253"/>
    <n v="55158.6"/>
    <n v="46964.342039999996"/>
    <n v="102122.94203999999"/>
    <s v="Q3-2025"/>
    <x v="13"/>
    <s v="High"/>
    <n v="42"/>
    <d v="2023-01-01T00:00:00"/>
    <d v="2025-07-01T00:00:00"/>
    <n v="1"/>
    <x v="13"/>
  </r>
  <r>
    <s v="ORD-2025-831576"/>
    <d v="2025-09-15T00:00:00"/>
    <d v="2025-09-25T00:00:00"/>
    <s v="OK"/>
    <d v="2025-09-25T00:00:00"/>
    <n v="10"/>
    <x v="1"/>
    <x v="4"/>
    <s v="Delhi"/>
    <s v="Consumer"/>
    <x v="0"/>
    <x v="8"/>
    <x v="3"/>
    <x v="422"/>
    <n v="1488.91"/>
    <s v="OK"/>
    <n v="1483.74"/>
    <n v="1483.74"/>
    <n v="0.16800000000000001"/>
    <s v="OK"/>
    <n v="0.16800000000000001"/>
    <n v="0"/>
    <n v="-0.20611110333450519"/>
    <n v="35733.840000000004"/>
    <n v="-6106.5196800000049"/>
    <n v="29627.320319999999"/>
    <s v="Q3-2025"/>
    <x v="11"/>
    <s v="Medium"/>
    <n v="24"/>
    <d v="2023-01-01T00:00:00"/>
    <d v="2025-09-01T00:00:00"/>
    <n v="0"/>
    <x v="11"/>
  </r>
  <r>
    <s v="ORD-2024-468655"/>
    <d v="2024-02-19T00:00:00"/>
    <d v="2024-03-06T00:00:00"/>
    <s v="OK"/>
    <d v="2024-03-06T00:00:00"/>
    <n v="16"/>
    <x v="1"/>
    <x v="9"/>
    <s v="Beijing"/>
    <s v="Education"/>
    <x v="2"/>
    <x v="7"/>
    <x v="1"/>
    <x v="423"/>
    <n v="1477.84"/>
    <s v="OK"/>
    <n v="3197.47"/>
    <n v="3197.47"/>
    <n v="0.24299999999999999"/>
    <s v="OK"/>
    <n v="0.24299999999999999"/>
    <n v="1"/>
    <n v="0.38944462443823091"/>
    <n v="35468.159999999996"/>
    <n v="22623.474960000007"/>
    <n v="58091.634960000003"/>
    <s v="Q1-2024"/>
    <x v="31"/>
    <s v="High"/>
    <n v="24"/>
    <d v="2023-01-01T00:00:00"/>
    <d v="2024-02-01T00:00:00"/>
    <n v="0"/>
    <x v="32"/>
  </r>
  <r>
    <s v="ORD-2024-515105"/>
    <d v="2024-02-27T00:00:00"/>
    <d v="2024-03-26T00:00:00"/>
    <s v="OK"/>
    <d v="2024-03-26T00:00:00"/>
    <n v="28"/>
    <x v="1"/>
    <x v="4"/>
    <s v="Mumbai"/>
    <s v="Education"/>
    <x v="2"/>
    <x v="3"/>
    <x v="4"/>
    <x v="424"/>
    <n v="1035.19"/>
    <s v="OK"/>
    <n v="2322.6999999999998"/>
    <n v="2322.6999999999998"/>
    <n v="0.17299999999999999"/>
    <s v="OK"/>
    <n v="0.17299999999999999"/>
    <n v="0"/>
    <n v="0.46108355217047409"/>
    <n v="8281.52"/>
    <n v="7085.4631999999983"/>
    <n v="15366.983199999999"/>
    <s v="Q1-2024"/>
    <x v="31"/>
    <s v="High"/>
    <n v="8"/>
    <d v="2023-01-01T00:00:00"/>
    <d v="2024-02-01T00:00:00"/>
    <n v="0"/>
    <x v="32"/>
  </r>
  <r>
    <s v="ORD-2025-803803"/>
    <d v="2025-08-28T00:00:00"/>
    <d v="2025-09-05T00:00:00"/>
    <s v="OK"/>
    <d v="2025-09-05T00:00:00"/>
    <n v="8"/>
    <x v="0"/>
    <x v="1"/>
    <s v="Port Harcourt"/>
    <s v="Small Business"/>
    <x v="2"/>
    <x v="6"/>
    <x v="4"/>
    <x v="425"/>
    <n v="1271.0999999999999"/>
    <s v="OK"/>
    <n v="1932.42"/>
    <n v="1932.42"/>
    <n v="0.25"/>
    <s v="OK"/>
    <n v="0.25"/>
    <n v="1"/>
    <n v="0.12296498690760807"/>
    <n v="26693.1"/>
    <n v="3742.5149999999994"/>
    <n v="30435.614999999998"/>
    <s v="Q3-2025"/>
    <x v="28"/>
    <s v="High"/>
    <n v="21"/>
    <d v="2023-01-01T00:00:00"/>
    <d v="2025-08-01T00:00:00"/>
    <n v="0"/>
    <x v="29"/>
  </r>
  <r>
    <s v="ORD-2024-993481"/>
    <d v="2024-08-18T00:00:00"/>
    <d v="2024-09-12T00:00:00"/>
    <s v="OK"/>
    <d v="2024-09-12T00:00:00"/>
    <n v="25"/>
    <x v="1"/>
    <x v="4"/>
    <s v="Mumbai"/>
    <s v="Consumer"/>
    <x v="2"/>
    <x v="0"/>
    <x v="3"/>
    <x v="426"/>
    <n v="1154.03"/>
    <s v="OK"/>
    <n v="1590.36"/>
    <n v="1590.36"/>
    <n v="0.3"/>
    <s v="Check"/>
    <n v="0.314"/>
    <n v="1"/>
    <n v="-3.6629622044245191E-2"/>
    <n v="20772.54"/>
    <n v="-734.00400000000081"/>
    <n v="20038.536"/>
    <s v="Q3-2024"/>
    <x v="21"/>
    <s v="Medium"/>
    <n v="18"/>
    <d v="2023-01-01T00:00:00"/>
    <d v="2024-08-01T00:00:00"/>
    <n v="0"/>
    <x v="20"/>
  </r>
  <r>
    <s v="ORD-2024-811752"/>
    <d v="2024-02-25T00:00:00"/>
    <d v="2024-03-09T00:00:00"/>
    <s v="OK"/>
    <d v="2024-03-09T00:00:00"/>
    <n v="13"/>
    <x v="3"/>
    <x v="7"/>
    <s v="Marseille"/>
    <s v="Small Business"/>
    <x v="3"/>
    <x v="6"/>
    <x v="5"/>
    <x v="427"/>
    <n v="322.44"/>
    <s v="OK"/>
    <n v="395.61"/>
    <n v="395.61"/>
    <n v="0"/>
    <s v="OK"/>
    <n v="0"/>
    <n v="0"/>
    <n v="0.18495487980586947"/>
    <n v="10962.96"/>
    <n v="2487.7800000000007"/>
    <n v="13450.74"/>
    <s v="Q1-2024"/>
    <x v="31"/>
    <s v="Low"/>
    <n v="34"/>
    <d v="2023-01-01T00:00:00"/>
    <d v="2024-02-01T00:00:00"/>
    <n v="0"/>
    <x v="32"/>
  </r>
  <r>
    <s v="ORD-2025-673091"/>
    <d v="2025-05-07T00:00:00"/>
    <d v="2025-05-13T00:00:00"/>
    <s v="OK"/>
    <d v="2025-05-13T00:00:00"/>
    <n v="6"/>
    <x v="1"/>
    <x v="4"/>
    <s v="Bengaluru"/>
    <s v="Enterprise"/>
    <x v="4"/>
    <x v="1"/>
    <x v="3"/>
    <x v="428"/>
    <n v="935.98"/>
    <s v="OK"/>
    <n v="2077.69"/>
    <n v="2077.69"/>
    <n v="0.17499999999999999"/>
    <s v="OK"/>
    <n v="0.17499999999999999"/>
    <n v="0"/>
    <n v="0.45395067978321491"/>
    <n v="22463.52"/>
    <n v="18674.741999999995"/>
    <n v="41138.261999999995"/>
    <s v="Q2-2025"/>
    <x v="8"/>
    <s v="High"/>
    <n v="24"/>
    <d v="2023-01-01T00:00:00"/>
    <d v="2025-05-01T00:00:00"/>
    <n v="1"/>
    <x v="8"/>
  </r>
  <r>
    <s v="ORD-2024-381197"/>
    <d v="2024-11-01T00:00:00"/>
    <d v="2024-11-12T00:00:00"/>
    <s v="OK"/>
    <d v="2024-11-12T00:00:00"/>
    <n v="11"/>
    <x v="3"/>
    <x v="6"/>
    <s v="Frankfurt"/>
    <s v="Consumer"/>
    <x v="1"/>
    <x v="5"/>
    <x v="1"/>
    <x v="429"/>
    <n v="599.84"/>
    <s v="OK"/>
    <n v="1330.85"/>
    <n v="1330.85"/>
    <n v="0.115"/>
    <s v="OK"/>
    <n v="0.115"/>
    <n v="0"/>
    <n v="0.49071246892252063"/>
    <n v="6598.2400000000007"/>
    <n v="6357.5847499999973"/>
    <n v="12955.824749999998"/>
    <s v="Q4-2024"/>
    <x v="18"/>
    <s v="Medium"/>
    <n v="11"/>
    <d v="2023-01-01T00:00:00"/>
    <d v="2024-11-01T00:00:00"/>
    <n v="0"/>
    <x v="10"/>
  </r>
  <r>
    <s v="ORD-2024-651852"/>
    <d v="2024-12-28T00:00:00"/>
    <d v="2025-01-08T00:00:00"/>
    <s v="OK"/>
    <d v="2025-01-08T00:00:00"/>
    <n v="11"/>
    <x v="1"/>
    <x v="9"/>
    <s v="Shenzhen"/>
    <s v="Enterprise"/>
    <x v="1"/>
    <x v="11"/>
    <x v="4"/>
    <x v="430"/>
    <n v="1201.31"/>
    <s v="OK"/>
    <n v="2764.65"/>
    <n v="2764.65"/>
    <n v="0"/>
    <s v="OK"/>
    <n v="0"/>
    <n v="0"/>
    <n v="0.56547483406579491"/>
    <n v="25227.51"/>
    <n v="32830.14"/>
    <n v="58057.65"/>
    <s v="Q4-2024"/>
    <x v="6"/>
    <s v="High"/>
    <n v="21"/>
    <d v="2023-01-01T00:00:00"/>
    <d v="2024-12-01T00:00:00"/>
    <n v="0"/>
    <x v="6"/>
  </r>
  <r>
    <s v="ORD-2023-659070"/>
    <d v="2023-10-21T00:00:00"/>
    <d v="2023-10-21T00:00:00"/>
    <s v="OK"/>
    <d v="2023-10-21T00:00:00"/>
    <n v="0"/>
    <x v="3"/>
    <x v="8"/>
    <s v="Manchester"/>
    <s v="Enterprise"/>
    <x v="3"/>
    <x v="1"/>
    <x v="5"/>
    <x v="431"/>
    <n v="384.19"/>
    <s v="OK"/>
    <n v="278.35000000000002"/>
    <n v="278.35000000000002"/>
    <n v="5.6000000000000001E-2"/>
    <s v="OK"/>
    <n v="5.6000000000000001E-2"/>
    <n v="0"/>
    <n v="-0.46211938998882657"/>
    <n v="3841.9"/>
    <n v="-1214.2760000000003"/>
    <n v="2627.6239999999998"/>
    <s v="Q4-2023"/>
    <x v="32"/>
    <s v="Low"/>
    <n v="10"/>
    <d v="2023-01-01T00:00:00"/>
    <d v="2023-10-01T00:00:00"/>
    <n v="1"/>
    <x v="4"/>
  </r>
  <r>
    <s v="ORD-2024-837651"/>
    <d v="2024-12-10T00:00:00"/>
    <d v="2024-12-19T00:00:00"/>
    <s v="OK"/>
    <d v="2024-12-19T00:00:00"/>
    <n v="9"/>
    <x v="0"/>
    <x v="1"/>
    <s v="Lagos"/>
    <s v="Corporate"/>
    <x v="0"/>
    <x v="7"/>
    <x v="5"/>
    <x v="432"/>
    <n v="488.68"/>
    <s v="OK"/>
    <n v="984.36"/>
    <n v="984.36"/>
    <n v="5.8999999999999997E-2"/>
    <s v="OK"/>
    <n v="5.8999999999999997E-2"/>
    <n v="0"/>
    <n v="0.47242891576649876"/>
    <n v="6841.52"/>
    <n v="6126.4386400000003"/>
    <n v="12967.958640000001"/>
    <s v="Q4-2024"/>
    <x v="6"/>
    <s v="Medium"/>
    <n v="14"/>
    <d v="2023-01-01T00:00:00"/>
    <d v="2024-12-01T00:00:00"/>
    <n v="0"/>
    <x v="6"/>
  </r>
  <r>
    <s v="ORD-2024-581530"/>
    <d v="2024-09-07T00:00:00"/>
    <d v="2024-09-18T00:00:00"/>
    <s v="OK"/>
    <d v="2024-09-18T00:00:00"/>
    <n v="11"/>
    <x v="1"/>
    <x v="9"/>
    <s v="Beijing"/>
    <s v="Consumer"/>
    <x v="3"/>
    <x v="7"/>
    <x v="2"/>
    <x v="433"/>
    <n v="181.74"/>
    <s v="OK"/>
    <n v="190.84"/>
    <n v="190.84"/>
    <n v="0.214"/>
    <s v="OK"/>
    <n v="0.214"/>
    <n v="1"/>
    <n v="-0.21159806144310159"/>
    <n v="2362.62"/>
    <n v="-412.61687999999981"/>
    <n v="1950.0031200000001"/>
    <s v="Q3-2024"/>
    <x v="29"/>
    <s v="Low"/>
    <n v="13"/>
    <d v="2023-01-01T00:00:00"/>
    <d v="2024-09-01T00:00:00"/>
    <n v="0"/>
    <x v="30"/>
  </r>
  <r>
    <s v="ORD-2023-378104"/>
    <d v="2023-10-18T00:00:00"/>
    <d v="2023-10-20T00:00:00"/>
    <s v="OK"/>
    <d v="2023-10-20T00:00:00"/>
    <n v="2"/>
    <x v="0"/>
    <x v="0"/>
    <s v="Kisumu"/>
    <s v="Consumer"/>
    <x v="0"/>
    <x v="1"/>
    <x v="3"/>
    <x v="434"/>
    <n v="774.12"/>
    <s v="OK"/>
    <n v="908.3"/>
    <n v="908.3"/>
    <n v="0"/>
    <s v="OK"/>
    <n v="0"/>
    <n v="0"/>
    <n v="0.14772652207420461"/>
    <n v="23223.599999999999"/>
    <n v="4025.4000000000015"/>
    <n v="27249"/>
    <s v="Q4-2023"/>
    <x v="32"/>
    <s v="Medium"/>
    <n v="30"/>
    <d v="2023-01-01T00:00:00"/>
    <d v="2023-10-01T00:00:00"/>
    <n v="1"/>
    <x v="4"/>
  </r>
  <r>
    <s v="ORD-2024-972318"/>
    <d v="2024-12-24T00:00:00"/>
    <d v="2025-01-13T00:00:00"/>
    <s v="OK"/>
    <d v="2025-01-13T00:00:00"/>
    <n v="20"/>
    <x v="1"/>
    <x v="4"/>
    <s v="Bengaluru"/>
    <s v="Corporate"/>
    <x v="2"/>
    <x v="14"/>
    <x v="2"/>
    <x v="435"/>
    <n v="126.15"/>
    <s v="OK"/>
    <n v="284.23"/>
    <n v="284.23"/>
    <n v="0.113"/>
    <s v="OK"/>
    <n v="0.113"/>
    <n v="0"/>
    <n v="0.49962716968541088"/>
    <n v="2775.3"/>
    <n v="2771.1642200000006"/>
    <n v="5546.4642200000008"/>
    <s v="Q4-2024"/>
    <x v="6"/>
    <s v="Low"/>
    <n v="22"/>
    <d v="2023-01-01T00:00:00"/>
    <d v="2024-12-01T00:00:00"/>
    <n v="0"/>
    <x v="6"/>
  </r>
  <r>
    <s v="ORD-2023-752962"/>
    <d v="2023-04-21T00:00:00"/>
    <d v="2023-04-28T00:00:00"/>
    <s v="Check"/>
    <d v="2023-04-19T00:00:00"/>
    <n v="7"/>
    <x v="1"/>
    <x v="2"/>
    <s v="Nagoya"/>
    <s v="Small Business"/>
    <x v="4"/>
    <x v="12"/>
    <x v="0"/>
    <x v="436"/>
    <n v="607.04"/>
    <s v="OK"/>
    <n v="1229.3399999999999"/>
    <n v="1229.3399999999999"/>
    <n v="0.14699999999999999"/>
    <s v="OK"/>
    <n v="0.14699999999999999"/>
    <n v="0"/>
    <n v="0.42110970972310058"/>
    <n v="4249.28"/>
    <n v="3091.1091399999996"/>
    <n v="7340.3891399999993"/>
    <s v="Q2-2023"/>
    <x v="12"/>
    <s v="Medium"/>
    <n v="7"/>
    <d v="2023-03-01T00:00:00"/>
    <d v="2023-04-01T00:00:00"/>
    <n v="1"/>
    <x v="2"/>
  </r>
  <r>
    <s v="ORD-2023-808024"/>
    <d v="2023-12-30T00:00:00"/>
    <d v="2024-01-08T00:00:00"/>
    <s v="OK"/>
    <d v="2024-01-08T00:00:00"/>
    <n v="9"/>
    <x v="3"/>
    <x v="7"/>
    <s v="Marseille"/>
    <s v="Consumer"/>
    <x v="2"/>
    <x v="4"/>
    <x v="6"/>
    <x v="437"/>
    <n v="861.1"/>
    <s v="OK"/>
    <n v="1224.72"/>
    <n v="1224.72"/>
    <n v="0.17399999999999999"/>
    <s v="OK"/>
    <n v="0.17399999999999999"/>
    <n v="0"/>
    <n v="0.14878997098827909"/>
    <n v="20666.400000000001"/>
    <n v="3612.4492800000007"/>
    <n v="24278.849280000002"/>
    <s v="Q4-2023"/>
    <x v="4"/>
    <s v="Medium"/>
    <n v="24"/>
    <d v="2023-01-01T00:00:00"/>
    <d v="2023-12-01T00:00:00"/>
    <n v="0"/>
    <x v="27"/>
  </r>
  <r>
    <s v="ORD-2023-156396"/>
    <d v="2023-02-21T00:00:00"/>
    <d v="2023-03-12T00:00:00"/>
    <s v="OK"/>
    <d v="2023-03-12T00:00:00"/>
    <n v="19"/>
    <x v="0"/>
    <x v="0"/>
    <s v="Nakuru"/>
    <s v="Corporate"/>
    <x v="1"/>
    <x v="9"/>
    <x v="2"/>
    <x v="438"/>
    <n v="352.65"/>
    <s v="OK"/>
    <n v="485.86"/>
    <n v="485.86"/>
    <n v="4.1000000000000002E-2"/>
    <s v="OK"/>
    <n v="4.1000000000000002E-2"/>
    <n v="0"/>
    <n v="0.24314247159943908"/>
    <n v="2115.8999999999996"/>
    <n v="679.73844000000008"/>
    <n v="2795.6384399999997"/>
    <s v="Q1-2023"/>
    <x v="2"/>
    <s v="Low"/>
    <n v="6"/>
    <d v="2023-01-01T00:00:00"/>
    <d v="2023-02-01T00:00:00"/>
    <n v="0"/>
    <x v="2"/>
  </r>
  <r>
    <s v="ORD-2023-184577"/>
    <d v="2023-05-17T00:00:00"/>
    <d v="2023-06-03T00:00:00"/>
    <s v="OK"/>
    <d v="2023-06-03T00:00:00"/>
    <n v="17"/>
    <x v="1"/>
    <x v="9"/>
    <s v="Beijing"/>
    <s v="Non-Profit"/>
    <x v="3"/>
    <x v="12"/>
    <x v="1"/>
    <x v="439"/>
    <n v="979.59"/>
    <s v="OK"/>
    <n v="2210.94"/>
    <n v="2210.94"/>
    <n v="0.15"/>
    <s v="OK"/>
    <n v="0.15"/>
    <n v="0"/>
    <n v="0.47874712858358359"/>
    <n v="10775.49"/>
    <n v="9896.7990000000009"/>
    <n v="20672.289000000001"/>
    <s v="Q2-2023"/>
    <x v="15"/>
    <s v="High"/>
    <n v="11"/>
    <d v="2023-01-01T00:00:00"/>
    <d v="2023-05-01T00:00:00"/>
    <n v="0"/>
    <x v="15"/>
  </r>
  <r>
    <s v="ORD-2024-446030"/>
    <d v="2024-03-23T00:00:00"/>
    <d v="2024-03-26T00:00:00"/>
    <s v="OK"/>
    <d v="2024-03-26T00:00:00"/>
    <n v="3"/>
    <x v="1"/>
    <x v="4"/>
    <s v="Bengaluru"/>
    <s v="Education"/>
    <x v="4"/>
    <x v="3"/>
    <x v="3"/>
    <x v="440"/>
    <n v="382.21"/>
    <s v="OK"/>
    <n v="571.89"/>
    <n v="571.89"/>
    <n v="0.14799999999999999"/>
    <s v="OK"/>
    <n v="0.14799999999999999"/>
    <n v="0"/>
    <n v="0.2155776698578809"/>
    <n v="9937.4599999999991"/>
    <n v="2731.0472800000007"/>
    <n v="12668.50728"/>
    <s v="Q1-2024"/>
    <x v="0"/>
    <s v="Low"/>
    <n v="26"/>
    <d v="2023-01-01T00:00:00"/>
    <d v="2024-03-01T00:00:00"/>
    <n v="1"/>
    <x v="0"/>
  </r>
  <r>
    <s v="ORD-2023-842820"/>
    <d v="2023-09-20T00:00:00"/>
    <d v="2023-09-28T00:00:00"/>
    <s v="OK"/>
    <d v="2023-09-28T00:00:00"/>
    <n v="8"/>
    <x v="1"/>
    <x v="4"/>
    <s v="Unkown"/>
    <s v="Corporate"/>
    <x v="5"/>
    <x v="5"/>
    <x v="6"/>
    <x v="441"/>
    <n v="1362.06"/>
    <s v="OK"/>
    <n v="3398.37"/>
    <n v="3398.37"/>
    <n v="0.157"/>
    <s v="OK"/>
    <n v="0.157"/>
    <n v="0"/>
    <n v="0.52455749745714919"/>
    <n v="14982.66"/>
    <n v="16530.425009999999"/>
    <n v="31513.085009999999"/>
    <s v="Q3-2023"/>
    <x v="27"/>
    <s v="High"/>
    <n v="11"/>
    <d v="2023-01-01T00:00:00"/>
    <d v="2023-09-01T00:00:00"/>
    <n v="0"/>
    <x v="28"/>
  </r>
  <r>
    <s v="ORD-2024-745424"/>
    <d v="2024-08-22T00:00:00"/>
    <d v="2024-09-04T00:00:00"/>
    <s v="OK"/>
    <d v="2024-09-04T00:00:00"/>
    <n v="13"/>
    <x v="3"/>
    <x v="6"/>
    <s v="Frankfurt"/>
    <s v="Non-Profit"/>
    <x v="0"/>
    <x v="4"/>
    <x v="1"/>
    <x v="442"/>
    <n v="90.04"/>
    <s v="OK"/>
    <n v="194.62"/>
    <n v="194.62"/>
    <n v="4.2999999999999997E-2"/>
    <s v="OK"/>
    <n v="4.2999999999999997E-2"/>
    <n v="0"/>
    <n v="0.51656723650954672"/>
    <n v="2881.28"/>
    <n v="3078.7628799999998"/>
    <n v="5960.04288"/>
    <s v="Q3-2024"/>
    <x v="21"/>
    <s v="Low"/>
    <n v="32"/>
    <d v="2023-01-01T00:00:00"/>
    <d v="2024-08-01T00:00:00"/>
    <n v="0"/>
    <x v="20"/>
  </r>
  <r>
    <s v="ORD-2024-510520"/>
    <d v="2024-09-25T00:00:00"/>
    <d v="2024-10-03T00:00:00"/>
    <s v="OK"/>
    <d v="2024-10-03T00:00:00"/>
    <n v="8"/>
    <x v="2"/>
    <x v="3"/>
    <s v="Toronto"/>
    <s v="Consumer"/>
    <x v="1"/>
    <x v="6"/>
    <x v="1"/>
    <x v="443"/>
    <n v="558.19000000000005"/>
    <s v="OK"/>
    <n v="1031.6400000000001"/>
    <n v="1031.6400000000001"/>
    <n v="0"/>
    <s v="OK"/>
    <n v="0"/>
    <n v="0"/>
    <n v="0.45892947152107322"/>
    <n v="11721.990000000002"/>
    <n v="9942.4500000000007"/>
    <n v="21664.440000000002"/>
    <s v="Q3-2024"/>
    <x v="29"/>
    <s v="Medium"/>
    <n v="21"/>
    <d v="2023-01-01T00:00:00"/>
    <d v="2024-09-01T00:00:00"/>
    <n v="0"/>
    <x v="30"/>
  </r>
  <r>
    <s v="ORD-2023-769774"/>
    <d v="2023-06-13T00:00:00"/>
    <d v="2023-06-24T00:00:00"/>
    <s v="OK"/>
    <d v="2023-06-24T00:00:00"/>
    <n v="11"/>
    <x v="2"/>
    <x v="3"/>
    <s v="Toronto"/>
    <s v="Corporate"/>
    <x v="1"/>
    <x v="0"/>
    <x v="1"/>
    <x v="444"/>
    <n v="247.07"/>
    <s v="OK"/>
    <n v="495.19"/>
    <n v="495.19"/>
    <n v="2.8000000000000001E-2"/>
    <s v="OK"/>
    <n v="2.8000000000000001E-2"/>
    <n v="0"/>
    <n v="0.48668744764968214"/>
    <n v="988.28"/>
    <n v="937.01872000000003"/>
    <n v="1925.29872"/>
    <s v="Q2-2023"/>
    <x v="23"/>
    <s v="Low"/>
    <n v="4"/>
    <d v="2023-01-01T00:00:00"/>
    <d v="2023-06-01T00:00:00"/>
    <n v="0"/>
    <x v="22"/>
  </r>
  <r>
    <s v="ORD-2023-580751"/>
    <d v="2023-12-24T00:00:00"/>
    <d v="2024-01-13T00:00:00"/>
    <s v="OK"/>
    <d v="2024-01-13T00:00:00"/>
    <n v="20"/>
    <x v="1"/>
    <x v="2"/>
    <s v="Nagoya"/>
    <s v="Education"/>
    <x v="4"/>
    <x v="5"/>
    <x v="4"/>
    <x v="445"/>
    <n v="625.37"/>
    <s v="OK"/>
    <n v="1319.04"/>
    <n v="1319.04"/>
    <n v="7.3999999999999996E-2"/>
    <s v="OK"/>
    <n v="7.3999999999999996E-2"/>
    <n v="0"/>
    <n v="0.48800220436513547"/>
    <n v="5002.96"/>
    <n v="4768.4883199999995"/>
    <n v="9771.4483199999995"/>
    <s v="Q4-2023"/>
    <x v="4"/>
    <s v="Medium"/>
    <n v="8"/>
    <d v="2023-03-01T00:00:00"/>
    <d v="2023-12-01T00:00:00"/>
    <n v="0"/>
    <x v="4"/>
  </r>
  <r>
    <s v="ORD-2025-473192"/>
    <d v="2025-03-30T00:00:00"/>
    <d v="2025-04-29T00:00:00"/>
    <s v="OK"/>
    <d v="2025-04-29T00:00:00"/>
    <n v="30"/>
    <x v="0"/>
    <x v="11"/>
    <s v="Durban"/>
    <s v="Consumer"/>
    <x v="2"/>
    <x v="1"/>
    <x v="5"/>
    <x v="446"/>
    <n v="194.6"/>
    <s v="OK"/>
    <n v="314.87"/>
    <n v="314.87"/>
    <n v="0.29299999999999998"/>
    <s v="OK"/>
    <n v="0.29299999999999998"/>
    <n v="1"/>
    <n v="0.1258375686712763"/>
    <n v="4865"/>
    <n v="700.32725000000028"/>
    <n v="5565.3272500000003"/>
    <s v="Q1-2025"/>
    <x v="3"/>
    <s v="Low"/>
    <n v="25"/>
    <d v="2023-01-01T00:00:00"/>
    <d v="2025-03-01T00:00:00"/>
    <n v="0"/>
    <x v="3"/>
  </r>
  <r>
    <s v="ORD-2024-886939"/>
    <d v="2024-06-03T00:00:00"/>
    <d v="2024-06-24T00:00:00"/>
    <s v="OK"/>
    <d v="2024-06-24T00:00:00"/>
    <n v="21"/>
    <x v="2"/>
    <x v="3"/>
    <s v="Toronto"/>
    <s v="Small Business"/>
    <x v="4"/>
    <x v="3"/>
    <x v="5"/>
    <x v="447"/>
    <n v="1205.5"/>
    <s v="OK"/>
    <n v="2210.17"/>
    <n v="2210.17"/>
    <n v="0.104"/>
    <s v="OK"/>
    <n v="0.104"/>
    <n v="0"/>
    <n v="0.39125763758314652"/>
    <n v="27726.5"/>
    <n v="17820.683360000003"/>
    <n v="45547.183360000003"/>
    <s v="Q2-2024"/>
    <x v="17"/>
    <s v="High"/>
    <n v="23"/>
    <d v="2023-01-01T00:00:00"/>
    <d v="2024-06-01T00:00:00"/>
    <n v="0"/>
    <x v="17"/>
  </r>
  <r>
    <s v="ORD-2024-566589"/>
    <d v="2024-06-11T00:00:00"/>
    <d v="2024-07-09T00:00:00"/>
    <s v="OK"/>
    <d v="2024-07-09T00:00:00"/>
    <n v="28"/>
    <x v="0"/>
    <x v="1"/>
    <s v="Port Harcourt"/>
    <s v="Corporate"/>
    <x v="2"/>
    <x v="2"/>
    <x v="3"/>
    <x v="448"/>
    <n v="895.54"/>
    <s v="OK"/>
    <n v="1045"/>
    <n v="1045"/>
    <n v="0.216"/>
    <s v="OK"/>
    <n v="0.216"/>
    <n v="1"/>
    <n v="-9.3081730299775234E-2"/>
    <n v="13433.099999999999"/>
    <n v="-1143.8999999999978"/>
    <n v="12289.2"/>
    <s v="Q2-2024"/>
    <x v="17"/>
    <s v="Medium"/>
    <n v="15"/>
    <d v="2023-01-01T00:00:00"/>
    <d v="2024-06-01T00:00:00"/>
    <n v="0"/>
    <x v="17"/>
  </r>
  <r>
    <s v="ORD-2023-109927"/>
    <d v="2023-07-22T00:00:00"/>
    <d v="2023-07-29T00:00:00"/>
    <s v="Check"/>
    <d v="2023-07-21T00:00:00"/>
    <n v="7"/>
    <x v="1"/>
    <x v="4"/>
    <s v="Delhi"/>
    <s v="Small Business"/>
    <x v="3"/>
    <x v="6"/>
    <x v="1"/>
    <x v="449"/>
    <n v="946.99"/>
    <s v="OK"/>
    <n v="2132.19"/>
    <n v="2132.19"/>
    <n v="0.16500000000000001"/>
    <s v="OK"/>
    <n v="0.16500000000000001"/>
    <n v="0"/>
    <n v="0.46809629513362228"/>
    <n v="6628.93"/>
    <n v="5833.72055"/>
    <n v="12462.65055"/>
    <s v="Q3-2023"/>
    <x v="24"/>
    <s v="High"/>
    <n v="7"/>
    <d v="2023-01-01T00:00:00"/>
    <d v="2023-07-01T00:00:00"/>
    <n v="1"/>
    <x v="23"/>
  </r>
  <r>
    <s v="ORD-2023-780206"/>
    <d v="2023-01-19T00:00:00"/>
    <d v="2023-02-03T00:00:00"/>
    <s v="OK"/>
    <d v="2023-02-03T00:00:00"/>
    <n v="15"/>
    <x v="3"/>
    <x v="8"/>
    <s v="London"/>
    <s v="Enterprise"/>
    <x v="3"/>
    <x v="3"/>
    <x v="6"/>
    <x v="450"/>
    <n v="873.06"/>
    <s v="OK"/>
    <n v="2101.5500000000002"/>
    <n v="2101.5500000000002"/>
    <n v="6.6000000000000003E-2"/>
    <s v="OK"/>
    <n v="6.6000000000000003E-2"/>
    <n v="0"/>
    <n v="0.55520746719167269"/>
    <n v="8730.5999999999985"/>
    <n v="10897.877"/>
    <n v="19628.476999999999"/>
    <s v="Q1-2023"/>
    <x v="5"/>
    <s v="High"/>
    <n v="10"/>
    <d v="2023-01-01T00:00:00"/>
    <d v="2023-01-01T00:00:00"/>
    <n v="0"/>
    <x v="5"/>
  </r>
  <r>
    <s v="ORD-2024-851993"/>
    <d v="2024-05-01T00:00:00"/>
    <d v="2024-05-16T00:00:00"/>
    <s v="OK"/>
    <d v="2024-05-16T00:00:00"/>
    <n v="15"/>
    <x v="1"/>
    <x v="4"/>
    <s v="Bengaluru"/>
    <s v="Small Business"/>
    <x v="0"/>
    <x v="4"/>
    <x v="0"/>
    <x v="451"/>
    <n v="901.19"/>
    <s v="OK"/>
    <n v="2125.44"/>
    <n v="2125.44"/>
    <n v="7.0999999999999994E-2"/>
    <s v="OK"/>
    <n v="7.0999999999999994E-2"/>
    <n v="0"/>
    <n v="0.54359352154100415"/>
    <n v="10814.28"/>
    <n v="12880.125119999999"/>
    <n v="23694.405119999999"/>
    <s v="Q2-2024"/>
    <x v="7"/>
    <s v="High"/>
    <n v="12"/>
    <d v="2023-01-01T00:00:00"/>
    <d v="2024-05-01T00:00:00"/>
    <n v="0"/>
    <x v="7"/>
  </r>
  <r>
    <s v="ORD-2025-417942"/>
    <d v="2025-06-09T00:00:00"/>
    <d v="2025-06-24T00:00:00"/>
    <s v="OK"/>
    <d v="2025-06-24T00:00:00"/>
    <n v="15"/>
    <x v="1"/>
    <x v="2"/>
    <s v="Nagoya"/>
    <s v="Corporate"/>
    <x v="4"/>
    <x v="5"/>
    <x v="3"/>
    <x v="452"/>
    <n v="400.39"/>
    <s v="OK"/>
    <n v="712.75"/>
    <n v="712.75"/>
    <n v="0.115"/>
    <s v="OK"/>
    <n v="0.115"/>
    <n v="0"/>
    <n v="0.36524997671547504"/>
    <n v="7607.41"/>
    <n v="4377.4812500000007"/>
    <n v="11984.891250000001"/>
    <s v="Q2-2025"/>
    <x v="16"/>
    <s v="Medium"/>
    <n v="19"/>
    <d v="2023-03-01T00:00:00"/>
    <d v="2025-06-01T00:00:00"/>
    <n v="0"/>
    <x v="18"/>
  </r>
  <r>
    <s v="ORD-2023-172095"/>
    <d v="2023-05-24T00:00:00"/>
    <d v="2023-06-21T00:00:00"/>
    <s v="OK"/>
    <d v="2023-06-21T00:00:00"/>
    <n v="28"/>
    <x v="2"/>
    <x v="10"/>
    <s v="Austin"/>
    <s v="Small Business"/>
    <x v="2"/>
    <x v="3"/>
    <x v="5"/>
    <x v="453"/>
    <n v="813.97"/>
    <s v="OK"/>
    <n v="1568.83"/>
    <n v="1568.83"/>
    <n v="1.7000000000000001E-2"/>
    <s v="OK"/>
    <n v="1.7000000000000001E-2"/>
    <n v="0"/>
    <n v="0.4721883215364911"/>
    <n v="12209.550000000001"/>
    <n v="10922.848349999995"/>
    <n v="23132.398349999996"/>
    <s v="Q2-2023"/>
    <x v="15"/>
    <s v="Medium"/>
    <n v="15"/>
    <d v="2023-01-01T00:00:00"/>
    <d v="2023-05-01T00:00:00"/>
    <n v="0"/>
    <x v="15"/>
  </r>
  <r>
    <s v="ORD-2024-257550"/>
    <d v="2024-12-27T00:00:00"/>
    <d v="2024-12-29T00:00:00"/>
    <s v="OK"/>
    <d v="2024-12-29T00:00:00"/>
    <n v="2"/>
    <x v="2"/>
    <x v="3"/>
    <s v="Vancouver"/>
    <s v="Enterprise"/>
    <x v="2"/>
    <x v="0"/>
    <x v="6"/>
    <x v="454"/>
    <n v="1146.72"/>
    <s v="OK"/>
    <n v="2074.34"/>
    <n v="2074.34"/>
    <n v="0.111"/>
    <s v="OK"/>
    <n v="0.111"/>
    <n v="0"/>
    <n v="0.37816425337472737"/>
    <n v="9173.76"/>
    <n v="5578.9460800000015"/>
    <n v="14752.706080000002"/>
    <s v="Q4-2024"/>
    <x v="6"/>
    <s v="High"/>
    <n v="8"/>
    <d v="2023-01-01T00:00:00"/>
    <d v="2024-12-01T00:00:00"/>
    <n v="1"/>
    <x v="6"/>
  </r>
  <r>
    <s v="ORD-2023-581799"/>
    <d v="2023-12-05T00:00:00"/>
    <d v="2023-12-12T00:00:00"/>
    <s v="OK"/>
    <d v="2023-12-12T00:00:00"/>
    <n v="7"/>
    <x v="2"/>
    <x v="5"/>
    <s v="Brasília"/>
    <s v="Corporate"/>
    <x v="4"/>
    <x v="9"/>
    <x v="3"/>
    <x v="455"/>
    <n v="307.43"/>
    <s v="OK"/>
    <n v="495.19"/>
    <n v="495.19"/>
    <n v="0"/>
    <s v="OK"/>
    <n v="0"/>
    <n v="0"/>
    <n v="0.37916759223732305"/>
    <n v="12912.06"/>
    <n v="7885.92"/>
    <n v="20797.98"/>
    <s v="Q4-2023"/>
    <x v="4"/>
    <s v="Low"/>
    <n v="42"/>
    <d v="2023-01-01T00:00:00"/>
    <d v="2023-12-01T00:00:00"/>
    <n v="1"/>
    <x v="27"/>
  </r>
  <r>
    <s v="ORD-2023-880296"/>
    <d v="2023-05-02T00:00:00"/>
    <d v="2023-05-19T00:00:00"/>
    <s v="OK"/>
    <d v="2023-05-19T00:00:00"/>
    <n v="17"/>
    <x v="1"/>
    <x v="9"/>
    <s v="Shanghai"/>
    <s v="Non-Profit"/>
    <x v="4"/>
    <x v="1"/>
    <x v="5"/>
    <x v="456"/>
    <n v="714.28"/>
    <s v="OK"/>
    <n v="757.59"/>
    <n v="757.59"/>
    <n v="0.13600000000000001"/>
    <s v="OK"/>
    <n v="0.13600000000000001"/>
    <n v="0"/>
    <n v="-9.1240595787910383E-2"/>
    <n v="8571.36"/>
    <n v="-716.66688000000067"/>
    <n v="7854.6931199999999"/>
    <s v="Q2-2023"/>
    <x v="15"/>
    <s v="Medium"/>
    <n v="12"/>
    <d v="2023-01-01T00:00:00"/>
    <d v="2023-05-01T00:00:00"/>
    <n v="0"/>
    <x v="15"/>
  </r>
  <r>
    <s v="ORD-2023-191563"/>
    <d v="2023-11-30T00:00:00"/>
    <d v="2023-12-10T00:00:00"/>
    <s v="OK"/>
    <d v="2023-12-10T00:00:00"/>
    <n v="10"/>
    <x v="3"/>
    <x v="6"/>
    <s v="Munich"/>
    <s v="Small Business"/>
    <x v="4"/>
    <x v="9"/>
    <x v="4"/>
    <x v="457"/>
    <n v="174.74"/>
    <s v="OK"/>
    <n v="415.96"/>
    <n v="415.96"/>
    <n v="0.125"/>
    <s v="OK"/>
    <n v="0.125"/>
    <n v="0"/>
    <n v="0.51989889137691803"/>
    <n v="3669.54"/>
    <n v="3973.7249999999995"/>
    <n v="7643.2649999999994"/>
    <s v="Q4-2023"/>
    <x v="30"/>
    <s v="Low"/>
    <n v="21"/>
    <d v="2023-01-01T00:00:00"/>
    <d v="2023-11-01T00:00:00"/>
    <n v="0"/>
    <x v="31"/>
  </r>
  <r>
    <s v="ORD-2024-202166"/>
    <d v="2024-05-05T00:00:00"/>
    <d v="2024-05-18T00:00:00"/>
    <s v="OK"/>
    <d v="2024-05-18T00:00:00"/>
    <n v="13"/>
    <x v="3"/>
    <x v="7"/>
    <s v="Marseille"/>
    <s v="Corporate"/>
    <x v="2"/>
    <x v="8"/>
    <x v="0"/>
    <x v="458"/>
    <n v="1264.04"/>
    <s v="OK"/>
    <n v="1870.89"/>
    <n v="1870.89"/>
    <n v="0"/>
    <s v="OK"/>
    <n v="0"/>
    <n v="0"/>
    <n v="0.32436433996653996"/>
    <n v="16432.52"/>
    <n v="7889.0499999999993"/>
    <n v="24321.57"/>
    <s v="Q2-2024"/>
    <x v="7"/>
    <s v="Medium"/>
    <n v="13"/>
    <d v="2023-01-01T00:00:00"/>
    <d v="2024-05-01T00:00:00"/>
    <n v="0"/>
    <x v="7"/>
  </r>
  <r>
    <s v="ORD-2023-539967"/>
    <d v="2023-07-09T00:00:00"/>
    <d v="2023-07-19T00:00:00"/>
    <s v="OK"/>
    <d v="2023-07-19T00:00:00"/>
    <n v="10"/>
    <x v="1"/>
    <x v="2"/>
    <s v="Tokyo"/>
    <s v="Enterprise"/>
    <x v="3"/>
    <x v="13"/>
    <x v="0"/>
    <x v="459"/>
    <n v="141.26"/>
    <s v="OK"/>
    <n v="206.88"/>
    <n v="206.88"/>
    <n v="0.107"/>
    <s v="OK"/>
    <n v="0.107"/>
    <n v="0"/>
    <n v="0.23537369365062469"/>
    <n v="1271.3399999999999"/>
    <n v="391.35456000000022"/>
    <n v="1662.6945600000001"/>
    <s v="Q3-2023"/>
    <x v="24"/>
    <s v="Low"/>
    <n v="9"/>
    <d v="2023-03-01T00:00:00"/>
    <d v="2023-07-01T00:00:00"/>
    <n v="0"/>
    <x v="15"/>
  </r>
  <r>
    <s v="ORD-2023-704111"/>
    <d v="2023-05-17T00:00:00"/>
    <d v="2023-06-15T00:00:00"/>
    <s v="OK"/>
    <d v="2023-06-15T00:00:00"/>
    <n v="29"/>
    <x v="0"/>
    <x v="11"/>
    <s v="Durban"/>
    <s v="Enterprise"/>
    <x v="0"/>
    <x v="11"/>
    <x v="6"/>
    <x v="460"/>
    <n v="40.89"/>
    <s v="OK"/>
    <n v="62.82"/>
    <n v="62.82"/>
    <n v="0.129"/>
    <s v="OK"/>
    <n v="0.129"/>
    <n v="0"/>
    <n v="0.25268960465470752"/>
    <n v="695.13"/>
    <n v="235.04574000000002"/>
    <n v="930.17574000000002"/>
    <s v="Q2-2023"/>
    <x v="15"/>
    <s v="Low"/>
    <n v="17"/>
    <d v="2023-01-01T00:00:00"/>
    <d v="2023-05-01T00:00:00"/>
    <n v="0"/>
    <x v="15"/>
  </r>
  <r>
    <s v="ORD-2024-356812"/>
    <d v="2024-03-07T00:00:00"/>
    <d v="2024-04-03T00:00:00"/>
    <s v="OK"/>
    <d v="2024-04-03T00:00:00"/>
    <n v="27"/>
    <x v="3"/>
    <x v="6"/>
    <s v="Frankfurt"/>
    <s v="Corporate"/>
    <x v="4"/>
    <x v="12"/>
    <x v="1"/>
    <x v="461"/>
    <n v="738.16"/>
    <s v="OK"/>
    <n v="956.49"/>
    <n v="956.49"/>
    <n v="0.152"/>
    <s v="OK"/>
    <n v="0.152"/>
    <n v="0"/>
    <n v="8.9931208780847108E-2"/>
    <n v="3690.7999999999997"/>
    <n v="364.71759999999995"/>
    <n v="4055.5175999999997"/>
    <s v="Q1-2024"/>
    <x v="0"/>
    <s v="Medium"/>
    <n v="5"/>
    <d v="2023-01-01T00:00:00"/>
    <d v="2024-03-01T00:00:00"/>
    <n v="0"/>
    <x v="0"/>
  </r>
  <r>
    <s v="ORD-2025-306251"/>
    <d v="2025-04-10T00:00:00"/>
    <d v="2025-04-19T00:00:00"/>
    <s v="OK"/>
    <d v="2025-04-19T00:00:00"/>
    <n v="9"/>
    <x v="0"/>
    <x v="11"/>
    <s v="Durban"/>
    <s v="Enterprise"/>
    <x v="5"/>
    <x v="3"/>
    <x v="2"/>
    <x v="462"/>
    <n v="113.74"/>
    <s v="OK"/>
    <n v="165.7"/>
    <n v="165.7"/>
    <n v="0.124"/>
    <s v="OK"/>
    <n v="0.124"/>
    <n v="0"/>
    <n v="0.21641410592394794"/>
    <n v="1478.62"/>
    <n v="408.37159999999994"/>
    <n v="1886.9915999999998"/>
    <s v="Q2-2025"/>
    <x v="19"/>
    <s v="Low"/>
    <n v="13"/>
    <d v="2023-01-01T00:00:00"/>
    <d v="2025-04-01T00:00:00"/>
    <n v="0"/>
    <x v="18"/>
  </r>
  <r>
    <s v="ORD-2025-496178"/>
    <d v="2025-07-27T00:00:00"/>
    <d v="2025-08-15T00:00:00"/>
    <s v="OK"/>
    <d v="2025-08-15T00:00:00"/>
    <n v="19"/>
    <x v="1"/>
    <x v="2"/>
    <s v="Tokyo"/>
    <s v="Small Business"/>
    <x v="2"/>
    <x v="1"/>
    <x v="0"/>
    <x v="463"/>
    <n v="275.43"/>
    <s v="OK"/>
    <n v="608.36"/>
    <n v="608.36"/>
    <n v="0.25700000000000001"/>
    <s v="OK"/>
    <n v="0.25700000000000001"/>
    <n v="1"/>
    <n v="0.39065706915231446"/>
    <n v="1101.72"/>
    <n v="706.32592"/>
    <n v="1808.04592"/>
    <s v="Q3-2025"/>
    <x v="13"/>
    <s v="Medium"/>
    <n v="4"/>
    <d v="2023-03-01T00:00:00"/>
    <d v="2025-07-01T00:00:00"/>
    <n v="0"/>
    <x v="8"/>
  </r>
  <r>
    <s v="ORD-2024-508213"/>
    <d v="2024-11-22T00:00:00"/>
    <d v="2024-12-15T00:00:00"/>
    <s v="OK"/>
    <d v="2024-12-15T00:00:00"/>
    <n v="23"/>
    <x v="0"/>
    <x v="0"/>
    <s v="Mombasa"/>
    <s v="Non-Profit"/>
    <x v="3"/>
    <x v="0"/>
    <x v="0"/>
    <x v="464"/>
    <n v="1335.76"/>
    <s v="OK"/>
    <n v="2665.91"/>
    <n v="2665.91"/>
    <n v="0.21099999999999999"/>
    <s v="OK"/>
    <n v="0.21099999999999999"/>
    <n v="1"/>
    <n v="0.36495288522909253"/>
    <n v="53430.400000000001"/>
    <n v="30705.719600000004"/>
    <n v="84136.119600000005"/>
    <s v="Q4-2024"/>
    <x v="18"/>
    <s v="High"/>
    <n v="40"/>
    <d v="2023-01-01T00:00:00"/>
    <d v="2024-11-01T00:00:00"/>
    <n v="0"/>
    <x v="10"/>
  </r>
  <r>
    <s v="ORD-2024-787018"/>
    <d v="2024-06-23T00:00:00"/>
    <d v="2024-06-28T00:00:00"/>
    <s v="OK"/>
    <d v="2024-06-28T00:00:00"/>
    <n v="5"/>
    <x v="0"/>
    <x v="1"/>
    <s v="Port Harcourt"/>
    <s v="Non-Profit"/>
    <x v="4"/>
    <x v="12"/>
    <x v="6"/>
    <x v="465"/>
    <n v="242.31"/>
    <s v="OK"/>
    <n v="587.95000000000005"/>
    <n v="587.95000000000005"/>
    <n v="0.22900000000000001"/>
    <s v="OK"/>
    <n v="0.22900000000000001"/>
    <n v="1"/>
    <n v="0.46546448568411714"/>
    <n v="1453.8600000000001"/>
    <n v="1265.9967000000001"/>
    <n v="2719.8567000000003"/>
    <s v="Q2-2024"/>
    <x v="17"/>
    <s v="Low"/>
    <n v="6"/>
    <d v="2023-01-01T00:00:00"/>
    <d v="2024-06-01T00:00:00"/>
    <n v="1"/>
    <x v="17"/>
  </r>
  <r>
    <s v="ORD-2023-728177"/>
    <d v="2023-12-18T00:00:00"/>
    <d v="2024-01-14T00:00:00"/>
    <s v="OK"/>
    <d v="2024-01-14T00:00:00"/>
    <n v="27"/>
    <x v="1"/>
    <x v="4"/>
    <s v="Mumbai"/>
    <s v="Consumer"/>
    <x v="3"/>
    <x v="14"/>
    <x v="2"/>
    <x v="466"/>
    <n v="1408.3"/>
    <s v="OK"/>
    <n v="2193.13"/>
    <n v="2193.13"/>
    <n v="7.0999999999999994E-2"/>
    <s v="OK"/>
    <n v="7.0999999999999994E-2"/>
    <n v="0"/>
    <n v="0.30878191957656281"/>
    <n v="9858.1"/>
    <n v="4403.8243899999998"/>
    <n v="14261.92439"/>
    <s v="Q4-2023"/>
    <x v="4"/>
    <s v="High"/>
    <n v="7"/>
    <d v="2023-01-01T00:00:00"/>
    <d v="2023-12-01T00:00:00"/>
    <n v="0"/>
    <x v="27"/>
  </r>
  <r>
    <s v="ORD-2025-795385"/>
    <d v="2025-06-01T00:00:00"/>
    <d v="2025-06-05T00:00:00"/>
    <s v="OK"/>
    <d v="2025-06-05T00:00:00"/>
    <n v="4"/>
    <x v="3"/>
    <x v="6"/>
    <s v="Munich"/>
    <s v="Enterprise"/>
    <x v="4"/>
    <x v="12"/>
    <x v="0"/>
    <x v="467"/>
    <n v="1171.42"/>
    <s v="OK"/>
    <n v="2187.8000000000002"/>
    <n v="2187.8000000000002"/>
    <n v="0.23"/>
    <s v="OK"/>
    <n v="0.23"/>
    <n v="1"/>
    <n v="0.30463265594447592"/>
    <n v="17571.300000000003"/>
    <n v="7697.7899999999972"/>
    <n v="25269.09"/>
    <s v="Q2-2025"/>
    <x v="16"/>
    <s v="High"/>
    <n v="15"/>
    <d v="2023-01-01T00:00:00"/>
    <d v="2025-06-01T00:00:00"/>
    <n v="1"/>
    <x v="16"/>
  </r>
  <r>
    <s v="ORD-2025-947929"/>
    <d v="2025-03-23T00:00:00"/>
    <d v="2025-04-02T00:00:00"/>
    <s v="OK"/>
    <d v="2025-04-02T00:00:00"/>
    <n v="10"/>
    <x v="3"/>
    <x v="6"/>
    <s v="Berlin"/>
    <s v="Enterprise"/>
    <x v="1"/>
    <x v="6"/>
    <x v="1"/>
    <x v="468"/>
    <n v="663.61"/>
    <s v="OK"/>
    <n v="1002.11"/>
    <n v="1002.11"/>
    <n v="4.5999999999999999E-2"/>
    <s v="OK"/>
    <n v="4.5999999999999999E-2"/>
    <n v="0"/>
    <n v="0.30585667595670812"/>
    <n v="11281.37"/>
    <n v="4970.8499799999972"/>
    <n v="16252.219979999998"/>
    <s v="Q1-2025"/>
    <x v="3"/>
    <s v="Medium"/>
    <n v="17"/>
    <d v="2023-01-01T00:00:00"/>
    <d v="2025-03-01T00:00:00"/>
    <n v="0"/>
    <x v="3"/>
  </r>
  <r>
    <s v="ORD-2023-931633"/>
    <d v="2023-05-14T00:00:00"/>
    <d v="2023-05-22T00:00:00"/>
    <s v="OK"/>
    <d v="2023-05-22T00:00:00"/>
    <n v="8"/>
    <x v="0"/>
    <x v="0"/>
    <s v="Mombasa"/>
    <s v="Small Business"/>
    <x v="3"/>
    <x v="9"/>
    <x v="1"/>
    <x v="469"/>
    <n v="432.01"/>
    <s v="OK"/>
    <n v="913.78"/>
    <n v="913.78"/>
    <n v="4.9000000000000002E-2"/>
    <s v="OK"/>
    <n v="4.9000000000000002E-2"/>
    <n v="0"/>
    <n v="0.50286809699711899"/>
    <n v="5184.12"/>
    <n v="5243.9373600000008"/>
    <n v="10428.057360000001"/>
    <s v="Q2-2023"/>
    <x v="15"/>
    <s v="Medium"/>
    <n v="12"/>
    <d v="2023-01-01T00:00:00"/>
    <d v="2023-05-01T00:00:00"/>
    <n v="0"/>
    <x v="15"/>
  </r>
  <r>
    <s v="ORD-2023-243704"/>
    <d v="2023-08-29T00:00:00"/>
    <d v="2023-09-19T00:00:00"/>
    <s v="OK"/>
    <d v="2023-09-19T00:00:00"/>
    <n v="21"/>
    <x v="3"/>
    <x v="7"/>
    <s v="Lyon"/>
    <s v="Small Business"/>
    <x v="4"/>
    <x v="5"/>
    <x v="1"/>
    <x v="470"/>
    <n v="784.46"/>
    <s v="OK"/>
    <n v="1843.51"/>
    <n v="1843.51"/>
    <n v="0.13800000000000001"/>
    <s v="OK"/>
    <n v="0.13800000000000001"/>
    <n v="0"/>
    <n v="0.50635125184441798"/>
    <n v="18042.580000000002"/>
    <n v="18506.849260000003"/>
    <n v="36549.429260000004"/>
    <s v="Q3-2023"/>
    <x v="25"/>
    <s v="Medium"/>
    <n v="23"/>
    <d v="2023-01-01T00:00:00"/>
    <d v="2023-08-01T00:00:00"/>
    <n v="0"/>
    <x v="25"/>
  </r>
  <r>
    <s v="ORD-2025-779659"/>
    <d v="2025-07-03T00:00:00"/>
    <d v="2025-07-23T00:00:00"/>
    <s v="OK"/>
    <d v="2025-07-23T00:00:00"/>
    <n v="20"/>
    <x v="1"/>
    <x v="9"/>
    <s v="Beijing"/>
    <s v="Small Business"/>
    <x v="1"/>
    <x v="12"/>
    <x v="0"/>
    <x v="471"/>
    <n v="647.36"/>
    <s v="OK"/>
    <n v="1383.6"/>
    <n v="1383.6"/>
    <n v="7.3999999999999996E-2"/>
    <s v="OK"/>
    <n v="7.3999999999999996E-2"/>
    <n v="0"/>
    <n v="0.49472906000997802"/>
    <n v="7768.32"/>
    <n v="7606.243199999999"/>
    <n v="15374.563199999999"/>
    <s v="Q3-2025"/>
    <x v="13"/>
    <s v="Medium"/>
    <n v="12"/>
    <d v="2023-01-01T00:00:00"/>
    <d v="2025-07-01T00:00:00"/>
    <n v="0"/>
    <x v="13"/>
  </r>
  <r>
    <s v="ORD-2024-647571"/>
    <d v="2024-02-06T00:00:00"/>
    <d v="2024-02-28T00:00:00"/>
    <s v="OK"/>
    <d v="2024-02-28T00:00:00"/>
    <n v="22"/>
    <x v="0"/>
    <x v="0"/>
    <s v="Kisumu"/>
    <s v="Non-Profit"/>
    <x v="1"/>
    <x v="11"/>
    <x v="5"/>
    <x v="472"/>
    <n v="834.93"/>
    <s v="OK"/>
    <n v="1588.53"/>
    <n v="1588.53"/>
    <n v="0.126"/>
    <s v="OK"/>
    <n v="0.126"/>
    <n v="0"/>
    <n v="0.39862798761274343"/>
    <n v="5009.58"/>
    <n v="3320.6713199999995"/>
    <n v="8330.2513199999994"/>
    <s v="Q1-2024"/>
    <x v="31"/>
    <s v="Medium"/>
    <n v="6"/>
    <d v="2023-01-01T00:00:00"/>
    <d v="2024-02-01T00:00:00"/>
    <n v="0"/>
    <x v="32"/>
  </r>
  <r>
    <s v="ORD-2025-683043"/>
    <d v="2025-08-13T00:00:00"/>
    <d v="2025-09-03T00:00:00"/>
    <s v="OK"/>
    <d v="2025-09-03T00:00:00"/>
    <n v="21"/>
    <x v="3"/>
    <x v="7"/>
    <s v="Paris"/>
    <s v="Education"/>
    <x v="0"/>
    <x v="2"/>
    <x v="3"/>
    <x v="473"/>
    <n v="603.47"/>
    <s v="OK"/>
    <n v="1344.05"/>
    <n v="1344.05"/>
    <n v="0.20499999999999999"/>
    <s v="OK"/>
    <n v="0.20499999999999999"/>
    <n v="1"/>
    <n v="0.43522803392262976"/>
    <n v="10862.460000000001"/>
    <n v="8370.8954999999969"/>
    <n v="19233.355499999998"/>
    <s v="Q3-2025"/>
    <x v="28"/>
    <s v="Medium"/>
    <n v="18"/>
    <d v="2023-01-01T00:00:00"/>
    <d v="2025-08-01T00:00:00"/>
    <n v="0"/>
    <x v="29"/>
  </r>
  <r>
    <s v="ORD-2023-588455"/>
    <d v="2023-05-23T00:00:00"/>
    <d v="2023-05-25T00:00:00"/>
    <s v="OK"/>
    <d v="2023-05-25T00:00:00"/>
    <n v="2"/>
    <x v="2"/>
    <x v="5"/>
    <s v="Rio de Janeiro"/>
    <s v="Enterprise"/>
    <x v="0"/>
    <x v="12"/>
    <x v="1"/>
    <x v="474"/>
    <n v="690.49"/>
    <s v="OK"/>
    <n v="1290.29"/>
    <n v="1290.29"/>
    <n v="4.2000000000000003E-2"/>
    <s v="OK"/>
    <n v="4.2000000000000003E-2"/>
    <n v="0"/>
    <n v="0.44139534199647718"/>
    <n v="15190.78"/>
    <n v="12003.372039999997"/>
    <n v="27194.152039999997"/>
    <s v="Q2-2023"/>
    <x v="15"/>
    <s v="Medium"/>
    <n v="22"/>
    <d v="2023-01-01T00:00:00"/>
    <d v="2023-05-01T00:00:00"/>
    <n v="1"/>
    <x v="15"/>
  </r>
  <r>
    <s v="ORD-2024-641220"/>
    <d v="2024-05-10T00:00:00"/>
    <d v="2024-05-16T00:00:00"/>
    <s v="OK"/>
    <d v="2024-05-16T00:00:00"/>
    <n v="6"/>
    <x v="3"/>
    <x v="8"/>
    <s v="Birmingham"/>
    <s v="Non-Profit"/>
    <x v="4"/>
    <x v="3"/>
    <x v="4"/>
    <x v="475"/>
    <n v="210.76"/>
    <s v="OK"/>
    <n v="221.58"/>
    <n v="221.58"/>
    <n v="8.8999999999999996E-2"/>
    <s v="OK"/>
    <n v="8.8999999999999996E-2"/>
    <n v="0"/>
    <n v="-4.4093170205912434E-2"/>
    <n v="1053.8"/>
    <n v="-44.50309999999979"/>
    <n v="1009.2969000000002"/>
    <s v="Q2-2024"/>
    <x v="7"/>
    <s v="Low"/>
    <n v="5"/>
    <d v="2023-01-01T00:00:00"/>
    <d v="2024-05-01T00:00:00"/>
    <n v="1"/>
    <x v="7"/>
  </r>
  <r>
    <s v="ORD-2023-799597"/>
    <d v="2023-03-14T00:00:00"/>
    <d v="2023-03-18T00:00:00"/>
    <s v="OK"/>
    <d v="2023-03-18T00:00:00"/>
    <n v="4"/>
    <x v="3"/>
    <x v="6"/>
    <s v="Frankfurt"/>
    <s v="Enterprise"/>
    <x v="4"/>
    <x v="8"/>
    <x v="0"/>
    <x v="476"/>
    <n v="472.33"/>
    <s v="OK"/>
    <n v="360.34"/>
    <n v="360.34"/>
    <n v="0.16500000000000001"/>
    <s v="OK"/>
    <n v="0.16500000000000001"/>
    <n v="0"/>
    <n v="-0.56980815523861561"/>
    <n v="6612.62"/>
    <n v="-2400.2454000000007"/>
    <n v="4212.3745999999992"/>
    <s v="Q1-2023"/>
    <x v="22"/>
    <s v="Low"/>
    <n v="14"/>
    <d v="2023-01-01T00:00:00"/>
    <d v="2023-03-01T00:00:00"/>
    <n v="1"/>
    <x v="21"/>
  </r>
  <r>
    <s v="ORD-2023-569862"/>
    <d v="2023-07-16T00:00:00"/>
    <d v="2023-08-13T00:00:00"/>
    <s v="OK"/>
    <d v="2023-08-13T00:00:00"/>
    <n v="28"/>
    <x v="3"/>
    <x v="8"/>
    <s v="Manchester"/>
    <s v="Non-Profit"/>
    <x v="1"/>
    <x v="1"/>
    <x v="4"/>
    <x v="477"/>
    <n v="1039.03"/>
    <s v="OK"/>
    <n v="2545.81"/>
    <n v="2545.81"/>
    <n v="0.216"/>
    <s v="OK"/>
    <n v="0.216"/>
    <n v="1"/>
    <n v="0.47942172929364774"/>
    <n v="21819.63"/>
    <n v="20094.585840000003"/>
    <n v="41914.215840000004"/>
    <s v="Q3-2023"/>
    <x v="24"/>
    <s v="High"/>
    <n v="21"/>
    <d v="2023-01-01T00:00:00"/>
    <d v="2023-07-01T00:00:00"/>
    <n v="0"/>
    <x v="23"/>
  </r>
  <r>
    <s v="ORD-2023-609394"/>
    <d v="2023-04-16T00:00:00"/>
    <d v="2023-04-19T00:00:00"/>
    <s v="OK"/>
    <d v="2023-04-19T00:00:00"/>
    <n v="3"/>
    <x v="3"/>
    <x v="6"/>
    <s v="Munich"/>
    <s v="Corporate"/>
    <x v="4"/>
    <x v="5"/>
    <x v="6"/>
    <x v="478"/>
    <n v="553.61"/>
    <s v="OK"/>
    <n v="699.47"/>
    <n v="699.47"/>
    <n v="0.02"/>
    <s v="OK"/>
    <n v="0.02"/>
    <n v="0"/>
    <n v="0.19237685209472014"/>
    <n v="18269.13"/>
    <n v="4351.729800000001"/>
    <n v="22620.859800000002"/>
    <s v="Q2-2023"/>
    <x v="12"/>
    <s v="Medium"/>
    <n v="33"/>
    <d v="2023-01-01T00:00:00"/>
    <d v="2023-04-01T00:00:00"/>
    <n v="1"/>
    <x v="12"/>
  </r>
  <r>
    <s v="ORD-2024-105586"/>
    <d v="2024-01-02T00:00:00"/>
    <d v="2024-01-15T00:00:00"/>
    <s v="OK"/>
    <d v="2024-01-15T00:00:00"/>
    <n v="13"/>
    <x v="1"/>
    <x v="2"/>
    <s v="Nagoya"/>
    <s v="Small Business"/>
    <x v="2"/>
    <x v="3"/>
    <x v="2"/>
    <x v="479"/>
    <n v="1219.06"/>
    <s v="OK"/>
    <n v="2738.69"/>
    <n v="2738.69"/>
    <n v="7.5999999999999998E-2"/>
    <s v="OK"/>
    <n v="7.5999999999999998E-2"/>
    <n v="0"/>
    <n v="0.51826274447673737"/>
    <n v="19504.96"/>
    <n v="20983.832960000007"/>
    <n v="40488.792960000006"/>
    <s v="Q1-2024"/>
    <x v="9"/>
    <s v="High"/>
    <n v="16"/>
    <d v="2023-03-01T00:00:00"/>
    <d v="2024-01-01T00:00:00"/>
    <n v="0"/>
    <x v="31"/>
  </r>
  <r>
    <s v="ORD-2024-207792"/>
    <d v="2024-09-03T00:00:00"/>
    <d v="2024-09-07T00:00:00"/>
    <s v="OK"/>
    <d v="2024-09-07T00:00:00"/>
    <n v="4"/>
    <x v="1"/>
    <x v="2"/>
    <s v="Tokyo"/>
    <s v="Small Business"/>
    <x v="3"/>
    <x v="13"/>
    <x v="1"/>
    <x v="480"/>
    <n v="43.23"/>
    <s v="OK"/>
    <n v="94.78"/>
    <n v="94.78"/>
    <n v="9.0999999999999998E-2"/>
    <s v="OK"/>
    <n v="9.0999999999999998E-2"/>
    <n v="0"/>
    <n v="0.49823005090127082"/>
    <n v="2377.6499999999996"/>
    <n v="2360.8761000000004"/>
    <n v="4738.5261"/>
    <s v="Q3-2024"/>
    <x v="29"/>
    <s v="Low"/>
    <n v="55"/>
    <d v="2023-03-01T00:00:00"/>
    <d v="2024-09-01T00:00:00"/>
    <n v="1"/>
    <x v="14"/>
  </r>
  <r>
    <s v="ORD-2025-417336"/>
    <d v="2025-08-30T00:00:00"/>
    <d v="2025-09-03T00:00:00"/>
    <s v="OK"/>
    <d v="2025-09-03T00:00:00"/>
    <n v="4"/>
    <x v="3"/>
    <x v="7"/>
    <s v="Marseille"/>
    <s v="Small Business"/>
    <x v="2"/>
    <x v="1"/>
    <x v="4"/>
    <x v="481"/>
    <n v="1286.56"/>
    <s v="OK"/>
    <n v="2777.35"/>
    <n v="2777.35"/>
    <n v="0.13200000000000001"/>
    <s v="OK"/>
    <n v="0.13200000000000001"/>
    <n v="0"/>
    <n v="0.46632150014696744"/>
    <n v="19298.399999999998"/>
    <n v="16862.697000000004"/>
    <n v="36161.097000000002"/>
    <s v="Q3-2025"/>
    <x v="28"/>
    <s v="High"/>
    <n v="15"/>
    <d v="2023-01-01T00:00:00"/>
    <d v="2025-08-01T00:00:00"/>
    <n v="1"/>
    <x v="29"/>
  </r>
  <r>
    <s v="ORD-2025-252117"/>
    <d v="2025-04-28T00:00:00"/>
    <d v="2025-05-19T00:00:00"/>
    <s v="OK"/>
    <d v="2025-05-19T00:00:00"/>
    <n v="21"/>
    <x v="3"/>
    <x v="6"/>
    <s v="Berlin"/>
    <s v="Corporate"/>
    <x v="3"/>
    <x v="5"/>
    <x v="3"/>
    <x v="482"/>
    <n v="350.76"/>
    <s v="OK"/>
    <n v="492.18"/>
    <n v="492.18"/>
    <n v="5.2999999999999999E-2"/>
    <s v="OK"/>
    <n v="5.2999999999999999E-2"/>
    <n v="0"/>
    <n v="0.24744868239798437"/>
    <n v="3858.3599999999997"/>
    <n v="1268.6790600000004"/>
    <n v="5127.0390600000001"/>
    <s v="Q2-2025"/>
    <x v="19"/>
    <s v="Low"/>
    <n v="11"/>
    <d v="2023-01-01T00:00:00"/>
    <d v="2025-04-01T00:00:00"/>
    <n v="0"/>
    <x v="18"/>
  </r>
  <r>
    <s v="ORD-2023-867175"/>
    <d v="2023-08-10T00:00:00"/>
    <d v="2023-08-15T00:00:00"/>
    <s v="OK"/>
    <d v="2023-08-15T00:00:00"/>
    <n v="5"/>
    <x v="2"/>
    <x v="5"/>
    <s v="São Paulo"/>
    <s v="Education"/>
    <x v="4"/>
    <x v="3"/>
    <x v="2"/>
    <x v="483"/>
    <n v="1307.52"/>
    <s v="OK"/>
    <n v="1921.65"/>
    <n v="1921.65"/>
    <n v="0.123"/>
    <s v="OK"/>
    <n v="0.123"/>
    <n v="0"/>
    <n v="0.22415590863289445"/>
    <n v="16997.759999999998"/>
    <n v="4910.9716500000031"/>
    <n v="21908.731650000002"/>
    <s v="Q3-2023"/>
    <x v="25"/>
    <s v="High"/>
    <n v="13"/>
    <d v="2023-01-01T00:00:00"/>
    <d v="2023-08-01T00:00:00"/>
    <n v="1"/>
    <x v="25"/>
  </r>
  <r>
    <s v="ORD-2024-382152"/>
    <d v="2024-12-08T00:00:00"/>
    <d v="2024-12-08T00:00:00"/>
    <s v="OK"/>
    <d v="2024-12-08T00:00:00"/>
    <n v="0"/>
    <x v="3"/>
    <x v="7"/>
    <s v="Lyon"/>
    <s v="Enterprise"/>
    <x v="0"/>
    <x v="10"/>
    <x v="0"/>
    <x v="484"/>
    <n v="257.44"/>
    <s v="OK"/>
    <n v="290.33"/>
    <n v="290.33"/>
    <n v="9.1999999999999998E-2"/>
    <s v="OK"/>
    <n v="9.1999999999999998E-2"/>
    <n v="0"/>
    <n v="2.3441500792581216E-2"/>
    <n v="5921.12"/>
    <n v="142.1317199999994"/>
    <n v="6063.2517199999993"/>
    <s v="Q4-2024"/>
    <x v="6"/>
    <s v="Low"/>
    <n v="23"/>
    <d v="2023-01-01T00:00:00"/>
    <d v="2024-12-01T00:00:00"/>
    <n v="1"/>
    <x v="6"/>
  </r>
  <r>
    <s v="ORD-2023-597666"/>
    <d v="2023-10-25T00:00:00"/>
    <d v="2023-11-24T00:00:00"/>
    <s v="OK"/>
    <d v="2023-11-24T00:00:00"/>
    <n v="30"/>
    <x v="3"/>
    <x v="7"/>
    <s v="Paris"/>
    <s v="Enterprise"/>
    <x v="3"/>
    <x v="0"/>
    <x v="3"/>
    <x v="485"/>
    <n v="287.85000000000002"/>
    <s v="OK"/>
    <n v="602.91999999999996"/>
    <n v="602.91999999999996"/>
    <n v="0.222"/>
    <s v="OK"/>
    <n v="0.222"/>
    <n v="1"/>
    <n v="0.38634122847216373"/>
    <n v="3166.3500000000004"/>
    <n v="1993.4393599999994"/>
    <n v="5159.7893599999998"/>
    <s v="Q4-2023"/>
    <x v="32"/>
    <s v="Low"/>
    <n v="11"/>
    <d v="2023-01-01T00:00:00"/>
    <d v="2023-10-01T00:00:00"/>
    <n v="0"/>
    <x v="4"/>
  </r>
  <r>
    <s v="ORD-2024-371409"/>
    <d v="2024-11-17T00:00:00"/>
    <d v="2024-11-28T00:00:00"/>
    <s v="OK"/>
    <d v="2024-11-28T00:00:00"/>
    <n v="11"/>
    <x v="2"/>
    <x v="3"/>
    <s v="Unkown"/>
    <s v="Consumer"/>
    <x v="3"/>
    <x v="8"/>
    <x v="1"/>
    <x v="486"/>
    <n v="1008.16"/>
    <s v="OK"/>
    <n v="2077.5"/>
    <n v="2077.5"/>
    <n v="7.3999999999999996E-2"/>
    <s v="OK"/>
    <n v="7.3999999999999996E-2"/>
    <n v="0"/>
    <n v="0.47594430712691005"/>
    <n v="15122.4"/>
    <n v="13734.075000000003"/>
    <n v="28856.475000000002"/>
    <s v="Q4-2024"/>
    <x v="18"/>
    <s v="High"/>
    <n v="15"/>
    <d v="2023-01-01T00:00:00"/>
    <d v="2024-11-01T00:00:00"/>
    <n v="0"/>
    <x v="10"/>
  </r>
  <r>
    <s v="ORD-2024-973420"/>
    <d v="2024-05-12T00:00:00"/>
    <d v="2024-05-24T00:00:00"/>
    <s v="OK"/>
    <d v="2024-05-24T00:00:00"/>
    <n v="12"/>
    <x v="3"/>
    <x v="8"/>
    <s v="Manchester"/>
    <s v="Education"/>
    <x v="2"/>
    <x v="11"/>
    <x v="1"/>
    <x v="487"/>
    <n v="111.02"/>
    <s v="OK"/>
    <n v="172.88"/>
    <n v="172.88"/>
    <n v="0.19700000000000001"/>
    <s v="OK"/>
    <n v="0.19700000000000001"/>
    <n v="0"/>
    <n v="0.20027453735212053"/>
    <n v="3219.58"/>
    <n v="806.27655999999934"/>
    <n v="4025.8565599999993"/>
    <s v="Q2-2024"/>
    <x v="7"/>
    <s v="Low"/>
    <n v="29"/>
    <d v="2023-01-01T00:00:00"/>
    <d v="2024-05-01T00:00:00"/>
    <n v="0"/>
    <x v="7"/>
  </r>
  <r>
    <s v="ORD-2025-254721"/>
    <d v="2025-05-15T00:00:00"/>
    <d v="2025-06-05T00:00:00"/>
    <s v="OK"/>
    <d v="2025-06-05T00:00:00"/>
    <n v="21"/>
    <x v="1"/>
    <x v="2"/>
    <s v="Osaka"/>
    <s v="Enterprise"/>
    <x v="4"/>
    <x v="10"/>
    <x v="3"/>
    <x v="488"/>
    <n v="1466.5"/>
    <s v="OK"/>
    <n v="2778.74"/>
    <n v="2778.74"/>
    <n v="0.13500000000000001"/>
    <s v="OK"/>
    <n v="0.13500000000000001"/>
    <n v="0"/>
    <n v="0.38987608680792279"/>
    <n v="5866"/>
    <n v="3748.4403999999995"/>
    <n v="9614.4403999999995"/>
    <s v="Q2-2025"/>
    <x v="8"/>
    <s v="High"/>
    <n v="4"/>
    <d v="2023-03-01T00:00:00"/>
    <d v="2025-05-01T00:00:00"/>
    <n v="0"/>
    <x v="3"/>
  </r>
  <r>
    <s v="ORD-2024-247032"/>
    <d v="2024-04-21T00:00:00"/>
    <d v="2024-05-19T00:00:00"/>
    <s v="OK"/>
    <d v="2024-05-19T00:00:00"/>
    <n v="28"/>
    <x v="0"/>
    <x v="1"/>
    <s v="Lagos"/>
    <s v="Corporate"/>
    <x v="3"/>
    <x v="8"/>
    <x v="6"/>
    <x v="489"/>
    <n v="187.22"/>
    <s v="OK"/>
    <n v="309.47000000000003"/>
    <n v="309.47000000000003"/>
    <n v="0"/>
    <s v="OK"/>
    <n v="0"/>
    <n v="0"/>
    <n v="0.39503021294471197"/>
    <n v="936.1"/>
    <n v="611.25000000000011"/>
    <n v="1547.3500000000001"/>
    <s v="Q2-2024"/>
    <x v="20"/>
    <s v="Low"/>
    <n v="5"/>
    <d v="2023-01-01T00:00:00"/>
    <d v="2024-04-01T00:00:00"/>
    <n v="0"/>
    <x v="19"/>
  </r>
  <r>
    <s v="ORD-2024-792353"/>
    <d v="2024-08-19T00:00:00"/>
    <d v="2024-09-07T00:00:00"/>
    <s v="OK"/>
    <d v="2024-09-07T00:00:00"/>
    <n v="19"/>
    <x v="3"/>
    <x v="7"/>
    <s v="Lyon"/>
    <s v="Corporate"/>
    <x v="4"/>
    <x v="1"/>
    <x v="0"/>
    <x v="490"/>
    <n v="297.58999999999997"/>
    <s v="OK"/>
    <n v="666.41"/>
    <n v="666.41"/>
    <n v="0"/>
    <s v="OK"/>
    <n v="0"/>
    <n v="0"/>
    <n v="0.55344307558409989"/>
    <n v="2975.8999999999996"/>
    <n v="3688.2"/>
    <n v="6664.0999999999995"/>
    <s v="Q3-2024"/>
    <x v="21"/>
    <s v="Medium"/>
    <n v="10"/>
    <d v="2023-01-01T00:00:00"/>
    <d v="2024-08-01T00:00:00"/>
    <n v="0"/>
    <x v="20"/>
  </r>
  <r>
    <s v="ORD-2025-703623"/>
    <d v="2025-07-23T00:00:00"/>
    <d v="2025-08-19T00:00:00"/>
    <s v="OK"/>
    <d v="2025-08-19T00:00:00"/>
    <n v="27"/>
    <x v="1"/>
    <x v="2"/>
    <s v="Nagoya"/>
    <s v="Consumer"/>
    <x v="2"/>
    <x v="5"/>
    <x v="6"/>
    <x v="491"/>
    <n v="896.09"/>
    <s v="OK"/>
    <n v="744.27"/>
    <n v="744.27"/>
    <n v="8.3000000000000004E-2"/>
    <s v="OK"/>
    <n v="8.3000000000000004E-2"/>
    <n v="0"/>
    <n v="-0.31296086469950679"/>
    <n v="9856.99"/>
    <n v="-2349.5385100000003"/>
    <n v="7507.4514899999995"/>
    <s v="Q3-2025"/>
    <x v="13"/>
    <s v="Medium"/>
    <n v="11"/>
    <d v="2023-03-01T00:00:00"/>
    <d v="2025-07-01T00:00:00"/>
    <n v="0"/>
    <x v="8"/>
  </r>
  <r>
    <s v="ORD-2024-516704"/>
    <d v="2024-03-01T00:00:00"/>
    <d v="2024-03-08T00:00:00"/>
    <s v="Check"/>
    <d v="2024-02-29T00:00:00"/>
    <n v="7"/>
    <x v="2"/>
    <x v="5"/>
    <s v="São Paulo"/>
    <s v="Non-Profit"/>
    <x v="4"/>
    <x v="2"/>
    <x v="3"/>
    <x v="492"/>
    <n v="5.34"/>
    <s v="OK"/>
    <n v="12.69"/>
    <n v="12.69"/>
    <n v="0.13200000000000001"/>
    <s v="OK"/>
    <n v="0.13200000000000001"/>
    <n v="0"/>
    <n v="0.51520301554618642"/>
    <n v="53.4"/>
    <n v="56.749199999999995"/>
    <n v="110.14919999999999"/>
    <s v="Q1-2024"/>
    <x v="0"/>
    <s v="Low"/>
    <n v="10"/>
    <d v="2023-01-01T00:00:00"/>
    <d v="2024-03-01T00:00:00"/>
    <n v="1"/>
    <x v="0"/>
  </r>
  <r>
    <s v="ORD-2024-578646"/>
    <d v="2024-05-27T00:00:00"/>
    <d v="2024-06-17T00:00:00"/>
    <s v="OK"/>
    <d v="2024-06-17T00:00:00"/>
    <n v="21"/>
    <x v="1"/>
    <x v="4"/>
    <s v="Delhi"/>
    <s v="Small Business"/>
    <x v="1"/>
    <x v="10"/>
    <x v="6"/>
    <x v="493"/>
    <n v="465.02"/>
    <s v="OK"/>
    <n v="651.55999999999995"/>
    <n v="651.55999999999995"/>
    <n v="4.2000000000000003E-2"/>
    <s v="OK"/>
    <n v="4.2000000000000003E-2"/>
    <n v="0"/>
    <n v="0.25500783025187918"/>
    <n v="8835.3799999999992"/>
    <n v="3024.3151199999993"/>
    <n v="11859.695119999998"/>
    <s v="Q2-2024"/>
    <x v="7"/>
    <s v="Medium"/>
    <n v="19"/>
    <d v="2023-01-01T00:00:00"/>
    <d v="2024-05-01T00:00:00"/>
    <n v="0"/>
    <x v="7"/>
  </r>
  <r>
    <s v="ORD-2024-433936"/>
    <d v="2024-08-04T00:00:00"/>
    <d v="2024-08-17T00:00:00"/>
    <s v="OK"/>
    <d v="2024-08-17T00:00:00"/>
    <n v="13"/>
    <x v="2"/>
    <x v="10"/>
    <s v="Austin"/>
    <s v="Consumer"/>
    <x v="0"/>
    <x v="14"/>
    <x v="5"/>
    <x v="494"/>
    <n v="352.79"/>
    <s v="OK"/>
    <n v="754.22"/>
    <n v="754.22"/>
    <n v="0.113"/>
    <s v="OK"/>
    <n v="0.113"/>
    <n v="0"/>
    <n v="0.47265528014233443"/>
    <n v="2469.5300000000002"/>
    <n v="2213.4219799999996"/>
    <n v="4682.9519799999998"/>
    <s v="Q3-2024"/>
    <x v="21"/>
    <s v="Medium"/>
    <n v="7"/>
    <d v="2023-01-01T00:00:00"/>
    <d v="2024-08-01T00:00:00"/>
    <n v="0"/>
    <x v="20"/>
  </r>
  <r>
    <s v="ORD-2023-434071"/>
    <d v="2023-06-20T00:00:00"/>
    <d v="2023-07-04T00:00:00"/>
    <s v="OK"/>
    <d v="2023-07-04T00:00:00"/>
    <n v="14"/>
    <x v="2"/>
    <x v="5"/>
    <s v="Brasília"/>
    <s v="Non-Profit"/>
    <x v="4"/>
    <x v="0"/>
    <x v="2"/>
    <x v="495"/>
    <n v="1292.8599999999999"/>
    <s v="OK"/>
    <n v="2981.01"/>
    <n v="2981.01"/>
    <n v="0.14199999999999999"/>
    <s v="OK"/>
    <n v="0.14199999999999999"/>
    <n v="0"/>
    <n v="0.49452372288927687"/>
    <n v="15514.32"/>
    <n v="15178.158960000001"/>
    <n v="30692.47896"/>
    <s v="Q2-2023"/>
    <x v="23"/>
    <s v="High"/>
    <n v="12"/>
    <d v="2023-01-01T00:00:00"/>
    <d v="2023-06-01T00:00:00"/>
    <n v="0"/>
    <x v="22"/>
  </r>
  <r>
    <s v="ORD-2024-728474"/>
    <d v="2024-09-09T00:00:00"/>
    <d v="2024-09-13T00:00:00"/>
    <s v="OK"/>
    <d v="2024-09-13T00:00:00"/>
    <n v="4"/>
    <x v="3"/>
    <x v="8"/>
    <s v="London"/>
    <s v="Consumer"/>
    <x v="2"/>
    <x v="9"/>
    <x v="2"/>
    <x v="496"/>
    <n v="1133.08"/>
    <s v="OK"/>
    <n v="976.17"/>
    <n v="976.17"/>
    <n v="4.2000000000000003E-2"/>
    <s v="OK"/>
    <n v="4.2000000000000003E-2"/>
    <n v="0"/>
    <n v="-0.21162885678452373"/>
    <n v="30593.159999999996"/>
    <n v="-5343.5467799999969"/>
    <n v="25249.613219999999"/>
    <s v="Q3-2024"/>
    <x v="29"/>
    <s v="Medium"/>
    <n v="27"/>
    <d v="2023-01-01T00:00:00"/>
    <d v="2024-09-01T00:00:00"/>
    <n v="1"/>
    <x v="30"/>
  </r>
  <r>
    <s v="ORD-2023-406606"/>
    <d v="2023-10-25T00:00:00"/>
    <d v="2023-10-28T00:00:00"/>
    <s v="OK"/>
    <d v="2023-10-28T00:00:00"/>
    <n v="3"/>
    <x v="2"/>
    <x v="5"/>
    <s v="Brasília"/>
    <s v="Corporate"/>
    <x v="3"/>
    <x v="4"/>
    <x v="6"/>
    <x v="497"/>
    <n v="509.31"/>
    <s v="OK"/>
    <n v="1145.9000000000001"/>
    <n v="1145.9000000000001"/>
    <n v="5.7000000000000002E-2"/>
    <s v="OK"/>
    <n v="5.7000000000000002E-2"/>
    <n v="0"/>
    <n v="0.52867140231709964"/>
    <n v="4074.48"/>
    <n v="4570.1896000000015"/>
    <n v="8644.6696000000011"/>
    <s v="Q4-2023"/>
    <x v="32"/>
    <s v="Medium"/>
    <n v="8"/>
    <d v="2023-01-01T00:00:00"/>
    <d v="2023-10-01T00:00:00"/>
    <n v="1"/>
    <x v="4"/>
  </r>
  <r>
    <s v="ORD-2025-823055"/>
    <d v="2025-09-08T00:00:00"/>
    <d v="2025-10-05T00:00:00"/>
    <s v="OK"/>
    <d v="2025-10-05T00:00:00"/>
    <n v="27"/>
    <x v="2"/>
    <x v="5"/>
    <s v="Rio de Janeiro"/>
    <s v="Education"/>
    <x v="1"/>
    <x v="0"/>
    <x v="5"/>
    <x v="498"/>
    <n v="660.78"/>
    <s v="OK"/>
    <n v="1630.39"/>
    <n v="1630.39"/>
    <n v="0.218"/>
    <s v="OK"/>
    <n v="0.218"/>
    <n v="1"/>
    <n v="0.48172694123724097"/>
    <n v="8590.14"/>
    <n v="7984.4047400000018"/>
    <n v="16574.544740000001"/>
    <s v="Q3-2025"/>
    <x v="11"/>
    <s v="Medium"/>
    <n v="13"/>
    <d v="2023-01-01T00:00:00"/>
    <d v="2025-09-01T00:00:00"/>
    <n v="0"/>
    <x v="11"/>
  </r>
  <r>
    <s v="ORD-2023-573656"/>
    <d v="2023-05-02T00:00:00"/>
    <d v="2023-05-16T00:00:00"/>
    <s v="OK"/>
    <d v="2023-05-16T00:00:00"/>
    <n v="14"/>
    <x v="1"/>
    <x v="4"/>
    <s v="Bengaluru"/>
    <s v="Non-Profit"/>
    <x v="0"/>
    <x v="4"/>
    <x v="5"/>
    <x v="499"/>
    <n v="475.37"/>
    <s v="OK"/>
    <n v="963.73"/>
    <n v="963.73"/>
    <n v="4.1000000000000002E-2"/>
    <s v="OK"/>
    <n v="4.1000000000000002E-2"/>
    <n v="0"/>
    <n v="0.48565113604750881"/>
    <n v="10458.14"/>
    <n v="9874.6355399999993"/>
    <n v="20332.775539999999"/>
    <s v="Q2-2023"/>
    <x v="15"/>
    <s v="Medium"/>
    <n v="22"/>
    <d v="2023-01-01T00:00:00"/>
    <d v="2023-05-01T00:00:00"/>
    <n v="0"/>
    <x v="15"/>
  </r>
  <r>
    <s v="ORD-2024-567435"/>
    <d v="2024-04-26T00:00:00"/>
    <d v="2024-05-03T00:00:00"/>
    <s v="Check"/>
    <d v="2024-04-24T00:00:00"/>
    <n v="7"/>
    <x v="3"/>
    <x v="8"/>
    <s v="London"/>
    <s v="Non-Profit"/>
    <x v="3"/>
    <x v="13"/>
    <x v="3"/>
    <x v="500"/>
    <n v="1232.77"/>
    <s v="OK"/>
    <n v="891.73"/>
    <n v="891.73"/>
    <n v="0.16700000000000001"/>
    <s v="OK"/>
    <n v="0.16700000000000001"/>
    <n v="0"/>
    <n v="-0.65960096260813805"/>
    <n v="12327.7"/>
    <n v="-4899.589100000002"/>
    <n v="7428.1108999999988"/>
    <s v="Q2-2024"/>
    <x v="20"/>
    <s v="Medium"/>
    <n v="10"/>
    <d v="2023-01-01T00:00:00"/>
    <d v="2024-04-01T00:00:00"/>
    <n v="1"/>
    <x v="19"/>
  </r>
  <r>
    <s v="ORD-2023-744942"/>
    <d v="2023-02-23T00:00:00"/>
    <d v="2023-03-18T00:00:00"/>
    <s v="OK"/>
    <d v="2023-03-18T00:00:00"/>
    <n v="23"/>
    <x v="1"/>
    <x v="9"/>
    <s v="Beijing"/>
    <s v="Education"/>
    <x v="3"/>
    <x v="11"/>
    <x v="1"/>
    <x v="501"/>
    <n v="770.11"/>
    <s v="OK"/>
    <n v="1667.82"/>
    <n v="1667.82"/>
    <n v="6.9000000000000006E-2"/>
    <s v="OK"/>
    <n v="6.9000000000000006E-2"/>
    <n v="0"/>
    <n v="0.50403171703355287"/>
    <n v="5390.77"/>
    <n v="5478.4129400000002"/>
    <n v="10869.182940000001"/>
    <s v="Q1-2023"/>
    <x v="2"/>
    <s v="Medium"/>
    <n v="7"/>
    <d v="2023-01-01T00:00:00"/>
    <d v="2023-02-01T00:00:00"/>
    <n v="0"/>
    <x v="2"/>
  </r>
  <r>
    <s v="ORD-2025-331237"/>
    <d v="2025-03-24T00:00:00"/>
    <d v="2025-03-25T00:00:00"/>
    <s v="OK"/>
    <d v="2025-03-25T00:00:00"/>
    <n v="1"/>
    <x v="1"/>
    <x v="9"/>
    <s v="Beijing"/>
    <s v="Non-Profit"/>
    <x v="1"/>
    <x v="3"/>
    <x v="2"/>
    <x v="502"/>
    <n v="1133.03"/>
    <s v="OK"/>
    <n v="1921.51"/>
    <n v="1921.51"/>
    <n v="0.10100000000000001"/>
    <s v="OK"/>
    <n v="0.10100000000000001"/>
    <n v="0"/>
    <n v="0.3440978289755654"/>
    <n v="5665.15"/>
    <n v="2972.0374499999998"/>
    <n v="8637.1874499999994"/>
    <s v="Q1-2025"/>
    <x v="3"/>
    <s v="High"/>
    <n v="5"/>
    <d v="2023-01-01T00:00:00"/>
    <d v="2025-03-01T00:00:00"/>
    <n v="1"/>
    <x v="3"/>
  </r>
  <r>
    <s v="ORD-2025-680118"/>
    <d v="2025-03-10T00:00:00"/>
    <d v="2025-03-27T00:00:00"/>
    <s v="OK"/>
    <d v="2025-03-27T00:00:00"/>
    <n v="17"/>
    <x v="2"/>
    <x v="5"/>
    <s v="Rio de Janeiro"/>
    <s v="Enterprise"/>
    <x v="4"/>
    <x v="9"/>
    <x v="2"/>
    <x v="503"/>
    <n v="996.73"/>
    <s v="OK"/>
    <n v="1217.43"/>
    <n v="1217.43"/>
    <n v="7.0000000000000007E-2"/>
    <s v="OK"/>
    <n v="7.0000000000000007E-2"/>
    <n v="0"/>
    <n v="0.11965970267527255"/>
    <n v="8970.57"/>
    <n v="1219.3191000000006"/>
    <n v="10189.8891"/>
    <s v="Q1-2025"/>
    <x v="3"/>
    <s v="Medium"/>
    <n v="9"/>
    <d v="2023-01-01T00:00:00"/>
    <d v="2025-03-01T00:00:00"/>
    <n v="0"/>
    <x v="3"/>
  </r>
  <r>
    <s v="ORD-2024-310809"/>
    <d v="2024-04-05T00:00:00"/>
    <d v="2024-04-09T00:00:00"/>
    <s v="OK"/>
    <d v="2024-04-09T00:00:00"/>
    <n v="4"/>
    <x v="0"/>
    <x v="1"/>
    <s v="Lagos"/>
    <s v="Non-Profit"/>
    <x v="4"/>
    <x v="11"/>
    <x v="0"/>
    <x v="504"/>
    <n v="395.07"/>
    <s v="OK"/>
    <n v="970.27"/>
    <n v="970.27"/>
    <n v="0.123"/>
    <s v="OK"/>
    <n v="0.123"/>
    <n v="0"/>
    <n v="0.53571799049833657"/>
    <n v="15012.66"/>
    <n v="17322.55802"/>
    <n v="32335.21802"/>
    <s v="Q2-2024"/>
    <x v="20"/>
    <s v="Medium"/>
    <n v="38"/>
    <d v="2023-01-01T00:00:00"/>
    <d v="2024-04-01T00:00:00"/>
    <n v="1"/>
    <x v="19"/>
  </r>
  <r>
    <s v="ORD-2025-474368"/>
    <d v="2025-04-27T00:00:00"/>
    <d v="2025-05-17T00:00:00"/>
    <s v="OK"/>
    <d v="2025-05-17T00:00:00"/>
    <n v="20"/>
    <x v="2"/>
    <x v="10"/>
    <s v="Austin"/>
    <s v="Corporate"/>
    <x v="4"/>
    <x v="13"/>
    <x v="3"/>
    <x v="505"/>
    <n v="932.26"/>
    <s v="OK"/>
    <n v="1624.67"/>
    <n v="1624.67"/>
    <n v="0.23499999999999999"/>
    <s v="OK"/>
    <n v="0.23499999999999999"/>
    <n v="1"/>
    <n v="0.24991504559337163"/>
    <n v="26103.279999999999"/>
    <n v="8697.1514000000025"/>
    <n v="34800.431400000001"/>
    <s v="Q2-2025"/>
    <x v="19"/>
    <s v="Medium"/>
    <n v="28"/>
    <d v="2023-01-01T00:00:00"/>
    <d v="2025-04-01T00:00:00"/>
    <n v="0"/>
    <x v="18"/>
  </r>
  <r>
    <s v="ORD-2024-732543"/>
    <d v="2024-10-24T00:00:00"/>
    <d v="2024-10-28T00:00:00"/>
    <s v="OK"/>
    <d v="2024-10-28T00:00:00"/>
    <n v="4"/>
    <x v="1"/>
    <x v="9"/>
    <s v="Shanghai"/>
    <s v="Small Business"/>
    <x v="3"/>
    <x v="2"/>
    <x v="2"/>
    <x v="506"/>
    <n v="1331.77"/>
    <s v="OK"/>
    <n v="2606.11"/>
    <n v="2606.11"/>
    <n v="0.02"/>
    <s v="OK"/>
    <n v="0.02"/>
    <n v="0"/>
    <n v="0.47855271665745619"/>
    <n v="7990.62"/>
    <n v="7333.3067999999994"/>
    <n v="15323.926799999999"/>
    <s v="Q4-2024"/>
    <x v="1"/>
    <s v="High"/>
    <n v="6"/>
    <d v="2023-01-01T00:00:00"/>
    <d v="2024-10-01T00:00:00"/>
    <n v="1"/>
    <x v="1"/>
  </r>
  <r>
    <s v="ORD-2023-867166"/>
    <d v="2023-04-13T00:00:00"/>
    <d v="2023-04-20T00:00:00"/>
    <s v="OK"/>
    <d v="2023-04-20T00:00:00"/>
    <n v="7"/>
    <x v="3"/>
    <x v="7"/>
    <s v="Lyon"/>
    <s v="Small Business"/>
    <x v="1"/>
    <x v="8"/>
    <x v="4"/>
    <x v="507"/>
    <n v="227.02"/>
    <s v="OK"/>
    <n v="434.72"/>
    <n v="434.72"/>
    <n v="9.8000000000000004E-2"/>
    <s v="OK"/>
    <n v="9.8000000000000004E-2"/>
    <n v="0"/>
    <n v="0.42104079838938052"/>
    <n v="2270.2000000000003"/>
    <n v="1650.9744000000005"/>
    <n v="3921.1744000000008"/>
    <s v="Q2-2023"/>
    <x v="12"/>
    <s v="Low"/>
    <n v="10"/>
    <d v="2023-01-01T00:00:00"/>
    <d v="2023-04-01T00:00:00"/>
    <n v="1"/>
    <x v="12"/>
  </r>
  <r>
    <s v="ORD-2024-776337"/>
    <d v="2024-11-12T00:00:00"/>
    <d v="2024-11-21T00:00:00"/>
    <s v="OK"/>
    <d v="2024-11-21T00:00:00"/>
    <n v="9"/>
    <x v="1"/>
    <x v="4"/>
    <s v="Mumbai"/>
    <s v="Corporate"/>
    <x v="4"/>
    <x v="10"/>
    <x v="4"/>
    <x v="508"/>
    <n v="903.41"/>
    <s v="OK"/>
    <n v="1860.41"/>
    <n v="1860.41"/>
    <n v="0.108"/>
    <s v="OK"/>
    <n v="0.108"/>
    <n v="0"/>
    <n v="0.455608451996803"/>
    <n v="4517.05"/>
    <n v="3780.3786000000009"/>
    <n v="8297.4286000000011"/>
    <s v="Q4-2024"/>
    <x v="18"/>
    <s v="Medium"/>
    <n v="5"/>
    <d v="2023-01-01T00:00:00"/>
    <d v="2024-11-01T00:00:00"/>
    <n v="0"/>
    <x v="10"/>
  </r>
  <r>
    <s v="ORD-2023-913592"/>
    <d v="2023-05-10T00:00:00"/>
    <d v="2023-05-14T00:00:00"/>
    <s v="OK"/>
    <d v="2023-05-14T00:00:00"/>
    <n v="4"/>
    <x v="1"/>
    <x v="4"/>
    <s v="Delhi"/>
    <s v="Non-Profit"/>
    <x v="3"/>
    <x v="0"/>
    <x v="5"/>
    <x v="509"/>
    <n v="622.6"/>
    <s v="OK"/>
    <n v="833.69"/>
    <n v="833.69"/>
    <n v="0.20899999999999999"/>
    <s v="OK"/>
    <n v="0.20899999999999999"/>
    <n v="1"/>
    <n v="5.5878167582959715E-2"/>
    <n v="8716.4"/>
    <n v="515.88306000000011"/>
    <n v="9232.2830599999998"/>
    <s v="Q2-2023"/>
    <x v="15"/>
    <s v="Medium"/>
    <n v="14"/>
    <d v="2023-01-01T00:00:00"/>
    <d v="2023-05-01T00:00:00"/>
    <n v="1"/>
    <x v="15"/>
  </r>
  <r>
    <s v="ORD-2024-961501"/>
    <d v="2024-03-02T00:00:00"/>
    <d v="2024-03-23T00:00:00"/>
    <s v="OK"/>
    <d v="2024-03-23T00:00:00"/>
    <n v="21"/>
    <x v="2"/>
    <x v="10"/>
    <s v="Chicago"/>
    <s v="Small Business"/>
    <x v="1"/>
    <x v="9"/>
    <x v="0"/>
    <x v="510"/>
    <n v="225.01"/>
    <s v="OK"/>
    <n v="333.48"/>
    <n v="333.48"/>
    <n v="0.11899999999999999"/>
    <s v="OK"/>
    <n v="0.11899999999999999"/>
    <n v="0"/>
    <n v="0.23412813004729685"/>
    <n v="2700.12"/>
    <n v="825.43056000000024"/>
    <n v="3525.5505600000001"/>
    <s v="Q1-2024"/>
    <x v="0"/>
    <s v="Low"/>
    <n v="12"/>
    <d v="2023-01-01T00:00:00"/>
    <d v="2024-03-01T00:00:00"/>
    <n v="0"/>
    <x v="0"/>
  </r>
  <r>
    <s v="ORD-2024-964950"/>
    <d v="2024-10-10T00:00:00"/>
    <d v="2024-10-11T00:00:00"/>
    <s v="OK"/>
    <d v="2024-10-11T00:00:00"/>
    <n v="1"/>
    <x v="3"/>
    <x v="8"/>
    <s v="Manchester"/>
    <s v="Non-Profit"/>
    <x v="3"/>
    <x v="4"/>
    <x v="0"/>
    <x v="511"/>
    <n v="1389.46"/>
    <s v="OK"/>
    <n v="1784.7"/>
    <n v="1784.7"/>
    <n v="0.14599999999999999"/>
    <s v="OK"/>
    <n v="0.14599999999999999"/>
    <n v="0"/>
    <n v="8.8360877503011831E-2"/>
    <n v="45852.18"/>
    <n v="4444.2353999999978"/>
    <n v="50296.415399999998"/>
    <s v="Q4-2024"/>
    <x v="1"/>
    <s v="Medium"/>
    <n v="33"/>
    <d v="2023-01-01T00:00:00"/>
    <d v="2024-10-01T00:00:00"/>
    <n v="1"/>
    <x v="1"/>
  </r>
  <r>
    <s v="ORD-2023-349264"/>
    <d v="2023-06-01T00:00:00"/>
    <d v="2023-06-08T00:00:00"/>
    <s v="OK"/>
    <d v="2023-06-08T00:00:00"/>
    <n v="7"/>
    <x v="3"/>
    <x v="6"/>
    <s v="Frankfurt"/>
    <s v="Consumer"/>
    <x v="1"/>
    <x v="8"/>
    <x v="3"/>
    <x v="512"/>
    <n v="804.17"/>
    <s v="OK"/>
    <n v="1072.29"/>
    <n v="1072.29"/>
    <n v="3.2000000000000001E-2"/>
    <s v="OK"/>
    <n v="3.2000000000000001E-2"/>
    <n v="0"/>
    <n v="0.2252523736755869"/>
    <n v="4020.85"/>
    <n v="1169.0336000000002"/>
    <n v="5189.8836000000001"/>
    <s v="Q2-2023"/>
    <x v="23"/>
    <s v="Medium"/>
    <n v="5"/>
    <d v="2023-01-01T00:00:00"/>
    <d v="2023-06-01T00:00:00"/>
    <n v="1"/>
    <x v="22"/>
  </r>
  <r>
    <s v="ORD-2025-137394"/>
    <d v="2025-01-04T00:00:00"/>
    <d v="2025-01-05T00:00:00"/>
    <s v="OK"/>
    <d v="2025-01-05T00:00:00"/>
    <n v="1"/>
    <x v="1"/>
    <x v="4"/>
    <s v="Delhi"/>
    <s v="Education"/>
    <x v="0"/>
    <x v="2"/>
    <x v="0"/>
    <x v="513"/>
    <n v="1428.33"/>
    <s v="OK"/>
    <n v="3028.05"/>
    <n v="3028.05"/>
    <n v="0"/>
    <s v="OK"/>
    <n v="0"/>
    <n v="0"/>
    <n v="0.52830039134096207"/>
    <n v="15711.63"/>
    <n v="17596.920000000006"/>
    <n v="33308.550000000003"/>
    <s v="Q1-2025"/>
    <x v="10"/>
    <s v="High"/>
    <n v="11"/>
    <d v="2023-01-01T00:00:00"/>
    <d v="2025-01-01T00:00:00"/>
    <n v="1"/>
    <x v="24"/>
  </r>
  <r>
    <s v="ORD-2025-635337"/>
    <d v="2025-08-05T00:00:00"/>
    <d v="2025-08-28T00:00:00"/>
    <s v="OK"/>
    <d v="2025-08-28T00:00:00"/>
    <n v="23"/>
    <x v="1"/>
    <x v="4"/>
    <s v="Mumbai"/>
    <s v="Non-Profit"/>
    <x v="3"/>
    <x v="13"/>
    <x v="4"/>
    <x v="514"/>
    <n v="638.54"/>
    <s v="OK"/>
    <n v="987.24"/>
    <n v="987.24"/>
    <n v="0"/>
    <s v="OK"/>
    <n v="0"/>
    <n v="0"/>
    <n v="0.35320692030306716"/>
    <n v="7023.94"/>
    <n v="3835.7"/>
    <n v="10859.64"/>
    <s v="Q3-2025"/>
    <x v="28"/>
    <s v="Medium"/>
    <n v="11"/>
    <d v="2023-01-01T00:00:00"/>
    <d v="2025-08-01T00:00:00"/>
    <n v="0"/>
    <x v="29"/>
  </r>
  <r>
    <s v="ORD-2023-568013"/>
    <d v="2023-09-30T00:00:00"/>
    <d v="2023-10-30T00:00:00"/>
    <s v="OK"/>
    <d v="2023-10-30T00:00:00"/>
    <n v="30"/>
    <x v="1"/>
    <x v="2"/>
    <s v="Tokyo"/>
    <s v="Enterprise"/>
    <x v="1"/>
    <x v="14"/>
    <x v="1"/>
    <x v="515"/>
    <n v="649.13"/>
    <s v="OK"/>
    <n v="975.43"/>
    <n v="975.43"/>
    <n v="0.157"/>
    <s v="OK"/>
    <n v="0.157"/>
    <n v="0"/>
    <n v="0.21058023149543473"/>
    <n v="17526.509999999998"/>
    <n v="4675.2522299999982"/>
    <n v="22201.762229999997"/>
    <s v="Q3-2023"/>
    <x v="27"/>
    <s v="Medium"/>
    <n v="27"/>
    <d v="2023-03-01T00:00:00"/>
    <d v="2023-09-01T00:00:00"/>
    <n v="0"/>
    <x v="23"/>
  </r>
  <r>
    <s v="ORD-2025-828263"/>
    <d v="2025-05-17T00:00:00"/>
    <d v="2025-05-30T00:00:00"/>
    <s v="OK"/>
    <d v="2025-05-30T00:00:00"/>
    <n v="13"/>
    <x v="0"/>
    <x v="1"/>
    <s v="Lagos"/>
    <s v="Consumer"/>
    <x v="3"/>
    <x v="9"/>
    <x v="6"/>
    <x v="516"/>
    <n v="66.400000000000006"/>
    <s v="OK"/>
    <n v="141.43"/>
    <n v="141.43"/>
    <n v="0.107"/>
    <s v="OK"/>
    <n v="0.107"/>
    <n v="0"/>
    <n v="0.47425508715607551"/>
    <n v="531.20000000000005"/>
    <n v="479.17592000000002"/>
    <n v="1010.3759200000001"/>
    <s v="Q2-2025"/>
    <x v="8"/>
    <s v="Low"/>
    <n v="8"/>
    <d v="2023-01-01T00:00:00"/>
    <d v="2025-05-01T00:00:00"/>
    <n v="0"/>
    <x v="8"/>
  </r>
  <r>
    <s v="ORD-2024-402240"/>
    <d v="2024-05-01T00:00:00"/>
    <d v="2024-05-26T00:00:00"/>
    <s v="OK"/>
    <d v="2024-05-26T00:00:00"/>
    <n v="25"/>
    <x v="3"/>
    <x v="6"/>
    <s v="Berlin"/>
    <s v="Non-Profit"/>
    <x v="0"/>
    <x v="5"/>
    <x v="2"/>
    <x v="517"/>
    <n v="930.71"/>
    <s v="OK"/>
    <n v="1625.42"/>
    <n v="1625.42"/>
    <n v="0.13800000000000001"/>
    <s v="OK"/>
    <n v="0.13800000000000001"/>
    <n v="0"/>
    <n v="0.33573477821231196"/>
    <n v="6514.97"/>
    <n v="3292.8142799999996"/>
    <n v="9807.7842799999999"/>
    <s v="Q2-2024"/>
    <x v="7"/>
    <s v="Medium"/>
    <n v="7"/>
    <d v="2023-01-01T00:00:00"/>
    <d v="2024-05-01T00:00:00"/>
    <n v="0"/>
    <x v="7"/>
  </r>
  <r>
    <s v="ORD-2023-125739"/>
    <d v="2023-05-01T00:00:00"/>
    <d v="2023-05-18T00:00:00"/>
    <s v="OK"/>
    <d v="2023-05-18T00:00:00"/>
    <n v="17"/>
    <x v="0"/>
    <x v="1"/>
    <s v="Port Harcourt"/>
    <s v="Corporate"/>
    <x v="4"/>
    <x v="9"/>
    <x v="0"/>
    <x v="518"/>
    <n v="327.97"/>
    <s v="OK"/>
    <n v="299.94"/>
    <n v="299.94"/>
    <n v="4.9000000000000002E-2"/>
    <s v="OK"/>
    <n v="4.9000000000000002E-2"/>
    <n v="0"/>
    <n v="-0.14979182306843442"/>
    <n v="983.91000000000008"/>
    <n v="-128.18118000000015"/>
    <n v="855.72881999999993"/>
    <s v="Q2-2023"/>
    <x v="15"/>
    <s v="Low"/>
    <n v="3"/>
    <d v="2023-01-01T00:00:00"/>
    <d v="2023-05-01T00:00:00"/>
    <n v="0"/>
    <x v="15"/>
  </r>
  <r>
    <s v="ORD-2024-892879"/>
    <d v="2024-07-09T00:00:00"/>
    <d v="2024-08-08T00:00:00"/>
    <s v="OK"/>
    <d v="2024-08-08T00:00:00"/>
    <n v="30"/>
    <x v="3"/>
    <x v="7"/>
    <s v="Marseille"/>
    <s v="Corporate"/>
    <x v="4"/>
    <x v="1"/>
    <x v="0"/>
    <x v="519"/>
    <n v="1062.3800000000001"/>
    <s v="OK"/>
    <n v="1503.96"/>
    <n v="1503.96"/>
    <n v="0.18"/>
    <s v="OK"/>
    <n v="0.18"/>
    <n v="0"/>
    <n v="0.13855064905073369"/>
    <n v="6374.2800000000007"/>
    <n v="1025.2031999999999"/>
    <n v="7399.4832000000006"/>
    <s v="Q3-2024"/>
    <x v="14"/>
    <s v="Medium"/>
    <n v="6"/>
    <d v="2023-01-01T00:00:00"/>
    <d v="2024-07-01T00:00:00"/>
    <n v="0"/>
    <x v="14"/>
  </r>
  <r>
    <s v="ORD-2023-472050"/>
    <d v="2023-05-10T00:00:00"/>
    <d v="2023-05-27T00:00:00"/>
    <s v="OK"/>
    <d v="2023-05-27T00:00:00"/>
    <n v="17"/>
    <x v="1"/>
    <x v="4"/>
    <s v="Mumbai"/>
    <s v="Consumer"/>
    <x v="0"/>
    <x v="12"/>
    <x v="4"/>
    <x v="520"/>
    <n v="1286.1600000000001"/>
    <s v="OK"/>
    <n v="3101.11"/>
    <n v="3101.11"/>
    <n v="0.1"/>
    <s v="OK"/>
    <n v="0.1"/>
    <n v="0"/>
    <n v="0.53917575749758417"/>
    <n v="29581.68"/>
    <n v="34611.296999999999"/>
    <n v="64192.976999999999"/>
    <s v="Q2-2023"/>
    <x v="15"/>
    <s v="High"/>
    <n v="23"/>
    <d v="2023-01-01T00:00:00"/>
    <d v="2023-05-01T00:00:00"/>
    <n v="0"/>
    <x v="15"/>
  </r>
  <r>
    <s v="ORD-2024-468615"/>
    <d v="2024-07-09T00:00:00"/>
    <d v="2024-07-12T00:00:00"/>
    <s v="OK"/>
    <d v="2024-07-12T00:00:00"/>
    <n v="3"/>
    <x v="1"/>
    <x v="9"/>
    <s v="Shanghai"/>
    <s v="Small Business"/>
    <x v="0"/>
    <x v="14"/>
    <x v="6"/>
    <x v="521"/>
    <n v="748.39"/>
    <s v="OK"/>
    <n v="979.42"/>
    <n v="979.42"/>
    <n v="0"/>
    <s v="OK"/>
    <n v="0"/>
    <n v="0"/>
    <n v="0.23588450307324738"/>
    <n v="17212.97"/>
    <n v="5313.6899999999987"/>
    <n v="22526.66"/>
    <s v="Q3-2024"/>
    <x v="14"/>
    <s v="Medium"/>
    <n v="23"/>
    <d v="2023-01-01T00:00:00"/>
    <d v="2024-07-01T00:00:00"/>
    <n v="1"/>
    <x v="14"/>
  </r>
  <r>
    <s v="ORD-2024-833375"/>
    <d v="2024-04-24T00:00:00"/>
    <d v="2024-05-10T00:00:00"/>
    <s v="OK"/>
    <d v="2024-05-10T00:00:00"/>
    <n v="16"/>
    <x v="0"/>
    <x v="0"/>
    <s v="Kisumu"/>
    <s v="Non-Profit"/>
    <x v="1"/>
    <x v="13"/>
    <x v="5"/>
    <x v="522"/>
    <n v="513.30999999999995"/>
    <s v="OK"/>
    <n v="1186.26"/>
    <n v="1186.26"/>
    <n v="9.4E-2"/>
    <s v="OK"/>
    <n v="9.4E-2"/>
    <n v="0"/>
    <n v="0.52239194702820446"/>
    <n v="7699.65"/>
    <n v="8421.6234000000022"/>
    <n v="16121.273400000002"/>
    <s v="Q2-2024"/>
    <x v="20"/>
    <s v="Medium"/>
    <n v="15"/>
    <d v="2023-01-01T00:00:00"/>
    <d v="2024-04-01T00:00:00"/>
    <n v="0"/>
    <x v="19"/>
  </r>
  <r>
    <s v="ORD-2024-206311"/>
    <d v="2024-01-13T00:00:00"/>
    <d v="2024-01-15T00:00:00"/>
    <s v="OK"/>
    <d v="2024-01-15T00:00:00"/>
    <n v="2"/>
    <x v="2"/>
    <x v="10"/>
    <s v="San Francisco"/>
    <s v="Non-Profit"/>
    <x v="4"/>
    <x v="6"/>
    <x v="0"/>
    <x v="523"/>
    <n v="1061.3699999999999"/>
    <s v="OK"/>
    <n v="1938.33"/>
    <n v="1938.33"/>
    <n v="0.17"/>
    <s v="OK"/>
    <n v="0.17"/>
    <n v="0"/>
    <n v="0.34027795259600879"/>
    <n v="4245.4799999999996"/>
    <n v="2189.7755999999999"/>
    <n v="6435.2555999999995"/>
    <s v="Q1-2024"/>
    <x v="9"/>
    <s v="High"/>
    <n v="4"/>
    <d v="2023-01-01T00:00:00"/>
    <d v="2024-01-01T00:00:00"/>
    <n v="1"/>
    <x v="9"/>
  </r>
  <r>
    <s v="ORD-2024-364080"/>
    <d v="2024-04-16T00:00:00"/>
    <d v="2024-04-27T00:00:00"/>
    <s v="OK"/>
    <d v="2024-04-27T00:00:00"/>
    <n v="11"/>
    <x v="0"/>
    <x v="0"/>
    <s v="Nakuru"/>
    <s v="Enterprise"/>
    <x v="1"/>
    <x v="14"/>
    <x v="1"/>
    <x v="524"/>
    <n v="401.3"/>
    <s v="OK"/>
    <n v="826.47"/>
    <n v="826.47"/>
    <n v="0.22500000000000001"/>
    <s v="OK"/>
    <n v="0.22500000000000001"/>
    <n v="1"/>
    <n v="0.37347217489696755"/>
    <n v="5216.9000000000005"/>
    <n v="3109.7852499999999"/>
    <n v="8326.6852500000005"/>
    <s v="Q2-2024"/>
    <x v="20"/>
    <s v="Medium"/>
    <n v="13"/>
    <d v="2023-01-01T00:00:00"/>
    <d v="2024-04-01T00:00:00"/>
    <n v="0"/>
    <x v="19"/>
  </r>
  <r>
    <s v="ORD-2025-460466"/>
    <d v="2025-02-07T00:00:00"/>
    <d v="2025-02-16T00:00:00"/>
    <s v="OK"/>
    <d v="2025-02-16T00:00:00"/>
    <n v="9"/>
    <x v="0"/>
    <x v="1"/>
    <s v="Lagos"/>
    <s v="Small Business"/>
    <x v="3"/>
    <x v="0"/>
    <x v="1"/>
    <x v="525"/>
    <n v="90.68"/>
    <s v="OK"/>
    <n v="118.17"/>
    <n v="118.17"/>
    <n v="0.13500000000000001"/>
    <s v="OK"/>
    <n v="0.13500000000000001"/>
    <n v="0"/>
    <n v="0.11286815653552899"/>
    <n v="1904.2800000000002"/>
    <n v="242.27804999999989"/>
    <n v="2146.5580500000001"/>
    <s v="Q1-2025"/>
    <x v="26"/>
    <s v="Low"/>
    <n v="21"/>
    <d v="2023-01-01T00:00:00"/>
    <d v="2025-02-01T00:00:00"/>
    <n v="0"/>
    <x v="26"/>
  </r>
  <r>
    <s v="ORD-2023-700699"/>
    <d v="2023-01-12T00:00:00"/>
    <d v="2023-01-26T00:00:00"/>
    <s v="OK"/>
    <d v="2023-01-26T00:00:00"/>
    <n v="14"/>
    <x v="1"/>
    <x v="9"/>
    <s v="Shenzhen"/>
    <s v="Non-Profit"/>
    <x v="0"/>
    <x v="12"/>
    <x v="1"/>
    <x v="526"/>
    <n v="1083.0899999999999"/>
    <s v="OK"/>
    <n v="1425.87"/>
    <n v="1425.87"/>
    <n v="0"/>
    <s v="OK"/>
    <n v="0"/>
    <n v="0"/>
    <n v="0.24040059752992909"/>
    <n v="8664.7199999999993"/>
    <n v="2742.24"/>
    <n v="11406.96"/>
    <s v="Q1-2023"/>
    <x v="5"/>
    <s v="Medium"/>
    <n v="8"/>
    <d v="2023-01-01T00:00:00"/>
    <d v="2023-01-01T00:00:00"/>
    <n v="0"/>
    <x v="5"/>
  </r>
  <r>
    <s v="ORD-2024-713332"/>
    <d v="2024-06-05T00:00:00"/>
    <d v="2024-06-23T00:00:00"/>
    <s v="OK"/>
    <d v="2024-06-23T00:00:00"/>
    <n v="18"/>
    <x v="0"/>
    <x v="0"/>
    <s v="Nairobi"/>
    <s v="Consumer"/>
    <x v="3"/>
    <x v="14"/>
    <x v="4"/>
    <x v="527"/>
    <n v="1208.74"/>
    <s v="OK"/>
    <n v="1594.78"/>
    <n v="1594.78"/>
    <n v="5.8999999999999997E-2"/>
    <s v="OK"/>
    <n v="5.8999999999999997E-2"/>
    <n v="0"/>
    <n v="0.1945427589817838"/>
    <n v="47140.86"/>
    <n v="11385.971219999999"/>
    <n v="58526.83122"/>
    <s v="Q2-2024"/>
    <x v="17"/>
    <s v="Medium"/>
    <n v="39"/>
    <d v="2023-01-01T00:00:00"/>
    <d v="2024-06-01T00:00:00"/>
    <n v="0"/>
    <x v="17"/>
  </r>
  <r>
    <s v="ORD-2023-640022"/>
    <d v="2023-08-24T00:00:00"/>
    <d v="2023-09-20T00:00:00"/>
    <s v="OK"/>
    <d v="2023-09-20T00:00:00"/>
    <n v="27"/>
    <x v="0"/>
    <x v="11"/>
    <s v="Durban"/>
    <s v="Small Business"/>
    <x v="2"/>
    <x v="12"/>
    <x v="1"/>
    <x v="528"/>
    <n v="1399.64"/>
    <s v="OK"/>
    <n v="3342.11"/>
    <n v="3342.11"/>
    <n v="0"/>
    <s v="OK"/>
    <n v="0"/>
    <n v="0"/>
    <n v="0.58121067229983447"/>
    <n v="13996.400000000001"/>
    <n v="19424.699999999997"/>
    <n v="33421.1"/>
    <s v="Q3-2023"/>
    <x v="25"/>
    <s v="High"/>
    <n v="10"/>
    <d v="2023-01-01T00:00:00"/>
    <d v="2023-08-01T00:00:00"/>
    <n v="0"/>
    <x v="25"/>
  </r>
  <r>
    <s v="ORD-2024-532184"/>
    <d v="2024-01-25T00:00:00"/>
    <d v="2024-02-08T00:00:00"/>
    <s v="OK"/>
    <d v="2024-02-08T00:00:00"/>
    <n v="14"/>
    <x v="1"/>
    <x v="2"/>
    <s v="Osaka"/>
    <s v="Consumer"/>
    <x v="2"/>
    <x v="2"/>
    <x v="2"/>
    <x v="529"/>
    <n v="937.16"/>
    <s v="OK"/>
    <n v="1069.77"/>
    <n v="1069.77"/>
    <n v="3.7999999999999999E-2"/>
    <s v="OK"/>
    <n v="3.7999999999999999E-2"/>
    <n v="0"/>
    <n v="8.9356783066645962E-2"/>
    <n v="8434.44"/>
    <n v="827.62866000000031"/>
    <n v="9262.0686600000008"/>
    <s v="Q1-2024"/>
    <x v="9"/>
    <s v="Medium"/>
    <n v="9"/>
    <d v="2023-03-01T00:00:00"/>
    <d v="2024-01-01T00:00:00"/>
    <n v="0"/>
    <x v="31"/>
  </r>
  <r>
    <s v="ORD-2025-926547"/>
    <d v="2025-03-11T00:00:00"/>
    <d v="2025-03-26T00:00:00"/>
    <s v="OK"/>
    <d v="2025-03-26T00:00:00"/>
    <n v="15"/>
    <x v="3"/>
    <x v="6"/>
    <s v="Berlin"/>
    <s v="Small Business"/>
    <x v="1"/>
    <x v="2"/>
    <x v="3"/>
    <x v="530"/>
    <n v="116.97"/>
    <s v="OK"/>
    <n v="140.82"/>
    <n v="140.82"/>
    <n v="0.122"/>
    <s v="OK"/>
    <n v="0.122"/>
    <n v="0"/>
    <n v="5.3946636669891926E-2"/>
    <n v="584.85"/>
    <n v="33.349799999999846"/>
    <n v="618.19979999999987"/>
    <s v="Q1-2025"/>
    <x v="3"/>
    <s v="Low"/>
    <n v="5"/>
    <d v="2023-01-01T00:00:00"/>
    <d v="2025-03-01T00:00:00"/>
    <n v="0"/>
    <x v="3"/>
  </r>
  <r>
    <s v="ORD-2025-778145"/>
    <d v="2025-04-22T00:00:00"/>
    <d v="2025-05-12T00:00:00"/>
    <s v="OK"/>
    <d v="2025-05-12T00:00:00"/>
    <n v="20"/>
    <x v="3"/>
    <x v="7"/>
    <s v="Lyon"/>
    <s v="Enterprise"/>
    <x v="2"/>
    <x v="11"/>
    <x v="5"/>
    <x v="531"/>
    <n v="59.51"/>
    <s v="OK"/>
    <n v="67.040000000000006"/>
    <n v="67.040000000000006"/>
    <n v="0.114"/>
    <s v="OK"/>
    <n v="0.114"/>
    <n v="0"/>
    <n v="-1.8950311663264469E-3"/>
    <n v="535.59"/>
    <n v="-1.0130400000000463"/>
    <n v="534.57695999999999"/>
    <s v="Q2-2025"/>
    <x v="19"/>
    <s v="Low"/>
    <n v="9"/>
    <d v="2023-01-01T00:00:00"/>
    <d v="2025-04-01T00:00:00"/>
    <n v="0"/>
    <x v="18"/>
  </r>
  <r>
    <s v="ORD-2023-525643"/>
    <d v="2023-08-17T00:00:00"/>
    <d v="2023-09-03T00:00:00"/>
    <s v="OK"/>
    <d v="2023-09-03T00:00:00"/>
    <n v="17"/>
    <x v="0"/>
    <x v="11"/>
    <s v="Durban"/>
    <s v="Enterprise"/>
    <x v="0"/>
    <x v="8"/>
    <x v="3"/>
    <x v="532"/>
    <n v="676.37"/>
    <s v="OK"/>
    <n v="1276.67"/>
    <n v="1276.67"/>
    <n v="6.6000000000000003E-2"/>
    <s v="OK"/>
    <n v="6.6000000000000003E-2"/>
    <n v="0"/>
    <n v="0.4327705027712872"/>
    <n v="6763.7"/>
    <n v="5160.3977999999997"/>
    <n v="11924.0978"/>
    <s v="Q3-2023"/>
    <x v="25"/>
    <s v="Medium"/>
    <n v="10"/>
    <d v="2023-01-01T00:00:00"/>
    <d v="2023-08-01T00:00:00"/>
    <n v="0"/>
    <x v="25"/>
  </r>
  <r>
    <s v="ORD-2025-312803"/>
    <d v="2025-06-24T00:00:00"/>
    <d v="2025-07-14T00:00:00"/>
    <s v="OK"/>
    <d v="2025-07-14T00:00:00"/>
    <n v="20"/>
    <x v="0"/>
    <x v="11"/>
    <s v="Johannesburg"/>
    <s v="Enterprise"/>
    <x v="2"/>
    <x v="1"/>
    <x v="4"/>
    <x v="533"/>
    <n v="1151.06"/>
    <s v="OK"/>
    <n v="2821.36"/>
    <n v="2821.36"/>
    <n v="0.248"/>
    <s v="OK"/>
    <n v="0.248"/>
    <n v="1"/>
    <n v="0.45747267501594235"/>
    <n v="23021.199999999997"/>
    <n v="19412.054400000008"/>
    <n v="42433.254400000005"/>
    <s v="Q2-2025"/>
    <x v="16"/>
    <s v="High"/>
    <n v="20"/>
    <d v="2023-01-01T00:00:00"/>
    <d v="2025-06-01T00:00:00"/>
    <n v="0"/>
    <x v="16"/>
  </r>
  <r>
    <s v="ORD-2025-149156"/>
    <d v="2025-01-10T00:00:00"/>
    <d v="2025-02-06T00:00:00"/>
    <s v="OK"/>
    <d v="2025-02-06T00:00:00"/>
    <n v="27"/>
    <x v="2"/>
    <x v="5"/>
    <s v="Brasília"/>
    <s v="Non-Profit"/>
    <x v="0"/>
    <x v="5"/>
    <x v="4"/>
    <x v="534"/>
    <n v="725.62"/>
    <s v="OK"/>
    <n v="1559.19"/>
    <n v="1559.19"/>
    <n v="0.19"/>
    <s v="OK"/>
    <n v="0.19"/>
    <n v="0"/>
    <n v="0.42545349797405885"/>
    <n v="8707.44"/>
    <n v="6447.8868000000002"/>
    <n v="15155.326800000001"/>
    <s v="Q1-2025"/>
    <x v="10"/>
    <s v="Medium"/>
    <n v="12"/>
    <d v="2023-01-01T00:00:00"/>
    <d v="2025-01-01T00:00:00"/>
    <n v="0"/>
    <x v="24"/>
  </r>
  <r>
    <s v="ORD-2023-215819"/>
    <d v="2023-07-01T00:00:00"/>
    <d v="2023-07-11T00:00:00"/>
    <s v="OK"/>
    <d v="2023-07-11T00:00:00"/>
    <n v="10"/>
    <x v="3"/>
    <x v="7"/>
    <s v="Paris"/>
    <s v="Corporate"/>
    <x v="4"/>
    <x v="9"/>
    <x v="2"/>
    <x v="535"/>
    <n v="479.5"/>
    <s v="OK"/>
    <n v="656.66"/>
    <n v="656.66"/>
    <n v="0.14899999999999999"/>
    <s v="OK"/>
    <n v="0.14899999999999999"/>
    <n v="0"/>
    <n v="0.14193835606412289"/>
    <n v="6713"/>
    <n v="1110.4472399999995"/>
    <n v="7823.4472399999995"/>
    <s v="Q3-2023"/>
    <x v="24"/>
    <s v="Medium"/>
    <n v="14"/>
    <d v="2023-01-01T00:00:00"/>
    <d v="2023-07-01T00:00:00"/>
    <n v="0"/>
    <x v="23"/>
  </r>
  <r>
    <s v="ORD-2024-353078"/>
    <d v="2024-08-16T00:00:00"/>
    <d v="2024-08-26T00:00:00"/>
    <s v="OK"/>
    <d v="2024-08-26T00:00:00"/>
    <n v="10"/>
    <x v="2"/>
    <x v="10"/>
    <s v="Chicago"/>
    <s v="Corporate"/>
    <x v="3"/>
    <x v="4"/>
    <x v="4"/>
    <x v="387"/>
    <n v="1291.7"/>
    <s v="OK"/>
    <n v="2657.84"/>
    <n v="2657.84"/>
    <n v="8.6999999999999994E-2"/>
    <s v="OK"/>
    <n v="8.6999999999999994E-2"/>
    <n v="0"/>
    <n v="0.46769315745083367"/>
    <n v="27125.7"/>
    <n v="23833.066320000002"/>
    <n v="50958.766320000002"/>
    <s v="Q3-2024"/>
    <x v="21"/>
    <s v="High"/>
    <n v="21"/>
    <d v="2023-01-01T00:00:00"/>
    <d v="2024-08-01T00:00:00"/>
    <n v="0"/>
    <x v="20"/>
  </r>
  <r>
    <s v="ORD-2023-621393"/>
    <d v="2023-07-07T00:00:00"/>
    <d v="2023-07-13T00:00:00"/>
    <s v="OK"/>
    <d v="2023-07-13T00:00:00"/>
    <n v="6"/>
    <x v="0"/>
    <x v="11"/>
    <s v="Cape Town"/>
    <s v="Small Business"/>
    <x v="2"/>
    <x v="5"/>
    <x v="6"/>
    <x v="536"/>
    <n v="612.59"/>
    <s v="OK"/>
    <n v="1424.74"/>
    <n v="1424.74"/>
    <n v="4.3999999999999997E-2"/>
    <s v="OK"/>
    <n v="4.3999999999999997E-2"/>
    <n v="0"/>
    <n v="0.55024459281802152"/>
    <n v="9188.85"/>
    <n v="11241.921599999996"/>
    <n v="20430.771599999996"/>
    <s v="Q3-2023"/>
    <x v="24"/>
    <s v="Medium"/>
    <n v="15"/>
    <d v="2023-01-01T00:00:00"/>
    <d v="2023-07-01T00:00:00"/>
    <n v="1"/>
    <x v="23"/>
  </r>
  <r>
    <s v="ORD-2023-974506"/>
    <d v="2023-12-28T00:00:00"/>
    <d v="2024-01-01T00:00:00"/>
    <s v="OK"/>
    <d v="2024-01-01T00:00:00"/>
    <n v="4"/>
    <x v="0"/>
    <x v="11"/>
    <s v="Cape Town"/>
    <s v="Education"/>
    <x v="3"/>
    <x v="8"/>
    <x v="1"/>
    <x v="537"/>
    <n v="1141.8"/>
    <s v="OK"/>
    <n v="2318.7399999999998"/>
    <n v="2318.7399999999998"/>
    <n v="0.107"/>
    <s v="OK"/>
    <n v="0.107"/>
    <n v="0"/>
    <n v="0.44857490612468304"/>
    <n v="36537.599999999999"/>
    <n v="29722.714239999994"/>
    <n v="66260.314239999992"/>
    <s v="Q4-2023"/>
    <x v="4"/>
    <s v="High"/>
    <n v="32"/>
    <d v="2023-01-01T00:00:00"/>
    <d v="2023-12-01T00:00:00"/>
    <n v="1"/>
    <x v="27"/>
  </r>
  <r>
    <s v="ORD-2023-811823"/>
    <d v="2023-01-26T00:00:00"/>
    <d v="2023-02-15T00:00:00"/>
    <s v="OK"/>
    <d v="2023-02-15T00:00:00"/>
    <n v="20"/>
    <x v="3"/>
    <x v="6"/>
    <s v="Berlin"/>
    <s v="Small Business"/>
    <x v="1"/>
    <x v="7"/>
    <x v="2"/>
    <x v="538"/>
    <n v="492.62"/>
    <s v="OK"/>
    <n v="366.7"/>
    <n v="366.7"/>
    <n v="8.8999999999999996E-2"/>
    <s v="OK"/>
    <n v="8.8999999999999996E-2"/>
    <n v="0"/>
    <n v="-0.47462894052840809"/>
    <n v="4926.2"/>
    <n v="-1585.5629999999996"/>
    <n v="3340.6370000000002"/>
    <s v="Q1-2023"/>
    <x v="5"/>
    <s v="Low"/>
    <n v="10"/>
    <d v="2023-01-01T00:00:00"/>
    <d v="2023-01-01T00:00:00"/>
    <n v="0"/>
    <x v="5"/>
  </r>
  <r>
    <s v="ORD-2023-286720"/>
    <d v="2023-07-08T00:00:00"/>
    <d v="2023-07-09T00:00:00"/>
    <s v="OK"/>
    <d v="2023-07-09T00:00:00"/>
    <n v="1"/>
    <x v="0"/>
    <x v="0"/>
    <s v="Nairobi"/>
    <s v="Consumer"/>
    <x v="1"/>
    <x v="14"/>
    <x v="4"/>
    <x v="539"/>
    <n v="1258.72"/>
    <s v="OK"/>
    <n v="2797.41"/>
    <n v="2797.41"/>
    <n v="0"/>
    <s v="OK"/>
    <n v="0"/>
    <n v="0"/>
    <n v="0.55004093071805704"/>
    <n v="8811.0400000000009"/>
    <n v="10770.829999999998"/>
    <n v="19581.87"/>
    <s v="Q3-2023"/>
    <x v="24"/>
    <s v="High"/>
    <n v="7"/>
    <d v="2023-01-01T00:00:00"/>
    <d v="2023-07-01T00:00:00"/>
    <n v="1"/>
    <x v="23"/>
  </r>
  <r>
    <s v="ORD-2024-626925"/>
    <d v="2024-06-07T00:00:00"/>
    <d v="2024-06-09T00:00:00"/>
    <s v="OK"/>
    <d v="2024-06-09T00:00:00"/>
    <n v="2"/>
    <x v="1"/>
    <x v="9"/>
    <s v="Shanghai"/>
    <s v="Corporate"/>
    <x v="0"/>
    <x v="7"/>
    <x v="5"/>
    <x v="540"/>
    <n v="1370.28"/>
    <s v="OK"/>
    <n v="2209.66"/>
    <n v="2209.66"/>
    <n v="0.13300000000000001"/>
    <s v="OK"/>
    <n v="0.13300000000000001"/>
    <n v="0"/>
    <n v="0.28473863442079589"/>
    <n v="21924.48"/>
    <n v="8727.9235199999966"/>
    <n v="30652.403519999996"/>
    <s v="Q2-2024"/>
    <x v="17"/>
    <s v="High"/>
    <n v="16"/>
    <d v="2023-01-01T00:00:00"/>
    <d v="2024-06-01T00:00:00"/>
    <n v="1"/>
    <x v="17"/>
  </r>
  <r>
    <s v="ORD-2023-960380"/>
    <d v="2023-02-11T00:00:00"/>
    <d v="2023-02-12T00:00:00"/>
    <s v="OK"/>
    <d v="2023-02-12T00:00:00"/>
    <n v="1"/>
    <x v="0"/>
    <x v="1"/>
    <s v="Port Harcourt"/>
    <s v="Non-Profit"/>
    <x v="4"/>
    <x v="14"/>
    <x v="6"/>
    <x v="541"/>
    <n v="944.61"/>
    <s v="OK"/>
    <n v="839.04"/>
    <n v="839.04"/>
    <n v="5.8999999999999997E-2"/>
    <s v="OK"/>
    <n v="5.8999999999999997E-2"/>
    <n v="0"/>
    <n v="-0.19641059343363726"/>
    <n v="5667.66"/>
    <n v="-930.44016000000011"/>
    <n v="4737.2198399999997"/>
    <s v="Q1-2023"/>
    <x v="2"/>
    <s v="Medium"/>
    <n v="6"/>
    <d v="2023-01-01T00:00:00"/>
    <d v="2023-02-01T00:00:00"/>
    <n v="1"/>
    <x v="2"/>
  </r>
  <r>
    <s v="ORD-2023-453699"/>
    <d v="2023-07-01T00:00:00"/>
    <d v="2023-07-08T00:00:00"/>
    <s v="OK"/>
    <d v="2023-07-08T00:00:00"/>
    <n v="7"/>
    <x v="3"/>
    <x v="6"/>
    <s v="Frankfurt"/>
    <s v="Small Business"/>
    <x v="3"/>
    <x v="13"/>
    <x v="4"/>
    <x v="542"/>
    <n v="460.21"/>
    <s v="OK"/>
    <n v="1139.1500000000001"/>
    <n v="1139.1500000000001"/>
    <n v="0.115"/>
    <s v="OK"/>
    <n v="0.115"/>
    <n v="0"/>
    <n v="0.54350937151821255"/>
    <n v="6442.94"/>
    <n v="7671.1285000000016"/>
    <n v="14114.068500000001"/>
    <s v="Q3-2023"/>
    <x v="24"/>
    <s v="Medium"/>
    <n v="14"/>
    <d v="2023-01-01T00:00:00"/>
    <d v="2023-07-01T00:00:00"/>
    <n v="1"/>
    <x v="23"/>
  </r>
  <r>
    <s v="ORD-2025-960931"/>
    <d v="2025-08-20T00:00:00"/>
    <d v="2025-08-26T00:00:00"/>
    <s v="OK"/>
    <d v="2025-08-26T00:00:00"/>
    <n v="6"/>
    <x v="2"/>
    <x v="10"/>
    <s v="New York"/>
    <s v="Corporate"/>
    <x v="0"/>
    <x v="12"/>
    <x v="2"/>
    <x v="543"/>
    <n v="1304.95"/>
    <s v="OK"/>
    <n v="1712.03"/>
    <n v="1712.03"/>
    <n v="0.21199999999999999"/>
    <s v="OK"/>
    <n v="0.21199999999999999"/>
    <n v="1"/>
    <n v="3.2710922833287949E-2"/>
    <n v="10439.6"/>
    <n v="353.03711999999905"/>
    <n v="10792.637119999999"/>
    <s v="Q3-2025"/>
    <x v="28"/>
    <s v="Medium"/>
    <n v="8"/>
    <d v="2023-01-01T00:00:00"/>
    <d v="2025-08-01T00:00:00"/>
    <n v="1"/>
    <x v="29"/>
  </r>
  <r>
    <s v="ORD-2024-419248"/>
    <d v="2024-03-04T00:00:00"/>
    <d v="2024-03-16T00:00:00"/>
    <s v="OK"/>
    <d v="2024-03-16T00:00:00"/>
    <n v="12"/>
    <x v="0"/>
    <x v="11"/>
    <s v="Johannesburg"/>
    <s v="Enterprise"/>
    <x v="3"/>
    <x v="12"/>
    <x v="5"/>
    <x v="544"/>
    <n v="441.08"/>
    <s v="OK"/>
    <n v="1054.29"/>
    <n v="1054.29"/>
    <n v="0.23699999999999999"/>
    <s v="OK"/>
    <n v="0.23699999999999999"/>
    <n v="1"/>
    <n v="0.45168169985932899"/>
    <n v="2646.48"/>
    <n v="2180.0596199999995"/>
    <n v="4826.5396199999996"/>
    <s v="Q1-2024"/>
    <x v="0"/>
    <s v="Medium"/>
    <n v="6"/>
    <d v="2023-01-01T00:00:00"/>
    <d v="2024-03-01T00:00:00"/>
    <n v="0"/>
    <x v="0"/>
  </r>
  <r>
    <s v="ORD-2023-488227"/>
    <d v="2023-09-08T00:00:00"/>
    <d v="2023-10-02T00:00:00"/>
    <s v="OK"/>
    <d v="2023-10-02T00:00:00"/>
    <n v="24"/>
    <x v="2"/>
    <x v="3"/>
    <s v="Toronto"/>
    <s v="Education"/>
    <x v="4"/>
    <x v="8"/>
    <x v="6"/>
    <x v="545"/>
    <n v="1299.03"/>
    <s v="OK"/>
    <n v="2451.2199999999998"/>
    <n v="2451.2199999999998"/>
    <n v="0.20799999999999999"/>
    <s v="OK"/>
    <n v="0.20799999999999999"/>
    <n v="1"/>
    <n v="0.3308681416032041"/>
    <n v="10392.24"/>
    <n v="5138.6899199999989"/>
    <n v="15530.929919999999"/>
    <s v="Q3-2023"/>
    <x v="27"/>
    <s v="High"/>
    <n v="8"/>
    <d v="2023-01-01T00:00:00"/>
    <d v="2023-09-01T00:00:00"/>
    <n v="0"/>
    <x v="28"/>
  </r>
  <r>
    <s v="ORD-2023-472078"/>
    <d v="2023-02-28T00:00:00"/>
    <d v="2023-03-06T00:00:00"/>
    <s v="OK"/>
    <d v="2023-03-06T00:00:00"/>
    <n v="6"/>
    <x v="3"/>
    <x v="6"/>
    <s v="Frankfurt"/>
    <s v="Small Business"/>
    <x v="2"/>
    <x v="14"/>
    <x v="1"/>
    <x v="546"/>
    <n v="880.02"/>
    <s v="OK"/>
    <n v="1251.21"/>
    <n v="1251.21"/>
    <n v="0.123"/>
    <s v="OK"/>
    <n v="0.123"/>
    <n v="0"/>
    <n v="0.19802146915172672"/>
    <n v="25520.579999999998"/>
    <n v="6301.4439300000049"/>
    <n v="31822.023930000003"/>
    <s v="Q1-2023"/>
    <x v="2"/>
    <s v="Medium"/>
    <n v="29"/>
    <d v="2023-01-01T00:00:00"/>
    <d v="2023-02-01T00:00:00"/>
    <n v="1"/>
    <x v="2"/>
  </r>
  <r>
    <s v="ORD-2024-202877"/>
    <d v="2024-07-13T00:00:00"/>
    <d v="2024-08-03T00:00:00"/>
    <s v="OK"/>
    <d v="2024-08-03T00:00:00"/>
    <n v="21"/>
    <x v="2"/>
    <x v="5"/>
    <s v="Rio de Janeiro"/>
    <s v="Corporate"/>
    <x v="2"/>
    <x v="12"/>
    <x v="5"/>
    <x v="547"/>
    <n v="702.98"/>
    <s v="OK"/>
    <n v="1104.8"/>
    <n v="1104.8"/>
    <n v="0.17499999999999999"/>
    <s v="OK"/>
    <n v="0.17499999999999999"/>
    <n v="0"/>
    <n v="0.22873192460448061"/>
    <n v="8435.76"/>
    <n v="2501.7599999999984"/>
    <n v="10937.519999999999"/>
    <s v="Q3-2024"/>
    <x v="14"/>
    <s v="Medium"/>
    <n v="12"/>
    <d v="2023-01-01T00:00:00"/>
    <d v="2024-07-01T00:00:00"/>
    <n v="0"/>
    <x v="14"/>
  </r>
  <r>
    <s v="ORD-2024-140633"/>
    <d v="2024-12-07T00:00:00"/>
    <d v="2024-12-26T00:00:00"/>
    <s v="OK"/>
    <d v="2024-12-26T00:00:00"/>
    <n v="19"/>
    <x v="3"/>
    <x v="8"/>
    <s v="London"/>
    <s v="Enterprise"/>
    <x v="1"/>
    <x v="14"/>
    <x v="2"/>
    <x v="548"/>
    <n v="1035.24"/>
    <s v="OK"/>
    <n v="2383.41"/>
    <n v="2383.41"/>
    <n v="0.17"/>
    <s v="OK"/>
    <n v="0.17"/>
    <n v="0"/>
    <n v="0.47668378145860962"/>
    <n v="15528.6"/>
    <n v="14144.854499999992"/>
    <n v="29673.454499999993"/>
    <s v="Q4-2024"/>
    <x v="6"/>
    <s v="High"/>
    <n v="15"/>
    <d v="2023-01-01T00:00:00"/>
    <d v="2024-12-01T00:00:00"/>
    <n v="0"/>
    <x v="6"/>
  </r>
  <r>
    <s v="ORD-2025-419532"/>
    <d v="2025-08-06T00:00:00"/>
    <d v="2025-08-23T00:00:00"/>
    <s v="OK"/>
    <d v="2025-08-23T00:00:00"/>
    <n v="17"/>
    <x v="2"/>
    <x v="5"/>
    <s v="Brasília"/>
    <s v="Consumer"/>
    <x v="3"/>
    <x v="8"/>
    <x v="5"/>
    <x v="549"/>
    <n v="86.64"/>
    <s v="OK"/>
    <n v="213.06"/>
    <n v="213.06"/>
    <n v="0.21199999999999999"/>
    <s v="OK"/>
    <n v="0.21199999999999999"/>
    <n v="1"/>
    <n v="0.48395175735154322"/>
    <n v="953.04"/>
    <n v="893.76407999999992"/>
    <n v="1846.8040799999999"/>
    <s v="Q3-2025"/>
    <x v="28"/>
    <s v="Low"/>
    <n v="11"/>
    <d v="2023-01-01T00:00:00"/>
    <d v="2025-08-01T00:00:00"/>
    <n v="0"/>
    <x v="29"/>
  </r>
  <r>
    <s v="ORD-2023-139236"/>
    <d v="2023-03-03T00:00:00"/>
    <d v="2023-03-20T00:00:00"/>
    <s v="OK"/>
    <d v="2023-03-20T00:00:00"/>
    <n v="17"/>
    <x v="1"/>
    <x v="2"/>
    <s v="Nagoya"/>
    <s v="Small Business"/>
    <x v="1"/>
    <x v="14"/>
    <x v="2"/>
    <x v="550"/>
    <n v="1171.17"/>
    <s v="OK"/>
    <n v="2030.64"/>
    <n v="2030.64"/>
    <n v="0.157"/>
    <s v="OK"/>
    <n v="0.157"/>
    <n v="0"/>
    <n v="0.31583724528830415"/>
    <n v="12882.87"/>
    <n v="5947.254719999999"/>
    <n v="18830.12472"/>
    <s v="Q1-2023"/>
    <x v="22"/>
    <s v="High"/>
    <n v="11"/>
    <d v="2023-03-01T00:00:00"/>
    <d v="2023-03-01T00:00:00"/>
    <n v="0"/>
    <x v="5"/>
  </r>
  <r>
    <s v="ORD-2025-337268"/>
    <d v="2025-02-16T00:00:00"/>
    <d v="2025-03-17T00:00:00"/>
    <s v="OK"/>
    <d v="2025-03-17T00:00:00"/>
    <n v="29"/>
    <x v="3"/>
    <x v="6"/>
    <s v="Munich"/>
    <s v="Consumer"/>
    <x v="0"/>
    <x v="4"/>
    <x v="6"/>
    <x v="551"/>
    <n v="730.42"/>
    <s v="OK"/>
    <n v="956.7"/>
    <n v="956.7"/>
    <n v="4.2000000000000003E-2"/>
    <s v="OK"/>
    <n v="4.2000000000000003E-2"/>
    <n v="0"/>
    <n v="0.20304945256975698"/>
    <n v="16069.24"/>
    <n v="4094.1692000000021"/>
    <n v="20163.409200000002"/>
    <s v="Q1-2025"/>
    <x v="26"/>
    <s v="Medium"/>
    <n v="22"/>
    <d v="2023-01-01T00:00:00"/>
    <d v="2025-02-01T00:00:00"/>
    <n v="0"/>
    <x v="26"/>
  </r>
  <r>
    <s v="ORD-2025-332931"/>
    <d v="2025-02-15T00:00:00"/>
    <d v="2025-03-01T00:00:00"/>
    <s v="OK"/>
    <d v="2025-03-01T00:00:00"/>
    <n v="14"/>
    <x v="0"/>
    <x v="0"/>
    <s v="Mombasa"/>
    <s v="Education"/>
    <x v="4"/>
    <x v="4"/>
    <x v="6"/>
    <x v="552"/>
    <n v="1162.8599999999999"/>
    <s v="OK"/>
    <n v="1447.68"/>
    <n v="1447.68"/>
    <n v="8.6999999999999994E-2"/>
    <s v="OK"/>
    <n v="8.6999999999999994E-2"/>
    <n v="0"/>
    <n v="0.12019975247021369"/>
    <n v="13954.32"/>
    <n v="1906.4620800000012"/>
    <n v="15860.782080000001"/>
    <s v="Q1-2025"/>
    <x v="26"/>
    <s v="Medium"/>
    <n v="12"/>
    <d v="2023-01-01T00:00:00"/>
    <d v="2025-02-01T00:00:00"/>
    <n v="0"/>
    <x v="26"/>
  </r>
  <r>
    <s v="ORD-2024-536442"/>
    <d v="2024-08-31T00:00:00"/>
    <d v="2024-09-26T00:00:00"/>
    <s v="OK"/>
    <d v="2024-09-26T00:00:00"/>
    <n v="26"/>
    <x v="1"/>
    <x v="2"/>
    <s v="Tokyo"/>
    <s v="Education"/>
    <x v="1"/>
    <x v="2"/>
    <x v="3"/>
    <x v="553"/>
    <n v="1189.03"/>
    <s v="OK"/>
    <n v="2949.62"/>
    <n v="2949.62"/>
    <n v="0.125"/>
    <s v="OK"/>
    <n v="0.125"/>
    <n v="0"/>
    <n v="0.53929949330034765"/>
    <n v="15457.39"/>
    <n v="18094.537499999999"/>
    <n v="33551.927499999998"/>
    <s v="Q3-2024"/>
    <x v="21"/>
    <s v="High"/>
    <n v="13"/>
    <d v="2023-03-01T00:00:00"/>
    <d v="2024-08-01T00:00:00"/>
    <n v="0"/>
    <x v="17"/>
  </r>
  <r>
    <s v="ORD-2023-957692"/>
    <d v="2023-05-07T00:00:00"/>
    <d v="2023-05-20T00:00:00"/>
    <s v="OK"/>
    <d v="2023-05-20T00:00:00"/>
    <n v="13"/>
    <x v="1"/>
    <x v="4"/>
    <s v="Mumbai"/>
    <s v="Enterprise"/>
    <x v="0"/>
    <x v="14"/>
    <x v="6"/>
    <x v="554"/>
    <n v="1443.28"/>
    <s v="OK"/>
    <n v="2580.5700000000002"/>
    <n v="2580.5700000000002"/>
    <n v="0"/>
    <s v="OK"/>
    <n v="0"/>
    <n v="0"/>
    <n v="0.4407127107577008"/>
    <n v="25979.040000000001"/>
    <n v="20471.22"/>
    <n v="46450.26"/>
    <s v="Q2-2023"/>
    <x v="15"/>
    <s v="High"/>
    <n v="18"/>
    <d v="2023-01-01T00:00:00"/>
    <d v="2023-05-01T00:00:00"/>
    <n v="0"/>
    <x v="15"/>
  </r>
  <r>
    <s v="ORD-2025-874124"/>
    <d v="2025-05-14T00:00:00"/>
    <d v="2025-05-21T00:00:00"/>
    <s v="Check"/>
    <d v="2025-05-12T00:00:00"/>
    <n v="7"/>
    <x v="2"/>
    <x v="3"/>
    <s v="Vancouver"/>
    <s v="Non-Profit"/>
    <x v="3"/>
    <x v="9"/>
    <x v="1"/>
    <x v="555"/>
    <n v="883.5"/>
    <s v="OK"/>
    <n v="1978.91"/>
    <n v="1978.91"/>
    <n v="5.3999999999999999E-2"/>
    <s v="OK"/>
    <n v="5.3999999999999999E-2"/>
    <n v="0"/>
    <n v="0.52805718970390547"/>
    <n v="23854.5"/>
    <n v="26690.819219999998"/>
    <n v="50545.319219999998"/>
    <s v="Q2-2025"/>
    <x v="8"/>
    <s v="High"/>
    <n v="27"/>
    <d v="2023-01-01T00:00:00"/>
    <d v="2025-05-01T00:00:00"/>
    <n v="1"/>
    <x v="8"/>
  </r>
  <r>
    <s v="ORD-2024-687073"/>
    <d v="2024-03-11T00:00:00"/>
    <d v="2024-03-29T00:00:00"/>
    <s v="OK"/>
    <d v="2024-03-29T00:00:00"/>
    <n v="18"/>
    <x v="2"/>
    <x v="10"/>
    <s v="New York"/>
    <s v="Corporate"/>
    <x v="0"/>
    <x v="12"/>
    <x v="5"/>
    <x v="556"/>
    <n v="710.98"/>
    <s v="OK"/>
    <n v="1481.45"/>
    <n v="1481.45"/>
    <n v="0.21099999999999999"/>
    <s v="OK"/>
    <n v="0.21099999999999999"/>
    <n v="1"/>
    <n v="0.39173422264120461"/>
    <n v="6398.82"/>
    <n v="4120.9564500000015"/>
    <n v="10519.776450000001"/>
    <s v="Q1-2024"/>
    <x v="0"/>
    <s v="Medium"/>
    <n v="9"/>
    <d v="2023-01-01T00:00:00"/>
    <d v="2024-03-01T00:00:00"/>
    <n v="0"/>
    <x v="0"/>
  </r>
  <r>
    <s v="ORD-2024-555229"/>
    <d v="2024-05-18T00:00:00"/>
    <d v="2024-05-22T00:00:00"/>
    <s v="OK"/>
    <d v="2024-05-22T00:00:00"/>
    <n v="4"/>
    <x v="0"/>
    <x v="0"/>
    <s v="Nairobi"/>
    <s v="Corporate"/>
    <x v="4"/>
    <x v="10"/>
    <x v="6"/>
    <x v="557"/>
    <n v="857.42"/>
    <s v="OK"/>
    <n v="1658.92"/>
    <n v="1658.92"/>
    <n v="0.122"/>
    <s v="OK"/>
    <n v="0.122"/>
    <n v="0"/>
    <n v="0.41132763215544305"/>
    <n v="7716.78"/>
    <n v="5392.0058400000007"/>
    <n v="13108.78584"/>
    <s v="Q2-2024"/>
    <x v="7"/>
    <s v="Medium"/>
    <n v="9"/>
    <d v="2023-01-01T00:00:00"/>
    <d v="2024-05-01T00:00:00"/>
    <n v="1"/>
    <x v="7"/>
  </r>
  <r>
    <s v="ORD-2024-872291"/>
    <d v="2024-01-08T00:00:00"/>
    <d v="2024-01-12T00:00:00"/>
    <s v="OK"/>
    <d v="2024-01-12T00:00:00"/>
    <n v="4"/>
    <x v="1"/>
    <x v="4"/>
    <s v="Bengaluru"/>
    <s v="Corporate"/>
    <x v="4"/>
    <x v="6"/>
    <x v="1"/>
    <x v="558"/>
    <n v="802.32"/>
    <s v="OK"/>
    <n v="602.34"/>
    <n v="602.34"/>
    <n v="0.12"/>
    <s v="OK"/>
    <n v="0.12"/>
    <n v="0"/>
    <n v="-0.51364224977134632"/>
    <n v="20058"/>
    <n v="-6806.52"/>
    <n v="13251.48"/>
    <s v="Q1-2024"/>
    <x v="9"/>
    <s v="Low"/>
    <n v="25"/>
    <d v="2023-01-01T00:00:00"/>
    <d v="2024-01-01T00:00:00"/>
    <n v="1"/>
    <x v="9"/>
  </r>
  <r>
    <s v="ORD-2024-250862"/>
    <d v="2024-10-25T00:00:00"/>
    <d v="2024-11-05T00:00:00"/>
    <s v="OK"/>
    <d v="2024-11-05T00:00:00"/>
    <n v="11"/>
    <x v="2"/>
    <x v="10"/>
    <s v="New York"/>
    <s v="Corporate"/>
    <x v="3"/>
    <x v="13"/>
    <x v="0"/>
    <x v="559"/>
    <n v="446.66"/>
    <s v="OK"/>
    <n v="527.64"/>
    <n v="527.64"/>
    <n v="0.14499999999999999"/>
    <s v="OK"/>
    <n v="0.14499999999999999"/>
    <n v="0"/>
    <n v="9.9132804087137105E-3"/>
    <n v="6699.9000000000005"/>
    <n v="67.082999999998719"/>
    <n v="6766.9829999999993"/>
    <s v="Q4-2024"/>
    <x v="1"/>
    <s v="Low"/>
    <n v="15"/>
    <d v="2023-01-01T00:00:00"/>
    <d v="2024-10-01T00:00:00"/>
    <n v="0"/>
    <x v="1"/>
  </r>
  <r>
    <s v="ORD-2024-331226"/>
    <d v="2024-11-30T00:00:00"/>
    <d v="2024-12-19T00:00:00"/>
    <s v="OK"/>
    <d v="2024-12-19T00:00:00"/>
    <n v="19"/>
    <x v="0"/>
    <x v="0"/>
    <s v="Kisumu"/>
    <s v="Corporate"/>
    <x v="1"/>
    <x v="4"/>
    <x v="3"/>
    <x v="560"/>
    <n v="1195.98"/>
    <s v="OK"/>
    <n v="1841.9"/>
    <n v="1841.9"/>
    <n v="5.5E-2"/>
    <s v="OK"/>
    <n v="5.5E-2"/>
    <n v="0"/>
    <n v="0.31289032977506842"/>
    <n v="22723.62"/>
    <n v="10347.694500000001"/>
    <n v="33071.3145"/>
    <s v="Q4-2024"/>
    <x v="18"/>
    <s v="Medium"/>
    <n v="19"/>
    <d v="2023-01-01T00:00:00"/>
    <d v="2024-11-01T00:00:00"/>
    <n v="0"/>
    <x v="10"/>
  </r>
  <r>
    <s v="ORD-2023-356427"/>
    <d v="2023-04-13T00:00:00"/>
    <d v="2023-05-02T00:00:00"/>
    <s v="OK"/>
    <d v="2023-05-02T00:00:00"/>
    <n v="19"/>
    <x v="2"/>
    <x v="3"/>
    <s v="Montreal"/>
    <s v="Consumer"/>
    <x v="3"/>
    <x v="6"/>
    <x v="5"/>
    <x v="561"/>
    <n v="671.05"/>
    <s v="OK"/>
    <n v="1645.48"/>
    <n v="1645.48"/>
    <n v="0.13700000000000001"/>
    <s v="OK"/>
    <n v="0.13700000000000001"/>
    <n v="0"/>
    <n v="0.52744596377517172"/>
    <n v="4026.2999999999997"/>
    <n v="4493.9954400000006"/>
    <n v="8520.2954399999999"/>
    <s v="Q2-2023"/>
    <x v="12"/>
    <s v="Medium"/>
    <n v="6"/>
    <d v="2023-01-01T00:00:00"/>
    <d v="2023-04-01T00:00:00"/>
    <n v="0"/>
    <x v="12"/>
  </r>
  <r>
    <s v="ORD-2025-659650"/>
    <d v="2025-02-04T00:00:00"/>
    <d v="2025-02-08T00:00:00"/>
    <s v="OK"/>
    <d v="2025-02-08T00:00:00"/>
    <n v="4"/>
    <x v="3"/>
    <x v="8"/>
    <s v="Manchester"/>
    <s v="Enterprise"/>
    <x v="2"/>
    <x v="4"/>
    <x v="2"/>
    <x v="562"/>
    <n v="586.21"/>
    <s v="OK"/>
    <n v="727.22"/>
    <n v="727.22"/>
    <n v="6.8000000000000005E-2"/>
    <s v="OK"/>
    <n v="6.8000000000000005E-2"/>
    <n v="0"/>
    <n v="0.13508884973559721"/>
    <n v="8793.1500000000015"/>
    <n v="1373.3855999999996"/>
    <n v="10166.535600000001"/>
    <s v="Q1-2025"/>
    <x v="26"/>
    <s v="Medium"/>
    <n v="15"/>
    <d v="2023-01-01T00:00:00"/>
    <d v="2025-02-01T00:00:00"/>
    <n v="1"/>
    <x v="26"/>
  </r>
  <r>
    <s v="ORD-2024-207669"/>
    <d v="2024-01-24T00:00:00"/>
    <d v="2024-02-04T00:00:00"/>
    <s v="OK"/>
    <d v="2024-02-04T00:00:00"/>
    <n v="11"/>
    <x v="3"/>
    <x v="8"/>
    <s v="Manchester"/>
    <s v="Consumer"/>
    <x v="0"/>
    <x v="5"/>
    <x v="4"/>
    <x v="563"/>
    <n v="525.34"/>
    <s v="OK"/>
    <n v="1233.79"/>
    <n v="1233.79"/>
    <n v="0.14299999999999999"/>
    <s v="OK"/>
    <n v="0.14299999999999999"/>
    <n v="0"/>
    <n v="0.50315788494082736"/>
    <n v="2101.36"/>
    <n v="2128.0721199999994"/>
    <n v="4229.4321199999995"/>
    <s v="Q1-2024"/>
    <x v="9"/>
    <s v="Medium"/>
    <n v="4"/>
    <d v="2023-01-01T00:00:00"/>
    <d v="2024-01-01T00:00:00"/>
    <n v="0"/>
    <x v="9"/>
  </r>
  <r>
    <s v="ORD-2024-979401"/>
    <d v="2024-02-08T00:00:00"/>
    <d v="2024-02-09T00:00:00"/>
    <s v="OK"/>
    <d v="2024-02-09T00:00:00"/>
    <n v="1"/>
    <x v="0"/>
    <x v="0"/>
    <s v="Mombasa"/>
    <s v="Corporate"/>
    <x v="4"/>
    <x v="9"/>
    <x v="0"/>
    <x v="564"/>
    <n v="1233.52"/>
    <s v="OK"/>
    <n v="1543.76"/>
    <n v="1543.76"/>
    <n v="0.126"/>
    <s v="OK"/>
    <n v="0.126"/>
    <n v="0"/>
    <n v="8.5771030201277493E-2"/>
    <n v="16035.76"/>
    <n v="1504.4411200000013"/>
    <n v="17540.201120000002"/>
    <s v="Q1-2024"/>
    <x v="31"/>
    <s v="Medium"/>
    <n v="13"/>
    <d v="2023-01-01T00:00:00"/>
    <d v="2024-02-01T00:00:00"/>
    <n v="1"/>
    <x v="32"/>
  </r>
  <r>
    <s v="ORD-2025-929414"/>
    <d v="2025-06-26T00:00:00"/>
    <d v="2025-07-11T00:00:00"/>
    <s v="OK"/>
    <d v="2025-07-11T00:00:00"/>
    <n v="15"/>
    <x v="0"/>
    <x v="1"/>
    <s v="Port Harcourt"/>
    <s v="Small Business"/>
    <x v="1"/>
    <x v="8"/>
    <x v="4"/>
    <x v="565"/>
    <n v="1170.1500000000001"/>
    <s v="OK"/>
    <n v="2115.19"/>
    <n v="2115.19"/>
    <n v="9.1999999999999998E-2"/>
    <s v="OK"/>
    <n v="9.1999999999999998E-2"/>
    <n v="0"/>
    <n v="0.39073489674946776"/>
    <n v="26913.45"/>
    <n v="17260.177960000005"/>
    <n v="44173.627960000005"/>
    <s v="Q2-2025"/>
    <x v="16"/>
    <s v="High"/>
    <n v="23"/>
    <d v="2023-01-01T00:00:00"/>
    <d v="2025-06-01T00:00:00"/>
    <n v="0"/>
    <x v="16"/>
  </r>
  <r>
    <s v="ORD-2024-766980"/>
    <d v="2024-11-04T00:00:00"/>
    <d v="2024-11-07T00:00:00"/>
    <s v="OK"/>
    <d v="2024-11-07T00:00:00"/>
    <n v="3"/>
    <x v="3"/>
    <x v="7"/>
    <s v="Lyon"/>
    <s v="Corporate"/>
    <x v="1"/>
    <x v="7"/>
    <x v="5"/>
    <x v="566"/>
    <n v="740.68"/>
    <s v="OK"/>
    <n v="1837.19"/>
    <n v="1837.19"/>
    <n v="0.19700000000000001"/>
    <s v="OK"/>
    <n v="0.19700000000000001"/>
    <n v="0"/>
    <n v="0.4979337827748298"/>
    <n v="12591.56"/>
    <n v="12487.920689999997"/>
    <n v="25079.480689999997"/>
    <s v="Q4-2024"/>
    <x v="18"/>
    <s v="Medium"/>
    <n v="17"/>
    <d v="2023-01-01T00:00:00"/>
    <d v="2024-11-01T00:00:00"/>
    <n v="1"/>
    <x v="10"/>
  </r>
  <r>
    <s v="ORD-2024-437164"/>
    <d v="2024-02-20T00:00:00"/>
    <d v="2024-02-20T00:00:00"/>
    <s v="OK"/>
    <d v="2024-02-20T00:00:00"/>
    <n v="0"/>
    <x v="2"/>
    <x v="10"/>
    <s v="New York"/>
    <s v="Enterprise"/>
    <x v="1"/>
    <x v="0"/>
    <x v="2"/>
    <x v="567"/>
    <n v="1407.05"/>
    <s v="OK"/>
    <n v="2858.93"/>
    <n v="2858.93"/>
    <n v="0"/>
    <s v="OK"/>
    <n v="0"/>
    <n v="0"/>
    <n v="0.50784034586366222"/>
    <n v="16884.599999999999"/>
    <n v="17422.559999999998"/>
    <n v="34307.159999999996"/>
    <s v="Q1-2024"/>
    <x v="31"/>
    <s v="High"/>
    <n v="12"/>
    <d v="2023-01-01T00:00:00"/>
    <d v="2024-02-01T00:00:00"/>
    <n v="1"/>
    <x v="32"/>
  </r>
  <r>
    <s v="ORD-2025-169093"/>
    <d v="2025-04-13T00:00:00"/>
    <d v="2025-04-14T00:00:00"/>
    <s v="OK"/>
    <d v="2025-04-14T00:00:00"/>
    <n v="1"/>
    <x v="1"/>
    <x v="2"/>
    <s v="Osaka"/>
    <s v="Enterprise"/>
    <x v="1"/>
    <x v="3"/>
    <x v="0"/>
    <x v="568"/>
    <n v="138.9"/>
    <s v="OK"/>
    <n v="289.92"/>
    <n v="289.92"/>
    <n v="2.9000000000000001E-2"/>
    <s v="OK"/>
    <n v="2.9000000000000001E-2"/>
    <n v="0"/>
    <n v="0.50659353025828491"/>
    <n v="1666.8000000000002"/>
    <n v="1711.3478399999999"/>
    <n v="3378.1478400000001"/>
    <s v="Q2-2025"/>
    <x v="19"/>
    <s v="Low"/>
    <n v="12"/>
    <d v="2023-03-01T00:00:00"/>
    <d v="2025-04-01T00:00:00"/>
    <n v="1"/>
    <x v="26"/>
  </r>
  <r>
    <s v="ORD-2023-868460"/>
    <d v="2023-06-01T00:00:00"/>
    <d v="2023-06-01T00:00:00"/>
    <s v="OK"/>
    <d v="2023-06-01T00:00:00"/>
    <n v="0"/>
    <x v="1"/>
    <x v="4"/>
    <s v="Bengaluru"/>
    <s v="Corporate"/>
    <x v="0"/>
    <x v="6"/>
    <x v="6"/>
    <x v="569"/>
    <n v="669.37"/>
    <s v="OK"/>
    <n v="997.2"/>
    <n v="997.2"/>
    <n v="8.2000000000000003E-2"/>
    <s v="OK"/>
    <n v="8.2000000000000003E-2"/>
    <n v="0"/>
    <n v="0.26879139586484863"/>
    <n v="3346.85"/>
    <n v="1230.2980000000002"/>
    <n v="4577.1480000000001"/>
    <s v="Q2-2023"/>
    <x v="23"/>
    <s v="Medium"/>
    <n v="5"/>
    <d v="2023-01-01T00:00:00"/>
    <d v="2023-06-01T00:00:00"/>
    <n v="1"/>
    <x v="22"/>
  </r>
  <r>
    <s v="ORD-2025-177994"/>
    <d v="2025-03-24T00:00:00"/>
    <d v="2025-04-04T00:00:00"/>
    <s v="OK"/>
    <d v="2025-04-04T00:00:00"/>
    <n v="11"/>
    <x v="1"/>
    <x v="4"/>
    <s v="Mumbai"/>
    <s v="Education"/>
    <x v="2"/>
    <x v="1"/>
    <x v="3"/>
    <x v="570"/>
    <n v="23.83"/>
    <s v="OK"/>
    <n v="47.29"/>
    <n v="47.29"/>
    <n v="6.4000000000000001E-2"/>
    <s v="OK"/>
    <n v="6.4000000000000001E-2"/>
    <n v="0"/>
    <n v="0.46163244429262618"/>
    <n v="452.77"/>
    <n v="388.23536000000001"/>
    <n v="841.00536"/>
    <s v="Q1-2025"/>
    <x v="3"/>
    <s v="Low"/>
    <n v="19"/>
    <d v="2023-01-01T00:00:00"/>
    <d v="2025-03-01T00:00:00"/>
    <n v="0"/>
    <x v="3"/>
  </r>
  <r>
    <s v="ORD-2024-355095"/>
    <d v="2024-01-02T00:00:00"/>
    <d v="2024-01-02T00:00:00"/>
    <s v="OK"/>
    <d v="2024-01-02T00:00:00"/>
    <n v="0"/>
    <x v="2"/>
    <x v="3"/>
    <s v="Vancouver"/>
    <s v="Education"/>
    <x v="4"/>
    <x v="8"/>
    <x v="4"/>
    <x v="571"/>
    <n v="444.41"/>
    <s v="OK"/>
    <n v="754.24"/>
    <n v="754.24"/>
    <n v="0.20699999999999999"/>
    <s v="OK"/>
    <n v="0.20699999999999999"/>
    <n v="1"/>
    <n v="0.25697902360546598"/>
    <n v="14221.12"/>
    <n v="4918.4742400000014"/>
    <n v="19139.594240000002"/>
    <s v="Q1-2024"/>
    <x v="9"/>
    <s v="Medium"/>
    <n v="32"/>
    <d v="2023-01-01T00:00:00"/>
    <d v="2024-01-01T00:00:00"/>
    <n v="1"/>
    <x v="9"/>
  </r>
  <r>
    <s v="ORD-2023-126505"/>
    <d v="2023-12-19T00:00:00"/>
    <d v="2024-01-01T00:00:00"/>
    <s v="OK"/>
    <d v="2024-01-01T00:00:00"/>
    <n v="13"/>
    <x v="2"/>
    <x v="3"/>
    <s v="Toronto"/>
    <s v="Enterprise"/>
    <x v="0"/>
    <x v="11"/>
    <x v="5"/>
    <x v="572"/>
    <n v="856.1"/>
    <s v="OK"/>
    <n v="901.48"/>
    <n v="901.48"/>
    <n v="5.6000000000000001E-2"/>
    <s v="OK"/>
    <n v="5.6000000000000001E-2"/>
    <n v="0"/>
    <n v="-5.9963540182134192E-3"/>
    <n v="14553.7"/>
    <n v="-86.748960000000807"/>
    <n v="14466.95104"/>
    <s v="Q4-2023"/>
    <x v="4"/>
    <s v="Medium"/>
    <n v="17"/>
    <d v="2023-01-01T00:00:00"/>
    <d v="2023-12-01T00:00:00"/>
    <n v="0"/>
    <x v="27"/>
  </r>
  <r>
    <s v="ORD-2023-340056"/>
    <d v="2023-04-26T00:00:00"/>
    <d v="2023-04-26T00:00:00"/>
    <s v="OK"/>
    <d v="2023-04-26T00:00:00"/>
    <n v="0"/>
    <x v="3"/>
    <x v="7"/>
    <s v="Marseille"/>
    <s v="Consumer"/>
    <x v="4"/>
    <x v="12"/>
    <x v="0"/>
    <x v="573"/>
    <n v="81.489999999999995"/>
    <s v="OK"/>
    <n v="113.08"/>
    <n v="113.08"/>
    <n v="0.121"/>
    <s v="OK"/>
    <n v="0.121"/>
    <n v="0"/>
    <n v="0.18015898215364362"/>
    <n v="407.45"/>
    <n v="89.536600000000021"/>
    <n v="496.98660000000001"/>
    <s v="Q2-2023"/>
    <x v="12"/>
    <s v="Low"/>
    <n v="5"/>
    <d v="2023-01-01T00:00:00"/>
    <d v="2023-04-01T00:00:00"/>
    <n v="1"/>
    <x v="12"/>
  </r>
  <r>
    <s v="ORD-2025-281413"/>
    <d v="2025-08-03T00:00:00"/>
    <d v="2025-08-16T00:00:00"/>
    <s v="OK"/>
    <d v="2025-08-16T00:00:00"/>
    <n v="13"/>
    <x v="2"/>
    <x v="3"/>
    <s v="Montreal"/>
    <s v="Enterprise"/>
    <x v="3"/>
    <x v="7"/>
    <x v="2"/>
    <x v="574"/>
    <n v="698.66"/>
    <s v="OK"/>
    <n v="868.62"/>
    <n v="868.62"/>
    <n v="7.1999999999999995E-2"/>
    <s v="OK"/>
    <n v="7.1999999999999995E-2"/>
    <n v="0"/>
    <n v="0.13326151906432637"/>
    <n v="10479.9"/>
    <n v="1611.2903999999999"/>
    <n v="12091.190399999999"/>
    <s v="Q3-2025"/>
    <x v="28"/>
    <s v="Medium"/>
    <n v="15"/>
    <d v="2023-01-01T00:00:00"/>
    <d v="2025-08-01T00:00:00"/>
    <n v="0"/>
    <x v="29"/>
  </r>
  <r>
    <s v="ORD-2023-713614"/>
    <d v="2023-08-02T00:00:00"/>
    <d v="2023-08-19T00:00:00"/>
    <s v="OK"/>
    <d v="2023-08-19T00:00:00"/>
    <n v="17"/>
    <x v="2"/>
    <x v="3"/>
    <s v="Vancouver"/>
    <s v="Corporate"/>
    <x v="1"/>
    <x v="9"/>
    <x v="2"/>
    <x v="575"/>
    <n v="175.38"/>
    <s v="OK"/>
    <n v="347.9"/>
    <n v="347.9"/>
    <n v="7.1999999999999995E-2"/>
    <s v="OK"/>
    <n v="7.1999999999999995E-2"/>
    <n v="0"/>
    <n v="0.45677761148169804"/>
    <n v="7541.34"/>
    <n v="6341.2615999999998"/>
    <n v="13882.6016"/>
    <s v="Q3-2023"/>
    <x v="25"/>
    <s v="Low"/>
    <n v="43"/>
    <d v="2023-01-01T00:00:00"/>
    <d v="2023-08-01T00:00:00"/>
    <n v="0"/>
    <x v="25"/>
  </r>
  <r>
    <s v="ORD-2023-173313"/>
    <d v="2023-06-15T00:00:00"/>
    <d v="2023-07-12T00:00:00"/>
    <s v="OK"/>
    <d v="2023-07-12T00:00:00"/>
    <n v="27"/>
    <x v="3"/>
    <x v="8"/>
    <s v="Manchester"/>
    <s v="Consumer"/>
    <x v="4"/>
    <x v="2"/>
    <x v="6"/>
    <x v="576"/>
    <n v="751.28"/>
    <s v="OK"/>
    <n v="1111.8800000000001"/>
    <n v="1111.8800000000001"/>
    <n v="0.13500000000000001"/>
    <s v="OK"/>
    <n v="0.13500000000000001"/>
    <n v="0"/>
    <n v="0.21886193482433863"/>
    <n v="5258.96"/>
    <n v="1473.4734000000008"/>
    <n v="6732.4334000000008"/>
    <s v="Q2-2023"/>
    <x v="23"/>
    <s v="Medium"/>
    <n v="7"/>
    <d v="2023-01-01T00:00:00"/>
    <d v="2023-06-01T00:00:00"/>
    <n v="0"/>
    <x v="22"/>
  </r>
  <r>
    <s v="ORD-2024-496601"/>
    <d v="2024-11-11T00:00:00"/>
    <d v="2024-11-24T00:00:00"/>
    <s v="OK"/>
    <d v="2024-11-24T00:00:00"/>
    <n v="13"/>
    <x v="3"/>
    <x v="8"/>
    <s v="London"/>
    <s v="Corporate"/>
    <x v="0"/>
    <x v="6"/>
    <x v="2"/>
    <x v="577"/>
    <n v="164.53"/>
    <s v="OK"/>
    <n v="327.72"/>
    <n v="327.72"/>
    <n v="6.7000000000000004E-2"/>
    <s v="OK"/>
    <n v="6.7000000000000004E-2"/>
    <n v="0"/>
    <n v="0.46190307805960412"/>
    <n v="2303.42"/>
    <n v="1977.25864"/>
    <n v="4280.6786400000001"/>
    <s v="Q4-2024"/>
    <x v="18"/>
    <s v="Low"/>
    <n v="14"/>
    <d v="2023-01-01T00:00:00"/>
    <d v="2024-11-01T00:00:00"/>
    <n v="0"/>
    <x v="10"/>
  </r>
  <r>
    <s v="ORD-2025-155182"/>
    <d v="2025-07-11T00:00:00"/>
    <d v="2025-08-03T00:00:00"/>
    <s v="OK"/>
    <d v="2025-08-03T00:00:00"/>
    <n v="23"/>
    <x v="0"/>
    <x v="0"/>
    <s v="Nakuru"/>
    <s v="Small Business"/>
    <x v="0"/>
    <x v="0"/>
    <x v="3"/>
    <x v="578"/>
    <n v="389.93"/>
    <s v="OK"/>
    <n v="486.13"/>
    <n v="486.13"/>
    <n v="0.13200000000000001"/>
    <s v="OK"/>
    <n v="0.13200000000000001"/>
    <n v="0"/>
    <n v="7.5909508569562828E-2"/>
    <n v="6628.81"/>
    <n v="544.52427999999873"/>
    <n v="7173.3342799999991"/>
    <s v="Q3-2025"/>
    <x v="13"/>
    <s v="Low"/>
    <n v="17"/>
    <d v="2023-01-01T00:00:00"/>
    <d v="2025-07-01T00:00:00"/>
    <n v="0"/>
    <x v="13"/>
  </r>
  <r>
    <s v="ORD-2023-244375"/>
    <d v="2023-06-03T00:00:00"/>
    <d v="2023-07-01T00:00:00"/>
    <s v="OK"/>
    <d v="2023-07-01T00:00:00"/>
    <n v="28"/>
    <x v="2"/>
    <x v="5"/>
    <s v="Brasília"/>
    <s v="Small Business"/>
    <x v="2"/>
    <x v="8"/>
    <x v="0"/>
    <x v="579"/>
    <n v="860.4"/>
    <s v="OK"/>
    <n v="2066.6"/>
    <n v="2066.6"/>
    <n v="0.01"/>
    <s v="OK"/>
    <n v="0.01"/>
    <n v="0"/>
    <n v="0.57945857491004105"/>
    <n v="2581.1999999999998"/>
    <n v="3556.601999999999"/>
    <n v="6137.8019999999988"/>
    <s v="Q2-2023"/>
    <x v="23"/>
    <s v="High"/>
    <n v="3"/>
    <d v="2023-01-01T00:00:00"/>
    <d v="2023-06-01T00:00:00"/>
    <n v="0"/>
    <x v="22"/>
  </r>
  <r>
    <s v="ORD-2023-856322"/>
    <d v="2023-01-29T00:00:00"/>
    <d v="2023-02-06T00:00:00"/>
    <s v="OK"/>
    <d v="2023-02-06T00:00:00"/>
    <n v="8"/>
    <x v="2"/>
    <x v="5"/>
    <s v="Brasília"/>
    <s v="Corporate"/>
    <x v="2"/>
    <x v="14"/>
    <x v="5"/>
    <x v="580"/>
    <n v="41.84"/>
    <s v="OK"/>
    <n v="86.2"/>
    <n v="86.2"/>
    <n v="0.22600000000000001"/>
    <s v="OK"/>
    <n v="0.22600000000000001"/>
    <n v="1"/>
    <n v="0.37289039970742882"/>
    <n v="1129.68"/>
    <n v="671.72760000000017"/>
    <n v="1801.4076000000002"/>
    <s v="Q1-2023"/>
    <x v="5"/>
    <s v="Low"/>
    <n v="27"/>
    <d v="2023-01-01T00:00:00"/>
    <d v="2023-01-01T00:00:00"/>
    <n v="0"/>
    <x v="5"/>
  </r>
  <r>
    <s v="ORD-2024-594527"/>
    <d v="2024-09-06T00:00:00"/>
    <d v="2024-09-13T00:00:00"/>
    <s v="Check"/>
    <d v="2024-09-04T00:00:00"/>
    <n v="7"/>
    <x v="1"/>
    <x v="2"/>
    <s v="Osaka"/>
    <s v="Corporate"/>
    <x v="4"/>
    <x v="8"/>
    <x v="4"/>
    <x v="581"/>
    <n v="1368.17"/>
    <s v="OK"/>
    <n v="2307.75"/>
    <n v="2307.75"/>
    <n v="0.16300000000000001"/>
    <s v="OK"/>
    <n v="0.16300000000000001"/>
    <n v="0"/>
    <n v="0.29168596750831921"/>
    <n v="28731.57"/>
    <n v="11831.751749999996"/>
    <n v="40563.321749999996"/>
    <s v="Q3-2024"/>
    <x v="29"/>
    <s v="High"/>
    <n v="21"/>
    <d v="2023-03-01T00:00:00"/>
    <d v="2024-09-01T00:00:00"/>
    <n v="1"/>
    <x v="14"/>
  </r>
  <r>
    <s v="ORD-2024-689872"/>
    <d v="2024-08-03T00:00:00"/>
    <d v="2024-08-09T00:00:00"/>
    <s v="OK"/>
    <d v="2024-08-09T00:00:00"/>
    <n v="6"/>
    <x v="0"/>
    <x v="0"/>
    <s v="Mombasa"/>
    <s v="Consumer"/>
    <x v="2"/>
    <x v="10"/>
    <x v="4"/>
    <x v="582"/>
    <n v="643.21"/>
    <s v="OK"/>
    <n v="1112.81"/>
    <n v="1112.81"/>
    <n v="0.14099999999999999"/>
    <s v="OK"/>
    <n v="0.14099999999999999"/>
    <n v="0"/>
    <n v="0.32711847496702562"/>
    <n v="2572.84"/>
    <n v="1250.7751599999997"/>
    <n v="3823.6151599999998"/>
    <s v="Q3-2024"/>
    <x v="21"/>
    <s v="Medium"/>
    <n v="4"/>
    <d v="2023-01-01T00:00:00"/>
    <d v="2024-08-01T00:00:00"/>
    <n v="1"/>
    <x v="20"/>
  </r>
  <r>
    <s v="ORD-2025-246692"/>
    <d v="2025-04-17T00:00:00"/>
    <d v="2025-04-17T00:00:00"/>
    <s v="OK"/>
    <d v="2025-04-17T00:00:00"/>
    <n v="0"/>
    <x v="2"/>
    <x v="5"/>
    <s v="São Paulo"/>
    <s v="Corporate"/>
    <x v="3"/>
    <x v="4"/>
    <x v="3"/>
    <x v="583"/>
    <n v="719.41"/>
    <s v="OK"/>
    <n v="1125.99"/>
    <n v="1125.99"/>
    <n v="4.1000000000000002E-2"/>
    <s v="OK"/>
    <n v="4.1000000000000002E-2"/>
    <n v="0"/>
    <n v="0.33377131194876403"/>
    <n v="15107.609999999999"/>
    <n v="7568.7026100000021"/>
    <n v="22676.312610000001"/>
    <s v="Q2-2025"/>
    <x v="19"/>
    <s v="Medium"/>
    <n v="21"/>
    <d v="2023-01-01T00:00:00"/>
    <d v="2025-04-01T00:00:00"/>
    <n v="1"/>
    <x v="18"/>
  </r>
  <r>
    <s v="ORD-2023-378676"/>
    <d v="2023-05-03T00:00:00"/>
    <d v="2023-05-16T00:00:00"/>
    <s v="OK"/>
    <d v="2023-05-16T00:00:00"/>
    <n v="13"/>
    <x v="2"/>
    <x v="10"/>
    <s v="New York"/>
    <s v="Corporate"/>
    <x v="2"/>
    <x v="4"/>
    <x v="3"/>
    <x v="584"/>
    <n v="64.5"/>
    <s v="OK"/>
    <n v="123.62"/>
    <n v="123.62"/>
    <n v="0"/>
    <s v="OK"/>
    <n v="0"/>
    <n v="0"/>
    <n v="0.47823976702798904"/>
    <n v="193.5"/>
    <n v="177.36"/>
    <n v="370.86"/>
    <s v="Q2-2023"/>
    <x v="15"/>
    <s v="Low"/>
    <n v="3"/>
    <d v="2023-01-01T00:00:00"/>
    <d v="2023-05-01T00:00:00"/>
    <n v="0"/>
    <x v="15"/>
  </r>
  <r>
    <s v="ORD-2024-243988"/>
    <d v="2024-03-13T00:00:00"/>
    <d v="2024-04-06T00:00:00"/>
    <s v="OK"/>
    <d v="2024-04-06T00:00:00"/>
    <n v="24"/>
    <x v="0"/>
    <x v="1"/>
    <s v="Abuja"/>
    <s v="Consumer"/>
    <x v="3"/>
    <x v="4"/>
    <x v="0"/>
    <x v="585"/>
    <n v="1232.78"/>
    <s v="OK"/>
    <n v="1731.75"/>
    <n v="1731.75"/>
    <n v="9.2999999999999999E-2"/>
    <s v="OK"/>
    <n v="9.2999999999999999E-2"/>
    <n v="0"/>
    <n v="0.21513837246484005"/>
    <n v="19724.48"/>
    <n v="5406.6759999999995"/>
    <n v="25131.155999999999"/>
    <s v="Q1-2024"/>
    <x v="0"/>
    <s v="Medium"/>
    <n v="16"/>
    <d v="2023-01-01T00:00:00"/>
    <d v="2024-03-01T00:00:00"/>
    <n v="0"/>
    <x v="0"/>
  </r>
  <r>
    <s v="ORD-2024-572312"/>
    <d v="2024-06-16T00:00:00"/>
    <d v="2024-06-21T00:00:00"/>
    <s v="OK"/>
    <d v="2024-06-21T00:00:00"/>
    <n v="5"/>
    <x v="1"/>
    <x v="2"/>
    <s v="Tokyo"/>
    <s v="Small Business"/>
    <x v="3"/>
    <x v="9"/>
    <x v="3"/>
    <x v="586"/>
    <n v="1367.13"/>
    <s v="OK"/>
    <n v="3062.01"/>
    <n v="3062.01"/>
    <n v="0.10299999999999999"/>
    <s v="OK"/>
    <n v="0.10299999999999999"/>
    <n v="0"/>
    <n v="0.50225057645971705"/>
    <n v="34178.25"/>
    <n v="34487.324250000005"/>
    <n v="68665.574250000005"/>
    <s v="Q2-2024"/>
    <x v="17"/>
    <s v="High"/>
    <n v="25"/>
    <d v="2023-03-01T00:00:00"/>
    <d v="2024-06-01T00:00:00"/>
    <n v="1"/>
    <x v="19"/>
  </r>
  <r>
    <s v="ORD-2025-281062"/>
    <d v="2025-02-15T00:00:00"/>
    <d v="2025-02-27T00:00:00"/>
    <s v="OK"/>
    <d v="2025-02-27T00:00:00"/>
    <n v="12"/>
    <x v="3"/>
    <x v="7"/>
    <s v="Lyon"/>
    <s v="Non-Profit"/>
    <x v="4"/>
    <x v="11"/>
    <x v="6"/>
    <x v="587"/>
    <n v="1027.26"/>
    <s v="OK"/>
    <n v="2200.41"/>
    <n v="2200.41"/>
    <n v="8.7999999999999995E-2"/>
    <s v="OK"/>
    <n v="8.7999999999999995E-2"/>
    <n v="0"/>
    <n v="0.48810377204822358"/>
    <n v="6163.5599999999995"/>
    <n v="5877.0835200000001"/>
    <n v="12040.64352"/>
    <s v="Q1-2025"/>
    <x v="26"/>
    <s v="High"/>
    <n v="6"/>
    <d v="2023-01-01T00:00:00"/>
    <d v="2025-02-01T00:00:00"/>
    <n v="0"/>
    <x v="26"/>
  </r>
  <r>
    <s v="ORD-2023-727290"/>
    <d v="2023-04-03T00:00:00"/>
    <d v="2023-04-16T00:00:00"/>
    <s v="OK"/>
    <d v="2023-04-16T00:00:00"/>
    <n v="13"/>
    <x v="3"/>
    <x v="7"/>
    <s v="Marseille"/>
    <s v="Non-Profit"/>
    <x v="2"/>
    <x v="12"/>
    <x v="6"/>
    <x v="588"/>
    <n v="790.54"/>
    <s v="OK"/>
    <n v="601.49"/>
    <n v="601.49"/>
    <n v="0"/>
    <s v="OK"/>
    <n v="0"/>
    <n v="0"/>
    <n v="-0.31430281467688553"/>
    <n v="11858.099999999999"/>
    <n v="-2835.7499999999982"/>
    <n v="9022.35"/>
    <s v="Q2-2023"/>
    <x v="12"/>
    <s v="Low"/>
    <n v="15"/>
    <d v="2023-01-01T00:00:00"/>
    <d v="2023-04-01T00:00:00"/>
    <n v="0"/>
    <x v="12"/>
  </r>
  <r>
    <s v="ORD-2025-993993"/>
    <d v="2025-08-30T00:00:00"/>
    <d v="2025-09-22T00:00:00"/>
    <s v="OK"/>
    <d v="2025-09-22T00:00:00"/>
    <n v="23"/>
    <x v="3"/>
    <x v="7"/>
    <s v="Marseille"/>
    <s v="Corporate"/>
    <x v="4"/>
    <x v="6"/>
    <x v="0"/>
    <x v="589"/>
    <n v="663.9"/>
    <s v="OK"/>
    <n v="947.77"/>
    <n v="947.77"/>
    <n v="0.17399999999999999"/>
    <s v="OK"/>
    <n v="0.17399999999999999"/>
    <n v="0"/>
    <n v="0.1519535049280073"/>
    <n v="9958.5"/>
    <n v="1784.3703000000005"/>
    <n v="11742.8703"/>
    <s v="Q3-2025"/>
    <x v="28"/>
    <s v="Medium"/>
    <n v="15"/>
    <d v="2023-01-01T00:00:00"/>
    <d v="2025-08-01T00:00:00"/>
    <n v="0"/>
    <x v="29"/>
  </r>
  <r>
    <s v="ORD-2023-619493"/>
    <d v="2023-02-27T00:00:00"/>
    <d v="2023-03-06T00:00:00"/>
    <s v="Check"/>
    <d v="2023-02-26T00:00:00"/>
    <n v="7"/>
    <x v="2"/>
    <x v="10"/>
    <s v="San Francisco"/>
    <s v="Non-Profit"/>
    <x v="1"/>
    <x v="4"/>
    <x v="2"/>
    <x v="590"/>
    <n v="1015.91"/>
    <s v="OK"/>
    <n v="2331.48"/>
    <n v="2331.48"/>
    <n v="0.14599999999999999"/>
    <s v="OK"/>
    <n v="0.14599999999999999"/>
    <n v="0"/>
    <n v="0.48977037592669626"/>
    <n v="26413.66"/>
    <n v="25354.521920000003"/>
    <n v="51768.181920000003"/>
    <s v="Q1-2023"/>
    <x v="2"/>
    <s v="High"/>
    <n v="26"/>
    <d v="2023-01-01T00:00:00"/>
    <d v="2023-02-01T00:00:00"/>
    <n v="1"/>
    <x v="2"/>
  </r>
  <r>
    <s v="ORD-2024-947056"/>
    <d v="2024-07-31T00:00:00"/>
    <d v="2024-08-15T00:00:00"/>
    <s v="OK"/>
    <d v="2024-08-15T00:00:00"/>
    <n v="15"/>
    <x v="1"/>
    <x v="2"/>
    <s v="Tokyo"/>
    <s v="Corporate"/>
    <x v="2"/>
    <x v="9"/>
    <x v="5"/>
    <x v="591"/>
    <n v="1252.52"/>
    <s v="OK"/>
    <n v="1417.24"/>
    <n v="1417.24"/>
    <n v="0.192"/>
    <s v="OK"/>
    <n v="0.192"/>
    <n v="0"/>
    <n v="-9.3779821943696953E-2"/>
    <n v="6262.6"/>
    <n v="-536.95039999999972"/>
    <n v="5725.6496000000006"/>
    <s v="Q3-2024"/>
    <x v="14"/>
    <s v="Medium"/>
    <n v="5"/>
    <d v="2023-03-01T00:00:00"/>
    <d v="2024-07-01T00:00:00"/>
    <n v="0"/>
    <x v="7"/>
  </r>
  <r>
    <s v="ORD-2025-856556"/>
    <d v="2025-06-15T00:00:00"/>
    <d v="2025-07-12T00:00:00"/>
    <s v="OK"/>
    <d v="2025-07-12T00:00:00"/>
    <n v="27"/>
    <x v="3"/>
    <x v="7"/>
    <s v="Marseille"/>
    <s v="Consumer"/>
    <x v="4"/>
    <x v="0"/>
    <x v="6"/>
    <x v="592"/>
    <n v="318.83"/>
    <s v="OK"/>
    <n v="699.5"/>
    <n v="699.5"/>
    <n v="0.08"/>
    <s v="OK"/>
    <n v="0.08"/>
    <n v="0"/>
    <n v="0.50456848059172699"/>
    <n v="4144.79"/>
    <n v="4221.2300000000005"/>
    <n v="8366.02"/>
    <s v="Q2-2025"/>
    <x v="16"/>
    <s v="Medium"/>
    <n v="13"/>
    <d v="2023-01-01T00:00:00"/>
    <d v="2025-06-01T00:00:00"/>
    <n v="0"/>
    <x v="16"/>
  </r>
  <r>
    <s v="ORD-2024-442776"/>
    <d v="2024-06-30T00:00:00"/>
    <d v="2024-07-21T00:00:00"/>
    <s v="OK"/>
    <d v="2024-07-21T00:00:00"/>
    <n v="21"/>
    <x v="0"/>
    <x v="0"/>
    <s v="Kisumu"/>
    <s v="Small Business"/>
    <x v="0"/>
    <x v="11"/>
    <x v="4"/>
    <x v="593"/>
    <n v="753.43"/>
    <s v="OK"/>
    <n v="1787.2"/>
    <n v="1787.2"/>
    <n v="7.2999999999999995E-2"/>
    <s v="OK"/>
    <n v="7.2999999999999995E-2"/>
    <n v="0"/>
    <n v="0.54523187301476939"/>
    <n v="6780.87"/>
    <n v="8129.7396000000017"/>
    <n v="14910.609600000002"/>
    <s v="Q2-2024"/>
    <x v="17"/>
    <s v="Medium"/>
    <n v="9"/>
    <d v="2023-01-01T00:00:00"/>
    <d v="2024-06-01T00:00:00"/>
    <n v="0"/>
    <x v="17"/>
  </r>
  <r>
    <s v="ORD-2025-705398"/>
    <d v="2025-02-17T00:00:00"/>
    <d v="2025-02-24T00:00:00"/>
    <s v="Check"/>
    <d v="2025-02-15T00:00:00"/>
    <n v="7"/>
    <x v="2"/>
    <x v="3"/>
    <s v="Toronto"/>
    <s v="Small Business"/>
    <x v="0"/>
    <x v="14"/>
    <x v="0"/>
    <x v="594"/>
    <n v="1133.47"/>
    <s v="OK"/>
    <n v="1698.75"/>
    <n v="1698.75"/>
    <n v="4.2999999999999997E-2"/>
    <s v="OK"/>
    <n v="4.2999999999999997E-2"/>
    <n v="0"/>
    <n v="0.30278194904821976"/>
    <n v="5667.35"/>
    <n v="2461.1687499999989"/>
    <n v="8128.5187499999993"/>
    <s v="Q1-2025"/>
    <x v="26"/>
    <s v="Medium"/>
    <n v="5"/>
    <d v="2023-01-01T00:00:00"/>
    <d v="2025-02-01T00:00:00"/>
    <n v="1"/>
    <x v="26"/>
  </r>
  <r>
    <s v="ORD-2023-689428"/>
    <d v="2023-01-07T00:00:00"/>
    <d v="2023-01-30T00:00:00"/>
    <s v="OK"/>
    <d v="2023-01-30T00:00:00"/>
    <n v="23"/>
    <x v="0"/>
    <x v="11"/>
    <s v="Cape Town"/>
    <s v="Consumer"/>
    <x v="1"/>
    <x v="8"/>
    <x v="1"/>
    <x v="595"/>
    <n v="299.02"/>
    <s v="OK"/>
    <n v="724.7"/>
    <n v="724.7"/>
    <n v="0.14000000000000001"/>
    <s v="OK"/>
    <n v="0.14000000000000001"/>
    <n v="0"/>
    <n v="0.52021847051386139"/>
    <n v="1495.1"/>
    <n v="1621.1100000000001"/>
    <n v="3116.21"/>
    <s v="Q1-2023"/>
    <x v="5"/>
    <s v="Medium"/>
    <n v="5"/>
    <d v="2023-01-01T00:00:00"/>
    <d v="2023-01-01T00:00:00"/>
    <n v="0"/>
    <x v="5"/>
  </r>
  <r>
    <s v="ORD-2025-683247"/>
    <d v="2025-03-10T00:00:00"/>
    <d v="2025-04-04T00:00:00"/>
    <s v="OK"/>
    <d v="2025-04-04T00:00:00"/>
    <n v="25"/>
    <x v="1"/>
    <x v="2"/>
    <s v="Osaka"/>
    <s v="Corporate"/>
    <x v="4"/>
    <x v="10"/>
    <x v="1"/>
    <x v="596"/>
    <n v="783.72"/>
    <s v="OK"/>
    <n v="1355.94"/>
    <n v="1355.94"/>
    <n v="0.187"/>
    <s v="OK"/>
    <n v="0.187"/>
    <n v="0"/>
    <n v="0.28906497348525856"/>
    <n v="3134.88"/>
    <n v="1274.63688"/>
    <n v="4409.5168800000001"/>
    <s v="Q1-2025"/>
    <x v="3"/>
    <s v="Medium"/>
    <n v="4"/>
    <d v="2023-03-01T00:00:00"/>
    <d v="2025-03-01T00:00:00"/>
    <n v="0"/>
    <x v="24"/>
  </r>
  <r>
    <s v="ORD-2024-585443"/>
    <d v="2024-08-17T00:00:00"/>
    <d v="2024-08-24T00:00:00"/>
    <s v="Check"/>
    <d v="2024-08-15T00:00:00"/>
    <n v="7"/>
    <x v="2"/>
    <x v="5"/>
    <s v="Rio de Janeiro"/>
    <s v="Consumer"/>
    <x v="4"/>
    <x v="12"/>
    <x v="5"/>
    <x v="597"/>
    <n v="165.3"/>
    <s v="OK"/>
    <n v="275.07"/>
    <n v="275.07"/>
    <n v="0.13300000000000001"/>
    <s v="OK"/>
    <n v="0.13300000000000001"/>
    <n v="0"/>
    <n v="0.30687665159280625"/>
    <n v="4132.5"/>
    <n v="1829.6422499999999"/>
    <n v="5962.1422499999999"/>
    <s v="Q3-2024"/>
    <x v="21"/>
    <s v="Low"/>
    <n v="25"/>
    <d v="2023-01-01T00:00:00"/>
    <d v="2024-08-01T00:00:00"/>
    <n v="1"/>
    <x v="20"/>
  </r>
  <r>
    <s v="ORD-2024-907733"/>
    <d v="2024-03-09T00:00:00"/>
    <d v="2024-03-22T00:00:00"/>
    <s v="OK"/>
    <d v="2024-03-22T00:00:00"/>
    <n v="13"/>
    <x v="3"/>
    <x v="8"/>
    <s v="Manchester"/>
    <s v="Consumer"/>
    <x v="1"/>
    <x v="6"/>
    <x v="4"/>
    <x v="598"/>
    <n v="985.45"/>
    <s v="OK"/>
    <n v="1802.44"/>
    <n v="1802.44"/>
    <n v="8.9999999999999993E-3"/>
    <s v="OK"/>
    <n v="8.9999999999999993E-3"/>
    <n v="0"/>
    <n v="0.44830363486867486"/>
    <n v="18723.55"/>
    <n v="15214.592760000003"/>
    <n v="33938.142760000002"/>
    <s v="Q1-2024"/>
    <x v="0"/>
    <s v="Medium"/>
    <n v="19"/>
    <d v="2023-01-01T00:00:00"/>
    <d v="2024-03-01T00:00:00"/>
    <n v="0"/>
    <x v="0"/>
  </r>
  <r>
    <s v="ORD-2024-550400"/>
    <d v="2024-08-19T00:00:00"/>
    <d v="2024-09-02T00:00:00"/>
    <s v="OK"/>
    <d v="2024-09-02T00:00:00"/>
    <n v="14"/>
    <x v="2"/>
    <x v="3"/>
    <s v="Toronto"/>
    <s v="Consumer"/>
    <x v="3"/>
    <x v="0"/>
    <x v="1"/>
    <x v="599"/>
    <n v="1337.01"/>
    <s v="OK"/>
    <n v="1269.78"/>
    <n v="1269.78"/>
    <n v="0.16"/>
    <s v="OK"/>
    <n v="0.16"/>
    <n v="0"/>
    <n v="-0.25350735672996244"/>
    <n v="9359.07"/>
    <n v="-1892.7636000000011"/>
    <n v="7466.3063999999986"/>
    <s v="Q3-2024"/>
    <x v="21"/>
    <s v="Medium"/>
    <n v="7"/>
    <d v="2023-01-01T00:00:00"/>
    <d v="2024-08-01T00:00:00"/>
    <n v="0"/>
    <x v="20"/>
  </r>
  <r>
    <s v="ORD-2025-189846"/>
    <d v="2025-08-11T00:00:00"/>
    <d v="2025-08-28T00:00:00"/>
    <s v="OK"/>
    <d v="2025-08-28T00:00:00"/>
    <n v="17"/>
    <x v="3"/>
    <x v="7"/>
    <s v="Paris"/>
    <s v="Education"/>
    <x v="1"/>
    <x v="9"/>
    <x v="2"/>
    <x v="600"/>
    <n v="416.16"/>
    <s v="OK"/>
    <n v="571.9"/>
    <n v="571.9"/>
    <n v="7.0999999999999994E-2"/>
    <s v="OK"/>
    <n v="7.0999999999999994E-2"/>
    <n v="0"/>
    <n v="0.21670649701079497"/>
    <n v="832.32"/>
    <n v="230.27020000000005"/>
    <n v="1062.5902000000001"/>
    <s v="Q3-2025"/>
    <x v="28"/>
    <s v="Low"/>
    <n v="2"/>
    <d v="2023-01-01T00:00:00"/>
    <d v="2025-08-01T00:00:00"/>
    <n v="0"/>
    <x v="29"/>
  </r>
  <r>
    <s v="ORD-2025-752192"/>
    <d v="2025-05-16T00:00:00"/>
    <d v="2025-05-18T00:00:00"/>
    <s v="OK"/>
    <d v="2025-05-18T00:00:00"/>
    <n v="2"/>
    <x v="1"/>
    <x v="2"/>
    <s v="Tokyo"/>
    <s v="Enterprise"/>
    <x v="0"/>
    <x v="1"/>
    <x v="1"/>
    <x v="601"/>
    <n v="1144.3800000000001"/>
    <s v="OK"/>
    <n v="2755.04"/>
    <n v="2755.04"/>
    <n v="0.15"/>
    <s v="OK"/>
    <n v="0.15"/>
    <n v="0"/>
    <n v="0.51132128326096682"/>
    <n v="19454.460000000003"/>
    <n v="20355.867999999999"/>
    <n v="39810.328000000001"/>
    <s v="Q2-2025"/>
    <x v="8"/>
    <s v="High"/>
    <n v="17"/>
    <d v="2023-03-01T00:00:00"/>
    <d v="2025-05-01T00:00:00"/>
    <n v="1"/>
    <x v="3"/>
  </r>
  <r>
    <s v="ORD-2023-294716"/>
    <d v="2023-04-10T00:00:00"/>
    <d v="2023-04-25T00:00:00"/>
    <s v="OK"/>
    <d v="2023-04-25T00:00:00"/>
    <n v="15"/>
    <x v="3"/>
    <x v="8"/>
    <s v="London"/>
    <s v="Small Business"/>
    <x v="0"/>
    <x v="14"/>
    <x v="1"/>
    <x v="602"/>
    <n v="405.66"/>
    <s v="OK"/>
    <n v="962.51"/>
    <n v="962.51"/>
    <n v="0.19"/>
    <s v="OK"/>
    <n v="0.19"/>
    <n v="0"/>
    <n v="0.47967832561239376"/>
    <n v="2839.6200000000003"/>
    <n v="2617.8116999999997"/>
    <n v="5457.4317000000001"/>
    <s v="Q2-2023"/>
    <x v="12"/>
    <s v="Medium"/>
    <n v="7"/>
    <d v="2023-01-01T00:00:00"/>
    <d v="2023-04-01T00:00:00"/>
    <n v="0"/>
    <x v="12"/>
  </r>
  <r>
    <s v="ORD-2023-552115"/>
    <d v="2023-09-17T00:00:00"/>
    <d v="2023-10-02T00:00:00"/>
    <s v="OK"/>
    <d v="2023-10-02T00:00:00"/>
    <n v="15"/>
    <x v="2"/>
    <x v="5"/>
    <s v="Rio de Janeiro"/>
    <s v="Small Business"/>
    <x v="0"/>
    <x v="5"/>
    <x v="4"/>
    <x v="603"/>
    <n v="689.33"/>
    <s v="OK"/>
    <n v="668.27"/>
    <n v="668.27"/>
    <n v="0.186"/>
    <s v="OK"/>
    <n v="0.186"/>
    <n v="0"/>
    <n v="-0.26721647214861033"/>
    <n v="8961.2900000000009"/>
    <n v="-1889.6568600000001"/>
    <n v="7071.6331400000008"/>
    <s v="Q3-2023"/>
    <x v="27"/>
    <s v="Medium"/>
    <n v="13"/>
    <d v="2023-01-01T00:00:00"/>
    <d v="2023-09-01T00:00:00"/>
    <n v="0"/>
    <x v="28"/>
  </r>
  <r>
    <s v="ORD-2023-107265"/>
    <d v="2023-04-22T00:00:00"/>
    <d v="2023-05-14T00:00:00"/>
    <s v="OK"/>
    <d v="2023-05-14T00:00:00"/>
    <n v="22"/>
    <x v="1"/>
    <x v="2"/>
    <s v="Nagoya"/>
    <s v="Enterprise"/>
    <x v="0"/>
    <x v="8"/>
    <x v="6"/>
    <x v="604"/>
    <n v="1209.22"/>
    <s v="OK"/>
    <n v="1404.33"/>
    <n v="1404.33"/>
    <n v="0.10299999999999999"/>
    <s v="OK"/>
    <n v="0.10299999999999999"/>
    <n v="0"/>
    <n v="4.0060848275751328E-2"/>
    <n v="13301.42"/>
    <n v="555.10411000000022"/>
    <n v="13856.52411"/>
    <s v="Q2-2023"/>
    <x v="12"/>
    <s v="Medium"/>
    <n v="11"/>
    <d v="2023-03-01T00:00:00"/>
    <d v="2023-04-01T00:00:00"/>
    <n v="0"/>
    <x v="2"/>
  </r>
  <r>
    <s v="ORD-2025-262434"/>
    <d v="2025-06-19T00:00:00"/>
    <d v="2025-06-21T00:00:00"/>
    <s v="OK"/>
    <d v="2025-06-21T00:00:00"/>
    <n v="2"/>
    <x v="0"/>
    <x v="11"/>
    <s v="Johannesburg"/>
    <s v="Small Business"/>
    <x v="5"/>
    <x v="10"/>
    <x v="3"/>
    <x v="605"/>
    <n v="1466.27"/>
    <s v="OK"/>
    <n v="3589.89"/>
    <n v="3589.89"/>
    <n v="9.7000000000000003E-2"/>
    <s v="OK"/>
    <n v="9.7000000000000003E-2"/>
    <n v="0"/>
    <n v="0.54768076425234147"/>
    <n v="13196.43"/>
    <n v="15978.606029999999"/>
    <n v="29175.036029999999"/>
    <s v="Q2-2025"/>
    <x v="16"/>
    <s v="High"/>
    <n v="9"/>
    <d v="2023-01-01T00:00:00"/>
    <d v="2025-06-01T00:00:00"/>
    <n v="1"/>
    <x v="16"/>
  </r>
  <r>
    <s v="ORD-2024-266562"/>
    <d v="2024-11-27T00:00:00"/>
    <d v="2024-12-24T00:00:00"/>
    <s v="OK"/>
    <d v="2024-12-24T00:00:00"/>
    <n v="27"/>
    <x v="0"/>
    <x v="0"/>
    <s v="Mombasa"/>
    <s v="Corporate"/>
    <x v="3"/>
    <x v="5"/>
    <x v="1"/>
    <x v="606"/>
    <n v="143.33000000000001"/>
    <s v="OK"/>
    <n v="233.51"/>
    <n v="233.51"/>
    <n v="0.16300000000000001"/>
    <s v="OK"/>
    <n v="0.16300000000000001"/>
    <n v="0"/>
    <n v="0.26665867476580835"/>
    <n v="2006.6200000000001"/>
    <n v="729.65017999999986"/>
    <n v="2736.27018"/>
    <s v="Q4-2024"/>
    <x v="18"/>
    <s v="Low"/>
    <n v="14"/>
    <d v="2023-01-01T00:00:00"/>
    <d v="2024-11-01T00:00:00"/>
    <n v="0"/>
    <x v="10"/>
  </r>
  <r>
    <s v="ORD-2024-838925"/>
    <d v="2024-01-28T00:00:00"/>
    <d v="2024-02-04T00:00:00"/>
    <s v="Check"/>
    <d v="2024-01-27T00:00:00"/>
    <n v="7"/>
    <x v="0"/>
    <x v="11"/>
    <s v="Cape Town"/>
    <s v="Enterprise"/>
    <x v="4"/>
    <x v="7"/>
    <x v="0"/>
    <x v="607"/>
    <n v="109.75"/>
    <s v="OK"/>
    <n v="124.25"/>
    <n v="124.25"/>
    <n v="0.12"/>
    <s v="OK"/>
    <n v="0.12"/>
    <n v="0"/>
    <n v="-3.7497713554051405E-3"/>
    <n v="2085.25"/>
    <n v="-7.7899999999999636"/>
    <n v="2077.46"/>
    <s v="Q1-2024"/>
    <x v="9"/>
    <s v="Low"/>
    <n v="19"/>
    <d v="2023-01-01T00:00:00"/>
    <d v="2024-01-01T00:00:00"/>
    <n v="1"/>
    <x v="9"/>
  </r>
  <r>
    <s v="ORD-2023-664790"/>
    <d v="2023-04-16T00:00:00"/>
    <d v="2023-04-23T00:00:00"/>
    <s v="OK"/>
    <d v="2023-04-23T00:00:00"/>
    <n v="7"/>
    <x v="2"/>
    <x v="10"/>
    <s v="Austin"/>
    <s v="Corporate"/>
    <x v="3"/>
    <x v="7"/>
    <x v="1"/>
    <x v="608"/>
    <n v="1099.1500000000001"/>
    <s v="OK"/>
    <n v="1431.37"/>
    <n v="1431.37"/>
    <n v="0.104"/>
    <s v="OK"/>
    <n v="0.104"/>
    <n v="0"/>
    <n v="0.14296798821109433"/>
    <n v="8793.2000000000007"/>
    <n v="1466.8601599999984"/>
    <n v="10260.060159999999"/>
    <s v="Q2-2023"/>
    <x v="12"/>
    <s v="Medium"/>
    <n v="8"/>
    <d v="2023-01-01T00:00:00"/>
    <d v="2023-04-01T00:00:00"/>
    <n v="1"/>
    <x v="12"/>
  </r>
  <r>
    <s v="ORD-2024-331408"/>
    <d v="2024-02-01T00:00:00"/>
    <d v="2024-02-01T00:00:00"/>
    <s v="OK"/>
    <d v="2024-02-01T00:00:00"/>
    <n v="0"/>
    <x v="2"/>
    <x v="10"/>
    <s v="Austin"/>
    <s v="Consumer"/>
    <x v="3"/>
    <x v="10"/>
    <x v="1"/>
    <x v="609"/>
    <n v="714.43"/>
    <s v="OK"/>
    <n v="1595.52"/>
    <n v="1595.52"/>
    <n v="0.19400000000000001"/>
    <s v="OK"/>
    <n v="0.19400000000000001"/>
    <n v="0"/>
    <n v="0.44445097638151093"/>
    <n v="10002.019999999999"/>
    <n v="8001.8276800000003"/>
    <n v="18003.847679999999"/>
    <s v="Q1-2024"/>
    <x v="31"/>
    <s v="Medium"/>
    <n v="14"/>
    <d v="2023-01-01T00:00:00"/>
    <d v="2024-02-01T00:00:00"/>
    <n v="1"/>
    <x v="32"/>
  </r>
  <r>
    <s v="ORD-2024-741404"/>
    <d v="2024-10-19T00:00:00"/>
    <d v="2024-11-06T00:00:00"/>
    <s v="OK"/>
    <d v="2024-11-06T00:00:00"/>
    <n v="18"/>
    <x v="2"/>
    <x v="10"/>
    <s v="Chicago"/>
    <s v="Education"/>
    <x v="5"/>
    <x v="0"/>
    <x v="5"/>
    <x v="610"/>
    <n v="942.02"/>
    <s v="OK"/>
    <n v="1028.46"/>
    <n v="1028.46"/>
    <n v="0"/>
    <s v="OK"/>
    <n v="0"/>
    <n v="0"/>
    <n v="8.4047994088248354E-2"/>
    <n v="8478.18"/>
    <n v="777.95999999999913"/>
    <n v="9256.14"/>
    <s v="Q4-2024"/>
    <x v="1"/>
    <s v="Medium"/>
    <n v="9"/>
    <d v="2023-01-01T00:00:00"/>
    <d v="2024-10-01T00:00:00"/>
    <n v="0"/>
    <x v="1"/>
  </r>
  <r>
    <s v="ORD-2024-341535"/>
    <d v="2024-06-25T00:00:00"/>
    <d v="2024-06-30T00:00:00"/>
    <s v="OK"/>
    <d v="2024-06-30T00:00:00"/>
    <n v="5"/>
    <x v="0"/>
    <x v="0"/>
    <s v="Kisumu"/>
    <s v="Education"/>
    <x v="4"/>
    <x v="12"/>
    <x v="2"/>
    <x v="611"/>
    <n v="1323.55"/>
    <s v="OK"/>
    <n v="3230.35"/>
    <n v="3230.35"/>
    <n v="2.1999999999999999E-2"/>
    <s v="OK"/>
    <n v="2.1999999999999999E-2"/>
    <n v="0"/>
    <n v="0.58105991351263542"/>
    <n v="34412.299999999996"/>
    <n v="47729.039799999991"/>
    <n v="82141.339799999987"/>
    <s v="Q2-2024"/>
    <x v="17"/>
    <s v="High"/>
    <n v="26"/>
    <d v="2023-01-01T00:00:00"/>
    <d v="2024-06-01T00:00:00"/>
    <n v="1"/>
    <x v="17"/>
  </r>
  <r>
    <s v="ORD-2023-451931"/>
    <d v="2023-07-30T00:00:00"/>
    <d v="2023-08-19T00:00:00"/>
    <s v="OK"/>
    <d v="2023-08-19T00:00:00"/>
    <n v="20"/>
    <x v="3"/>
    <x v="7"/>
    <s v="Paris"/>
    <s v="Enterprise"/>
    <x v="2"/>
    <x v="3"/>
    <x v="2"/>
    <x v="612"/>
    <n v="1418.51"/>
    <s v="OK"/>
    <n v="2789.61"/>
    <n v="2789.61"/>
    <n v="0.17100000000000001"/>
    <s v="OK"/>
    <n v="0.17100000000000001"/>
    <n v="0"/>
    <n v="0.38661326464695689"/>
    <n v="11348.08"/>
    <n v="7152.6135200000008"/>
    <n v="18500.693520000001"/>
    <s v="Q3-2023"/>
    <x v="24"/>
    <s v="High"/>
    <n v="8"/>
    <d v="2023-01-01T00:00:00"/>
    <d v="2023-07-01T00:00:00"/>
    <n v="0"/>
    <x v="23"/>
  </r>
  <r>
    <s v="ORD-2025-532859"/>
    <d v="2025-03-11T00:00:00"/>
    <d v="2025-03-27T00:00:00"/>
    <s v="OK"/>
    <d v="2025-03-27T00:00:00"/>
    <n v="16"/>
    <x v="1"/>
    <x v="2"/>
    <s v="Tokyo"/>
    <s v="Enterprise"/>
    <x v="3"/>
    <x v="5"/>
    <x v="1"/>
    <x v="613"/>
    <n v="1317.58"/>
    <s v="OK"/>
    <n v="1897.74"/>
    <n v="1897.74"/>
    <n v="8.1000000000000003E-2"/>
    <s v="OK"/>
    <n v="8.1000000000000003E-2"/>
    <n v="0"/>
    <n v="0.24451687009230266"/>
    <n v="7905.48"/>
    <n v="2558.6583600000013"/>
    <n v="10464.138360000001"/>
    <s v="Q1-2025"/>
    <x v="3"/>
    <s v="Medium"/>
    <n v="6"/>
    <d v="2023-03-01T00:00:00"/>
    <d v="2025-03-01T00:00:00"/>
    <n v="0"/>
    <x v="24"/>
  </r>
  <r>
    <s v="ORD-2023-502205"/>
    <d v="2023-10-09T00:00:00"/>
    <d v="2023-10-11T00:00:00"/>
    <s v="OK"/>
    <d v="2023-10-11T00:00:00"/>
    <n v="2"/>
    <x v="0"/>
    <x v="1"/>
    <s v="Port Harcourt"/>
    <s v="Education"/>
    <x v="2"/>
    <x v="11"/>
    <x v="2"/>
    <x v="614"/>
    <n v="391.16"/>
    <s v="OK"/>
    <n v="902.47"/>
    <n v="902.47"/>
    <n v="4.0000000000000001E-3"/>
    <s v="OK"/>
    <n v="4.0000000000000001E-3"/>
    <n v="0"/>
    <n v="0.56482661618139207"/>
    <n v="4693.92"/>
    <n v="6092.4014399999996"/>
    <n v="10786.32144"/>
    <s v="Q4-2023"/>
    <x v="32"/>
    <s v="Medium"/>
    <n v="12"/>
    <d v="2023-01-01T00:00:00"/>
    <d v="2023-10-01T00:00:00"/>
    <n v="1"/>
    <x v="4"/>
  </r>
  <r>
    <s v="ORD-2024-930679"/>
    <d v="2024-12-17T00:00:00"/>
    <d v="2025-01-16T00:00:00"/>
    <s v="OK"/>
    <d v="2025-01-16T00:00:00"/>
    <n v="30"/>
    <x v="3"/>
    <x v="8"/>
    <s v="Manchester"/>
    <s v="Corporate"/>
    <x v="0"/>
    <x v="14"/>
    <x v="5"/>
    <x v="615"/>
    <n v="722.87"/>
    <s v="Check"/>
    <n v="0"/>
    <n v="-33.659999999999997"/>
    <n v="0.10199999999999999"/>
    <s v="OK"/>
    <n v="0.10199999999999999"/>
    <n v="0"/>
    <n v="0"/>
    <n v="20240.36"/>
    <n v="-20240.36"/>
    <n v="0"/>
    <s v="Q4-2024"/>
    <x v="6"/>
    <s v="Low"/>
    <n v="28"/>
    <d v="2023-01-01T00:00:00"/>
    <d v="2024-12-01T00:00:00"/>
    <n v="0"/>
    <x v="6"/>
  </r>
  <r>
    <s v="ORD-2025-150713"/>
    <d v="2025-07-11T00:00:00"/>
    <d v="2025-07-16T00:00:00"/>
    <s v="OK"/>
    <d v="2025-07-16T00:00:00"/>
    <n v="5"/>
    <x v="3"/>
    <x v="8"/>
    <s v="London"/>
    <s v="Enterprise"/>
    <x v="1"/>
    <x v="11"/>
    <x v="1"/>
    <x v="616"/>
    <n v="930.03"/>
    <s v="OK"/>
    <n v="1086.68"/>
    <n v="1086.68"/>
    <n v="0.109"/>
    <s v="OK"/>
    <n v="0.109"/>
    <n v="0"/>
    <n v="3.9455300728168656E-2"/>
    <n v="24180.78"/>
    <n v="993.24888000000283"/>
    <n v="25174.028880000002"/>
    <s v="Q3-2025"/>
    <x v="13"/>
    <s v="Medium"/>
    <n v="26"/>
    <d v="2023-01-01T00:00:00"/>
    <d v="2025-07-01T00:00:00"/>
    <n v="1"/>
    <x v="13"/>
  </r>
  <r>
    <s v="ORD-2024-756884"/>
    <d v="2024-10-13T00:00:00"/>
    <d v="2024-10-24T00:00:00"/>
    <s v="OK"/>
    <d v="2024-10-24T00:00:00"/>
    <n v="11"/>
    <x v="3"/>
    <x v="7"/>
    <s v="Paris"/>
    <s v="Education"/>
    <x v="3"/>
    <x v="9"/>
    <x v="0"/>
    <x v="617"/>
    <n v="816.7"/>
    <s v="OK"/>
    <n v="1010.75"/>
    <n v="1010.75"/>
    <n v="4.7E-2"/>
    <s v="OK"/>
    <n v="4.7E-2"/>
    <n v="0"/>
    <n v="0.15213656757537472"/>
    <n v="35118.1"/>
    <n v="6301.4242499999964"/>
    <n v="41419.524249999995"/>
    <s v="Q4-2024"/>
    <x v="1"/>
    <s v="Medium"/>
    <n v="43"/>
    <d v="2023-01-01T00:00:00"/>
    <d v="2024-10-01T00:00:00"/>
    <n v="0"/>
    <x v="1"/>
  </r>
  <r>
    <s v="ORD-2023-755337"/>
    <d v="2023-09-08T00:00:00"/>
    <d v="2023-09-14T00:00:00"/>
    <s v="OK"/>
    <d v="2023-09-14T00:00:00"/>
    <n v="6"/>
    <x v="0"/>
    <x v="0"/>
    <s v="Nakuru"/>
    <s v="Education"/>
    <x v="4"/>
    <x v="2"/>
    <x v="6"/>
    <x v="618"/>
    <n v="251.03"/>
    <s v="OK"/>
    <n v="411.48"/>
    <n v="411.48"/>
    <n v="0.16500000000000001"/>
    <s v="OK"/>
    <n v="0.16500000000000001"/>
    <n v="0"/>
    <n v="0.26938191275658069"/>
    <n v="753.09"/>
    <n v="277.66739999999993"/>
    <n v="1030.7574"/>
    <s v="Q3-2023"/>
    <x v="27"/>
    <s v="Low"/>
    <n v="3"/>
    <d v="2023-01-01T00:00:00"/>
    <d v="2023-09-01T00:00:00"/>
    <n v="1"/>
    <x v="28"/>
  </r>
  <r>
    <s v="ORD-2025-907040"/>
    <d v="2025-04-17T00:00:00"/>
    <d v="2025-05-03T00:00:00"/>
    <s v="OK"/>
    <d v="2025-05-03T00:00:00"/>
    <n v="16"/>
    <x v="2"/>
    <x v="5"/>
    <s v="Rio de Janeiro"/>
    <s v="Consumer"/>
    <x v="2"/>
    <x v="1"/>
    <x v="2"/>
    <x v="619"/>
    <n v="168.68"/>
    <s v="OK"/>
    <n v="413.34"/>
    <n v="413.34"/>
    <n v="0.186"/>
    <s v="OK"/>
    <n v="0.186"/>
    <n v="0"/>
    <n v="0.49866069767361682"/>
    <n v="1180.76"/>
    <n v="1174.4513199999999"/>
    <n v="2355.2113199999999"/>
    <s v="Q2-2025"/>
    <x v="19"/>
    <s v="Low"/>
    <n v="7"/>
    <d v="2023-01-01T00:00:00"/>
    <d v="2025-04-01T00:00:00"/>
    <n v="0"/>
    <x v="18"/>
  </r>
  <r>
    <s v="ORD-2024-817997"/>
    <d v="2024-07-28T00:00:00"/>
    <d v="2024-08-23T00:00:00"/>
    <s v="OK"/>
    <d v="2024-08-23T00:00:00"/>
    <n v="26"/>
    <x v="1"/>
    <x v="4"/>
    <s v="Hyderabad"/>
    <s v="Corporate"/>
    <x v="0"/>
    <x v="1"/>
    <x v="2"/>
    <x v="620"/>
    <n v="1339.24"/>
    <s v="OK"/>
    <n v="1558.89"/>
    <n v="1558.89"/>
    <n v="0.192"/>
    <s v="OK"/>
    <n v="0.192"/>
    <n v="0"/>
    <n v="-6.3240669659021781E-2"/>
    <n v="32141.760000000002"/>
    <n v="-1911.76512"/>
    <n v="30229.994880000002"/>
    <s v="Q3-2024"/>
    <x v="14"/>
    <s v="Medium"/>
    <n v="24"/>
    <d v="2023-01-01T00:00:00"/>
    <d v="2024-07-01T00:00:00"/>
    <n v="0"/>
    <x v="14"/>
  </r>
  <r>
    <s v="ORD-2025-649633"/>
    <d v="2025-07-19T00:00:00"/>
    <d v="2025-07-31T00:00:00"/>
    <s v="OK"/>
    <d v="2025-07-31T00:00:00"/>
    <n v="12"/>
    <x v="0"/>
    <x v="0"/>
    <s v="Nairobi"/>
    <s v="Small Business"/>
    <x v="2"/>
    <x v="7"/>
    <x v="6"/>
    <x v="621"/>
    <n v="619.64"/>
    <s v="OK"/>
    <n v="861.16"/>
    <n v="861.16"/>
    <n v="0.113"/>
    <s v="OK"/>
    <n v="0.113"/>
    <n v="0"/>
    <n v="0.18879246435276761"/>
    <n v="8674.9599999999991"/>
    <n v="2018.9248800000005"/>
    <n v="10693.88488"/>
    <s v="Q3-2025"/>
    <x v="13"/>
    <s v="Medium"/>
    <n v="14"/>
    <d v="2023-01-01T00:00:00"/>
    <d v="2025-07-01T00:00:00"/>
    <n v="0"/>
    <x v="13"/>
  </r>
  <r>
    <s v="ORD-2023-885216"/>
    <d v="2023-08-03T00:00:00"/>
    <d v="2023-08-10T00:00:00"/>
    <s v="Check"/>
    <d v="2023-08-02T00:00:00"/>
    <n v="7"/>
    <x v="1"/>
    <x v="9"/>
    <s v="Shanghai"/>
    <s v="Non-Profit"/>
    <x v="4"/>
    <x v="1"/>
    <x v="2"/>
    <x v="622"/>
    <n v="1021.97"/>
    <s v="OK"/>
    <n v="2296.25"/>
    <n v="2296.25"/>
    <n v="0.161"/>
    <s v="OK"/>
    <n v="0.161"/>
    <n v="0"/>
    <n v="0.46953465482081669"/>
    <n v="26571.22"/>
    <n v="23519.177499999998"/>
    <n v="50090.397499999999"/>
    <s v="Q3-2023"/>
    <x v="25"/>
    <s v="High"/>
    <n v="26"/>
    <d v="2023-01-01T00:00:00"/>
    <d v="2023-08-01T00:00:00"/>
    <n v="1"/>
    <x v="25"/>
  </r>
  <r>
    <s v="ORD-2023-561823"/>
    <d v="2023-11-19T00:00:00"/>
    <d v="2023-12-12T00:00:00"/>
    <s v="OK"/>
    <d v="2023-12-12T00:00:00"/>
    <n v="23"/>
    <x v="1"/>
    <x v="4"/>
    <s v="Delhi"/>
    <s v="Small Business"/>
    <x v="4"/>
    <x v="0"/>
    <x v="2"/>
    <x v="623"/>
    <n v="1349.04"/>
    <s v="OK"/>
    <n v="2636.6"/>
    <n v="2636.6"/>
    <n v="0.114"/>
    <s v="OK"/>
    <n v="0.114"/>
    <n v="0"/>
    <n v="0.42250682312143928"/>
    <n v="18886.559999999998"/>
    <n v="13817.826400000005"/>
    <n v="32704.386400000003"/>
    <s v="Q4-2023"/>
    <x v="30"/>
    <s v="High"/>
    <n v="14"/>
    <d v="2023-01-01T00:00:00"/>
    <d v="2023-11-01T00:00:00"/>
    <n v="0"/>
    <x v="31"/>
  </r>
  <r>
    <s v="ORD-2023-249805"/>
    <d v="2023-12-22T00:00:00"/>
    <d v="2024-01-16T00:00:00"/>
    <s v="OK"/>
    <d v="2024-01-16T00:00:00"/>
    <n v="25"/>
    <x v="1"/>
    <x v="4"/>
    <s v="Hyderabad"/>
    <s v="Small Business"/>
    <x v="0"/>
    <x v="8"/>
    <x v="0"/>
    <x v="624"/>
    <n v="1346.81"/>
    <s v="OK"/>
    <n v="978.09"/>
    <n v="978.09"/>
    <n v="0.159"/>
    <s v="OK"/>
    <n v="0.159"/>
    <n v="0"/>
    <n v="-0.6373122753293996"/>
    <n v="22895.77"/>
    <n v="-8912.0172700000021"/>
    <n v="13983.752729999998"/>
    <s v="Q4-2023"/>
    <x v="4"/>
    <s v="Medium"/>
    <n v="17"/>
    <d v="2023-01-01T00:00:00"/>
    <d v="2023-12-01T00:00:00"/>
    <n v="0"/>
    <x v="27"/>
  </r>
  <r>
    <s v="ORD-2023-548934"/>
    <d v="2023-08-03T00:00:00"/>
    <d v="2023-08-30T00:00:00"/>
    <s v="OK"/>
    <d v="2023-08-30T00:00:00"/>
    <n v="27"/>
    <x v="1"/>
    <x v="9"/>
    <s v="Shanghai"/>
    <s v="Consumer"/>
    <x v="3"/>
    <x v="13"/>
    <x v="5"/>
    <x v="625"/>
    <n v="226.04"/>
    <s v="OK"/>
    <n v="545.72"/>
    <n v="545.72"/>
    <n v="0.151"/>
    <s v="OK"/>
    <n v="0.151"/>
    <n v="0"/>
    <n v="0.51212592831834014"/>
    <n v="2486.44"/>
    <n v="2610.03908"/>
    <n v="5096.4790800000001"/>
    <s v="Q3-2023"/>
    <x v="25"/>
    <s v="Low"/>
    <n v="11"/>
    <d v="2023-01-01T00:00:00"/>
    <d v="2023-08-01T00:00:00"/>
    <n v="0"/>
    <x v="25"/>
  </r>
  <r>
    <s v="ORD-2023-921939"/>
    <d v="2023-06-23T00:00:00"/>
    <d v="2023-07-18T00:00:00"/>
    <s v="OK"/>
    <d v="2023-07-18T00:00:00"/>
    <n v="25"/>
    <x v="2"/>
    <x v="3"/>
    <s v="Vancouver"/>
    <s v="Enterprise"/>
    <x v="1"/>
    <x v="13"/>
    <x v="3"/>
    <x v="626"/>
    <n v="807.02"/>
    <s v="OK"/>
    <n v="1435.54"/>
    <n v="1435.54"/>
    <n v="0"/>
    <s v="OK"/>
    <n v="0"/>
    <n v="0"/>
    <n v="0.43782827368098415"/>
    <n v="18561.46"/>
    <n v="14455.96"/>
    <n v="33017.42"/>
    <s v="Q2-2023"/>
    <x v="23"/>
    <s v="Medium"/>
    <n v="23"/>
    <d v="2023-01-01T00:00:00"/>
    <d v="2023-06-01T00:00:00"/>
    <n v="0"/>
    <x v="22"/>
  </r>
  <r>
    <s v="ORD-2023-961864"/>
    <d v="2023-12-07T00:00:00"/>
    <d v="2024-01-02T00:00:00"/>
    <s v="OK"/>
    <d v="2024-01-02T00:00:00"/>
    <n v="26"/>
    <x v="3"/>
    <x v="6"/>
    <s v="Frankfurt"/>
    <s v="Enterprise"/>
    <x v="3"/>
    <x v="6"/>
    <x v="0"/>
    <x v="627"/>
    <n v="1071.99"/>
    <s v="OK"/>
    <n v="2397.3000000000002"/>
    <n v="2397.3000000000002"/>
    <n v="6.2E-2"/>
    <s v="OK"/>
    <n v="6.2E-2"/>
    <n v="0"/>
    <n v="0.52327765324476183"/>
    <n v="19295.82"/>
    <n v="21180.193200000002"/>
    <n v="40476.013200000001"/>
    <s v="Q4-2023"/>
    <x v="4"/>
    <s v="High"/>
    <n v="18"/>
    <d v="2023-01-01T00:00:00"/>
    <d v="2023-12-01T00:00:00"/>
    <n v="0"/>
    <x v="27"/>
  </r>
  <r>
    <s v="ORD-2023-455933"/>
    <d v="2023-11-19T00:00:00"/>
    <d v="2023-12-19T00:00:00"/>
    <s v="OK"/>
    <d v="2023-12-19T00:00:00"/>
    <n v="30"/>
    <x v="1"/>
    <x v="2"/>
    <s v="Nagoya"/>
    <s v="Consumer"/>
    <x v="0"/>
    <x v="15"/>
    <x v="3"/>
    <x v="628"/>
    <n v="807.11"/>
    <s v="OK"/>
    <n v="1853.86"/>
    <n v="1853.86"/>
    <n v="0.13900000000000001"/>
    <s v="OK"/>
    <n v="0.13900000000000001"/>
    <n v="0"/>
    <n v="0.49434693645388639"/>
    <n v="6456.88"/>
    <n v="6312.5076799999997"/>
    <n v="12769.38768"/>
    <s v="Q4-2023"/>
    <x v="30"/>
    <s v="Medium"/>
    <n v="8"/>
    <d v="2023-03-01T00:00:00"/>
    <d v="2023-11-01T00:00:00"/>
    <n v="0"/>
    <x v="28"/>
  </r>
  <r>
    <s v="ORD-2025-728935"/>
    <d v="2025-02-28T00:00:00"/>
    <d v="2025-03-10T00:00:00"/>
    <s v="OK"/>
    <d v="2025-03-10T00:00:00"/>
    <n v="10"/>
    <x v="1"/>
    <x v="2"/>
    <s v="Osaka"/>
    <s v="Education"/>
    <x v="3"/>
    <x v="13"/>
    <x v="4"/>
    <x v="629"/>
    <n v="51.86"/>
    <s v="OK"/>
    <n v="45.98"/>
    <n v="45.98"/>
    <n v="0.17299999999999999"/>
    <s v="OK"/>
    <n v="0.17299999999999999"/>
    <n v="0"/>
    <n v="-0.3638230806412337"/>
    <n v="363.02"/>
    <n v="-96.841780000000028"/>
    <n v="266.17821999999995"/>
    <s v="Q1-2025"/>
    <x v="26"/>
    <s v="Low"/>
    <n v="7"/>
    <d v="2023-03-01T00:00:00"/>
    <d v="2025-02-01T00:00:00"/>
    <n v="0"/>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706F5F-7361-4E4B-B223-C4A02BEBE9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G17" firstHeaderRow="1" firstDataRow="2" firstDataCol="1"/>
  <pivotFields count="34">
    <pivotField showAll="0"/>
    <pivotField numFmtId="164" showAll="0"/>
    <pivotField numFmtId="164" showAll="0"/>
    <pivotField showAll="0"/>
    <pivotField numFmtId="164" showAll="0"/>
    <pivotField numFmtId="1" showAll="0"/>
    <pivotField showAll="0">
      <items count="5">
        <item x="0"/>
        <item x="2"/>
        <item x="1"/>
        <item x="3"/>
        <item t="default"/>
      </items>
    </pivotField>
    <pivotField axis="axisRow"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showAll="0">
      <items count="8">
        <item x="6"/>
        <item h="1" x="0"/>
        <item h="1" x="4"/>
        <item h="1" x="5"/>
        <item h="1" x="2"/>
        <item h="1" x="3"/>
        <item h="1" x="1"/>
        <item t="default"/>
      </items>
    </pivotField>
    <pivotField showAll="0"/>
    <pivotField showAll="0"/>
    <pivotField showAll="0"/>
    <pivotField showAll="0"/>
    <pivotField showAll="0"/>
    <pivotField numFmtId="165" showAll="0"/>
    <pivotField showAll="0"/>
    <pivotField numFmtId="10" showAll="0"/>
    <pivotField numFmtId="1" showAll="0"/>
    <pivotField numFmtId="10" showAll="0"/>
    <pivotField numFmtId="166" showAll="0"/>
    <pivotField numFmtId="166" showAll="0"/>
    <pivotField dataField="1" numFmtId="166"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numFmtId="14" showAll="0"/>
    <pivotField numFmtId="14" showAll="0"/>
    <pivotField numFmtId="1" showAll="0"/>
    <pivotField axis="axisCol" numFmtId="49" showAll="0">
      <items count="34">
        <item x="5"/>
        <item x="2"/>
        <item x="21"/>
        <item x="12"/>
        <item x="15"/>
        <item x="22"/>
        <item x="23"/>
        <item x="25"/>
        <item x="28"/>
        <item x="4"/>
        <item x="31"/>
        <item x="27"/>
        <item x="9"/>
        <item x="32"/>
        <item x="0"/>
        <item x="19"/>
        <item x="7"/>
        <item x="17"/>
        <item x="14"/>
        <item x="20"/>
        <item x="30"/>
        <item x="1"/>
        <item x="10"/>
        <item x="6"/>
        <item x="24"/>
        <item x="26"/>
        <item x="3"/>
        <item x="18"/>
        <item x="8"/>
        <item x="16"/>
        <item x="13"/>
        <item x="29"/>
        <item x="11"/>
        <item t="default"/>
      </items>
    </pivotField>
  </pivotFields>
  <rowFields count="1">
    <field x="7"/>
  </rowFields>
  <rowItems count="13">
    <i>
      <x/>
    </i>
    <i>
      <x v="1"/>
    </i>
    <i>
      <x v="2"/>
    </i>
    <i>
      <x v="3"/>
    </i>
    <i>
      <x v="4"/>
    </i>
    <i>
      <x v="5"/>
    </i>
    <i>
      <x v="6"/>
    </i>
    <i>
      <x v="7"/>
    </i>
    <i>
      <x v="8"/>
    </i>
    <i>
      <x v="9"/>
    </i>
    <i>
      <x v="10"/>
    </i>
    <i>
      <x v="11"/>
    </i>
    <i t="grand">
      <x/>
    </i>
  </rowItems>
  <colFields count="1">
    <field x="33"/>
  </colFields>
  <colItems count="32">
    <i>
      <x/>
    </i>
    <i>
      <x v="1"/>
    </i>
    <i>
      <x v="2"/>
    </i>
    <i>
      <x v="3"/>
    </i>
    <i>
      <x v="4"/>
    </i>
    <i>
      <x v="5"/>
    </i>
    <i>
      <x v="6"/>
    </i>
    <i>
      <x v="7"/>
    </i>
    <i>
      <x v="8"/>
    </i>
    <i>
      <x v="9"/>
    </i>
    <i>
      <x v="10"/>
    </i>
    <i>
      <x v="11"/>
    </i>
    <i>
      <x v="12"/>
    </i>
    <i>
      <x v="13"/>
    </i>
    <i>
      <x v="14"/>
    </i>
    <i>
      <x v="15"/>
    </i>
    <i>
      <x v="16"/>
    </i>
    <i>
      <x v="17"/>
    </i>
    <i>
      <x v="18"/>
    </i>
    <i>
      <x v="19"/>
    </i>
    <i>
      <x v="21"/>
    </i>
    <i>
      <x v="22"/>
    </i>
    <i>
      <x v="23"/>
    </i>
    <i>
      <x v="24"/>
    </i>
    <i>
      <x v="25"/>
    </i>
    <i>
      <x v="26"/>
    </i>
    <i>
      <x v="28"/>
    </i>
    <i>
      <x v="29"/>
    </i>
    <i>
      <x v="30"/>
    </i>
    <i>
      <x v="31"/>
    </i>
    <i>
      <x v="32"/>
    </i>
    <i t="grand">
      <x/>
    </i>
  </colItems>
  <dataFields count="1">
    <dataField name="Sum of GrossRevenue" fld="25"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620F20-B9F9-403F-B7C6-965288D4F5B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3" firstHeaderRow="0" firstDataRow="1" firstDataCol="1"/>
  <pivotFields count="34">
    <pivotField showAll="0"/>
    <pivotField numFmtId="164" showAll="0"/>
    <pivotField numFmtId="164" showAll="0"/>
    <pivotField showAll="0"/>
    <pivotField numFmtId="164"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axis="axisRow" showAll="0">
      <items count="8">
        <item x="6"/>
        <item h="1" x="0"/>
        <item h="1" x="4"/>
        <item h="1" x="5"/>
        <item h="1" x="2"/>
        <item h="1" x="3"/>
        <item h="1" x="1"/>
        <item t="default"/>
      </items>
    </pivotField>
    <pivotField axis="axisRow" showAll="0" sortType="descending">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5" showAll="0"/>
    <pivotField showAll="0"/>
    <pivotField numFmtId="10" showAll="0"/>
    <pivotField numFmtId="1" showAll="0"/>
    <pivotField numFmtId="10" showAll="0"/>
    <pivotField numFmtId="166" showAll="0"/>
    <pivotField numFmtId="166" showAll="0"/>
    <pivotField dataField="1" numFmtId="166"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numFmtId="14" showAll="0"/>
    <pivotField numFmtId="14" showAll="0"/>
    <pivotField numFmtId="1" showAll="0"/>
    <pivotField numFmtId="49" showAll="0"/>
  </pivotFields>
  <rowFields count="2">
    <field x="12"/>
    <field x="13"/>
  </rowFields>
  <rowItems count="90">
    <i>
      <x/>
    </i>
    <i r="1">
      <x v="60"/>
    </i>
    <i r="1">
      <x v="23"/>
    </i>
    <i r="1">
      <x v="82"/>
    </i>
    <i r="1">
      <x v="84"/>
    </i>
    <i r="1">
      <x v="72"/>
    </i>
    <i r="1">
      <x v="41"/>
    </i>
    <i r="1">
      <x v="68"/>
    </i>
    <i r="1">
      <x v="50"/>
    </i>
    <i r="1">
      <x v="81"/>
    </i>
    <i r="1">
      <x v="63"/>
    </i>
    <i r="1">
      <x v="6"/>
    </i>
    <i r="1">
      <x v="10"/>
    </i>
    <i r="1">
      <x v="4"/>
    </i>
    <i r="1">
      <x v="56"/>
    </i>
    <i r="1">
      <x v="44"/>
    </i>
    <i r="1">
      <x v="53"/>
    </i>
    <i r="1">
      <x v="59"/>
    </i>
    <i r="1">
      <x v="86"/>
    </i>
    <i r="1">
      <x v="75"/>
    </i>
    <i r="1">
      <x v="26"/>
    </i>
    <i r="1">
      <x v="12"/>
    </i>
    <i r="1">
      <x v="33"/>
    </i>
    <i r="1">
      <x v="83"/>
    </i>
    <i r="1">
      <x v="49"/>
    </i>
    <i r="1">
      <x v="79"/>
    </i>
    <i r="1">
      <x v="32"/>
    </i>
    <i r="1">
      <x v="40"/>
    </i>
    <i r="1">
      <x v="14"/>
    </i>
    <i r="1">
      <x v="78"/>
    </i>
    <i r="1">
      <x v="80"/>
    </i>
    <i r="1">
      <x v="70"/>
    </i>
    <i r="1">
      <x v="48"/>
    </i>
    <i r="1">
      <x v="29"/>
    </i>
    <i r="1">
      <x v="57"/>
    </i>
    <i r="1">
      <x v="76"/>
    </i>
    <i r="1">
      <x v="18"/>
    </i>
    <i r="1">
      <x v="5"/>
    </i>
    <i r="1">
      <x v="67"/>
    </i>
    <i r="1">
      <x v="58"/>
    </i>
    <i r="1">
      <x v="65"/>
    </i>
    <i r="1">
      <x v="54"/>
    </i>
    <i r="1">
      <x v="9"/>
    </i>
    <i r="1">
      <x v="64"/>
    </i>
    <i r="1">
      <x v="22"/>
    </i>
    <i r="1">
      <x v="39"/>
    </i>
    <i r="1">
      <x v="36"/>
    </i>
    <i r="1">
      <x v="3"/>
    </i>
    <i r="1">
      <x v="1"/>
    </i>
    <i r="1">
      <x v="19"/>
    </i>
    <i r="1">
      <x v="28"/>
    </i>
    <i r="1">
      <x v="37"/>
    </i>
    <i r="1">
      <x v="16"/>
    </i>
    <i r="1">
      <x v="46"/>
    </i>
    <i r="1">
      <x v="20"/>
    </i>
    <i r="1">
      <x v="77"/>
    </i>
    <i r="1">
      <x v="69"/>
    </i>
    <i r="1">
      <x v="21"/>
    </i>
    <i r="1">
      <x v="52"/>
    </i>
    <i r="1">
      <x v="85"/>
    </i>
    <i r="1">
      <x v="11"/>
    </i>
    <i r="1">
      <x v="31"/>
    </i>
    <i r="1">
      <x v="8"/>
    </i>
    <i r="1">
      <x v="7"/>
    </i>
    <i r="1">
      <x v="35"/>
    </i>
    <i r="1">
      <x v="25"/>
    </i>
    <i r="1">
      <x v="34"/>
    </i>
    <i r="1">
      <x v="71"/>
    </i>
    <i r="1">
      <x v="17"/>
    </i>
    <i r="1">
      <x v="2"/>
    </i>
    <i r="1">
      <x v="47"/>
    </i>
    <i r="1">
      <x v="55"/>
    </i>
    <i r="1">
      <x v="74"/>
    </i>
    <i r="1">
      <x v="43"/>
    </i>
    <i r="1">
      <x v="15"/>
    </i>
    <i r="1">
      <x v="38"/>
    </i>
    <i r="1">
      <x v="62"/>
    </i>
    <i r="1">
      <x v="73"/>
    </i>
    <i r="1">
      <x v="66"/>
    </i>
    <i r="1">
      <x v="42"/>
    </i>
    <i r="1">
      <x v="24"/>
    </i>
    <i r="1">
      <x/>
    </i>
    <i r="1">
      <x v="45"/>
    </i>
    <i r="1">
      <x v="27"/>
    </i>
    <i r="1">
      <x v="51"/>
    </i>
    <i r="1">
      <x v="30"/>
    </i>
    <i r="1">
      <x v="87"/>
    </i>
    <i r="1">
      <x v="61"/>
    </i>
    <i r="1">
      <x v="13"/>
    </i>
    <i t="grand">
      <x/>
    </i>
  </rowItems>
  <colFields count="1">
    <field x="-2"/>
  </colFields>
  <colItems count="2">
    <i>
      <x/>
    </i>
    <i i="1">
      <x v="1"/>
    </i>
  </colItems>
  <dataFields count="2">
    <dataField name="Sum of GrossRevenue" fld="25" baseField="0" baseItem="0" numFmtId="166"/>
    <dataField name="Sum of GrossRevenue2" fld="25" baseField="13" baseItem="23" numFmtId="10">
      <extLst>
        <ext xmlns:x14="http://schemas.microsoft.com/office/spreadsheetml/2009/9/main" uri="{E15A36E0-9728-4e99-A89B-3F7291B0FE68}">
          <x14:dataField pivotShowAs="percentOfRunningTotal"/>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2F9445-A853-46B7-B264-9A38EC4761E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9" firstHeaderRow="0" firstDataRow="1" firstDataCol="1"/>
  <pivotFields count="34">
    <pivotField dataField="1" showAll="0"/>
    <pivotField numFmtId="164" showAll="0"/>
    <pivotField numFmtId="164" showAll="0"/>
    <pivotField showAll="0"/>
    <pivotField numFmtId="164"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axis="axisRow" showAll="0">
      <items count="17">
        <item x="8"/>
        <item x="5"/>
        <item x="0"/>
        <item x="14"/>
        <item x="6"/>
        <item x="9"/>
        <item x="3"/>
        <item x="10"/>
        <item x="2"/>
        <item x="1"/>
        <item x="11"/>
        <item x="4"/>
        <item x="12"/>
        <item x="13"/>
        <item x="7"/>
        <item x="15"/>
        <item t="default"/>
      </items>
    </pivotField>
    <pivotField showAll="0">
      <items count="8">
        <item x="6"/>
        <item h="1" x="0"/>
        <item h="1" x="4"/>
        <item h="1" x="5"/>
        <item h="1" x="2"/>
        <item h="1" x="3"/>
        <item h="1" x="1"/>
        <item t="default"/>
      </items>
    </pivotField>
    <pivotField showAll="0"/>
    <pivotField showAll="0"/>
    <pivotField showAll="0"/>
    <pivotField showAll="0"/>
    <pivotField showAll="0"/>
    <pivotField numFmtId="165" showAll="0"/>
    <pivotField showAll="0"/>
    <pivotField numFmtId="10" showAll="0"/>
    <pivotField numFmtId="1" showAll="0"/>
    <pivotField numFmtId="10" showAll="0"/>
    <pivotField numFmtId="166" showAll="0"/>
    <pivotField dataField="1" numFmtId="166" showAll="0"/>
    <pivotField dataField="1" numFmtId="166"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numFmtId="14" showAll="0"/>
    <pivotField numFmtId="14" showAll="0"/>
    <pivotField numFmtId="1" showAll="0"/>
    <pivotField numFmtId="49" showAll="0"/>
  </pivotFields>
  <rowFields count="1">
    <field x="11"/>
  </rowFields>
  <rowItems count="16">
    <i>
      <x/>
    </i>
    <i>
      <x v="1"/>
    </i>
    <i>
      <x v="2"/>
    </i>
    <i>
      <x v="3"/>
    </i>
    <i>
      <x v="4"/>
    </i>
    <i>
      <x v="5"/>
    </i>
    <i>
      <x v="6"/>
    </i>
    <i>
      <x v="7"/>
    </i>
    <i>
      <x v="8"/>
    </i>
    <i>
      <x v="9"/>
    </i>
    <i>
      <x v="10"/>
    </i>
    <i>
      <x v="11"/>
    </i>
    <i>
      <x v="12"/>
    </i>
    <i>
      <x v="14"/>
    </i>
    <i>
      <x v="15"/>
    </i>
    <i t="grand">
      <x/>
    </i>
  </rowItems>
  <colFields count="1">
    <field x="-2"/>
  </colFields>
  <colItems count="3">
    <i>
      <x/>
    </i>
    <i i="1">
      <x v="1"/>
    </i>
    <i i="2">
      <x v="2"/>
    </i>
  </colItems>
  <dataFields count="3">
    <dataField name="Count of OrderID" fld="0" subtotal="count" baseField="0" baseItem="0"/>
    <dataField name="Sum of GrossRevenue" fld="25" baseField="0" baseItem="0" numFmtId="166"/>
    <dataField name="Sum of GrossProfit" fld="24"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EFE397-9B2B-42AC-9480-4B3EF669007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G20" firstHeaderRow="1" firstDataRow="2" firstDataCol="1"/>
  <pivotFields count="34">
    <pivotField dataField="1" showAll="0"/>
    <pivotField numFmtId="164" showAll="0"/>
    <pivotField numFmtId="164" showAll="0"/>
    <pivotField showAll="0"/>
    <pivotField numFmtId="164"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axis="axisRow" showAll="0">
      <items count="17">
        <item x="8"/>
        <item x="5"/>
        <item x="0"/>
        <item x="14"/>
        <item x="6"/>
        <item x="9"/>
        <item x="3"/>
        <item x="10"/>
        <item x="2"/>
        <item x="1"/>
        <item x="11"/>
        <item x="4"/>
        <item x="12"/>
        <item x="13"/>
        <item x="7"/>
        <item x="15"/>
        <item t="default"/>
      </items>
    </pivotField>
    <pivotField showAll="0">
      <items count="8">
        <item x="6"/>
        <item h="1" x="0"/>
        <item h="1" x="4"/>
        <item h="1" x="5"/>
        <item h="1" x="2"/>
        <item h="1" x="3"/>
        <item h="1" x="1"/>
        <item t="default"/>
      </items>
    </pivotField>
    <pivotField showAll="0"/>
    <pivotField showAll="0"/>
    <pivotField showAll="0"/>
    <pivotField showAll="0"/>
    <pivotField showAll="0"/>
    <pivotField numFmtId="165" showAll="0"/>
    <pivotField showAll="0"/>
    <pivotField numFmtId="10" showAll="0"/>
    <pivotField numFmtId="1" showAll="0"/>
    <pivotField numFmtId="10" showAll="0"/>
    <pivotField numFmtId="166" showAll="0"/>
    <pivotField numFmtId="166" showAll="0"/>
    <pivotField numFmtId="166" showAll="0"/>
    <pivotField showAll="0"/>
    <pivotField axis="axisCol"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numFmtId="14" showAll="0"/>
    <pivotField numFmtId="14" showAll="0"/>
    <pivotField numFmtId="1" showAll="0"/>
    <pivotField numFmtId="49" showAll="0"/>
  </pivotFields>
  <rowFields count="1">
    <field x="11"/>
  </rowFields>
  <rowItems count="16">
    <i>
      <x/>
    </i>
    <i>
      <x v="1"/>
    </i>
    <i>
      <x v="2"/>
    </i>
    <i>
      <x v="3"/>
    </i>
    <i>
      <x v="4"/>
    </i>
    <i>
      <x v="5"/>
    </i>
    <i>
      <x v="6"/>
    </i>
    <i>
      <x v="7"/>
    </i>
    <i>
      <x v="8"/>
    </i>
    <i>
      <x v="9"/>
    </i>
    <i>
      <x v="10"/>
    </i>
    <i>
      <x v="11"/>
    </i>
    <i>
      <x v="12"/>
    </i>
    <i>
      <x v="14"/>
    </i>
    <i>
      <x v="15"/>
    </i>
    <i t="grand">
      <x/>
    </i>
  </rowItems>
  <colFields count="1">
    <field x="27"/>
  </colFields>
  <colItems count="32">
    <i>
      <x/>
    </i>
    <i>
      <x v="1"/>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2"/>
    </i>
    <i t="grand">
      <x/>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B9E4E7-379F-43C8-9148-E1D7EB8385F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O10" firstHeaderRow="1" firstDataRow="3" firstDataCol="1"/>
  <pivotFields count="34">
    <pivotField showAll="0"/>
    <pivotField numFmtId="164" showAll="0"/>
    <pivotField numFmtId="164" showAll="0"/>
    <pivotField showAll="0"/>
    <pivotField numFmtId="164" showAll="0"/>
    <pivotField numFmtId="1"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axis="axisCol"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showAll="0">
      <items count="8">
        <item x="6"/>
        <item h="1" x="0"/>
        <item h="1" x="4"/>
        <item h="1" x="5"/>
        <item h="1" x="2"/>
        <item h="1" x="3"/>
        <item h="1" x="1"/>
        <item t="default"/>
      </items>
    </pivotField>
    <pivotField showAll="0"/>
    <pivotField showAll="0"/>
    <pivotField showAll="0"/>
    <pivotField showAll="0"/>
    <pivotField showAll="0"/>
    <pivotField numFmtId="165" showAll="0"/>
    <pivotField showAll="0"/>
    <pivotField numFmtId="10" showAll="0"/>
    <pivotField numFmtId="1" showAll="0"/>
    <pivotField numFmtId="10" showAll="0"/>
    <pivotField numFmtId="166" showAll="0"/>
    <pivotField numFmtId="166" showAll="0"/>
    <pivotField dataField="1" numFmtId="166"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numFmtId="14" showAll="0"/>
    <pivotField numFmtId="14" showAll="0"/>
    <pivotField numFmtId="1" showAll="0"/>
    <pivotField numFmtId="49" showAll="0"/>
  </pivotFields>
  <rowFields count="1">
    <field x="6"/>
  </rowFields>
  <rowItems count="5">
    <i>
      <x/>
    </i>
    <i>
      <x v="1"/>
    </i>
    <i>
      <x v="2"/>
    </i>
    <i>
      <x v="3"/>
    </i>
    <i t="grand">
      <x/>
    </i>
  </rowItems>
  <colFields count="2">
    <field x="10"/>
    <field x="-2"/>
  </colFields>
  <colItems count="14">
    <i>
      <x/>
      <x/>
    </i>
    <i r="1" i="1">
      <x v="1"/>
    </i>
    <i>
      <x v="1"/>
      <x/>
    </i>
    <i r="1" i="1">
      <x v="1"/>
    </i>
    <i>
      <x v="2"/>
      <x/>
    </i>
    <i r="1" i="1">
      <x v="1"/>
    </i>
    <i>
      <x v="3"/>
      <x/>
    </i>
    <i r="1" i="1">
      <x v="1"/>
    </i>
    <i>
      <x v="4"/>
      <x/>
    </i>
    <i r="1" i="1">
      <x v="1"/>
    </i>
    <i>
      <x v="5"/>
      <x/>
    </i>
    <i r="1" i="1">
      <x v="1"/>
    </i>
    <i t="grand">
      <x/>
    </i>
    <i t="grand" i="1">
      <x/>
    </i>
  </colItems>
  <dataFields count="2">
    <dataField name="Sum of GrossRevenue" fld="25" baseField="0" baseItem="0" numFmtId="166"/>
    <dataField name="Revenue Share %" fld="25" showDataAs="percentOfRow"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0F4473-B0F1-4FF8-B3D7-C8C788D573D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8" firstHeaderRow="0" firstDataRow="1" firstDataCol="1"/>
  <pivotFields count="34">
    <pivotField dataField="1" showAll="0"/>
    <pivotField numFmtId="164" showAll="0"/>
    <pivotField numFmtId="164" showAll="0"/>
    <pivotField showAll="0"/>
    <pivotField numFmtId="164" showAll="0"/>
    <pivotField numFmtId="1" showAll="0"/>
    <pivotField showAll="0">
      <items count="5">
        <item x="0"/>
        <item x="2"/>
        <item x="1"/>
        <item x="3"/>
        <item t="default"/>
      </items>
    </pivotField>
    <pivotField axis="axisRow"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axis="axisRow" showAll="0">
      <items count="8">
        <item x="6"/>
        <item h="1" x="0"/>
        <item h="1" x="4"/>
        <item h="1" x="5"/>
        <item h="1" x="2"/>
        <item h="1" x="3"/>
        <item h="1" x="1"/>
        <item t="default"/>
      </items>
    </pivotField>
    <pivotField showAll="0"/>
    <pivotField showAll="0"/>
    <pivotField showAll="0"/>
    <pivotField showAll="0"/>
    <pivotField showAll="0"/>
    <pivotField numFmtId="165" showAll="0"/>
    <pivotField showAll="0"/>
    <pivotField numFmtId="10" showAll="0"/>
    <pivotField numFmtId="1" showAll="0"/>
    <pivotField numFmtId="10" showAll="0"/>
    <pivotField numFmtId="166" showAll="0"/>
    <pivotField numFmtId="166" showAll="0"/>
    <pivotField numFmtId="166"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numFmtId="14" showAll="0"/>
    <pivotField numFmtId="14" showAll="0"/>
    <pivotField dataField="1" numFmtId="1" showAll="0"/>
    <pivotField numFmtId="49" showAll="0"/>
  </pivotFields>
  <rowFields count="2">
    <field x="7"/>
    <field x="12"/>
  </rowFields>
  <rowItems count="25">
    <i>
      <x/>
    </i>
    <i r="1">
      <x/>
    </i>
    <i>
      <x v="1"/>
    </i>
    <i r="1">
      <x/>
    </i>
    <i>
      <x v="2"/>
    </i>
    <i r="1">
      <x/>
    </i>
    <i>
      <x v="3"/>
    </i>
    <i r="1">
      <x/>
    </i>
    <i>
      <x v="4"/>
    </i>
    <i r="1">
      <x/>
    </i>
    <i>
      <x v="5"/>
    </i>
    <i r="1">
      <x/>
    </i>
    <i>
      <x v="6"/>
    </i>
    <i r="1">
      <x/>
    </i>
    <i>
      <x v="7"/>
    </i>
    <i r="1">
      <x/>
    </i>
    <i>
      <x v="8"/>
    </i>
    <i r="1">
      <x/>
    </i>
    <i>
      <x v="9"/>
    </i>
    <i r="1">
      <x/>
    </i>
    <i>
      <x v="10"/>
    </i>
    <i r="1">
      <x/>
    </i>
    <i>
      <x v="11"/>
    </i>
    <i r="1">
      <x/>
    </i>
    <i t="grand">
      <x/>
    </i>
  </rowItems>
  <colFields count="1">
    <field x="-2"/>
  </colFields>
  <colItems count="2">
    <i>
      <x/>
    </i>
    <i i="1">
      <x v="1"/>
    </i>
  </colItems>
  <dataFields count="2">
    <dataField name="Count of OrderID" fld="0" subtotal="count" baseField="0" baseItem="0"/>
    <dataField name="Sum of OnTimeFlag" fld="3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E93792-3548-46C7-8E7F-699885B2848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3" firstHeaderRow="0" firstDataRow="1" firstDataCol="1"/>
  <pivotFields count="34">
    <pivotField dataField="1" showAll="0"/>
    <pivotField numFmtId="164" showAll="0"/>
    <pivotField numFmtId="164" showAll="0"/>
    <pivotField showAll="0"/>
    <pivotField numFmtId="164" showAll="0"/>
    <pivotField numFmtId="1"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axis="axisRow" showAll="0">
      <items count="17">
        <item x="8"/>
        <item x="5"/>
        <item x="0"/>
        <item x="14"/>
        <item x="6"/>
        <item x="9"/>
        <item x="3"/>
        <item x="10"/>
        <item x="2"/>
        <item x="1"/>
        <item x="11"/>
        <item x="4"/>
        <item x="12"/>
        <item x="13"/>
        <item x="7"/>
        <item x="15"/>
        <item t="default"/>
      </items>
    </pivotField>
    <pivotField showAll="0">
      <items count="8">
        <item x="6"/>
        <item h="1" x="0"/>
        <item h="1" x="4"/>
        <item h="1" x="5"/>
        <item h="1" x="2"/>
        <item h="1" x="3"/>
        <item h="1" x="1"/>
        <item t="default"/>
      </items>
    </pivotField>
    <pivotField showAll="0"/>
    <pivotField showAll="0"/>
    <pivotField showAll="0"/>
    <pivotField showAll="0"/>
    <pivotField showAll="0"/>
    <pivotField numFmtId="165" showAll="0"/>
    <pivotField showAll="0"/>
    <pivotField numFmtId="10" showAll="0"/>
    <pivotField dataField="1" numFmtId="1" showAll="0"/>
    <pivotField numFmtId="10" showAll="0"/>
    <pivotField numFmtId="166" showAll="0"/>
    <pivotField numFmtId="166" showAll="0"/>
    <pivotField numFmtId="166"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numFmtId="14" showAll="0"/>
    <pivotField numFmtId="14" showAll="0"/>
    <pivotField numFmtId="1" showAll="0"/>
    <pivotField numFmtId="49" showAll="0"/>
  </pivotFields>
  <rowFields count="2">
    <field x="6"/>
    <field x="11"/>
  </rowFields>
  <rowItems count="50">
    <i>
      <x/>
    </i>
    <i r="1">
      <x/>
    </i>
    <i r="1">
      <x v="1"/>
    </i>
    <i r="1">
      <x v="2"/>
    </i>
    <i r="1">
      <x v="3"/>
    </i>
    <i r="1">
      <x v="5"/>
    </i>
    <i r="1">
      <x v="6"/>
    </i>
    <i r="1">
      <x v="7"/>
    </i>
    <i r="1">
      <x v="8"/>
    </i>
    <i r="1">
      <x v="9"/>
    </i>
    <i r="1">
      <x v="10"/>
    </i>
    <i r="1">
      <x v="11"/>
    </i>
    <i r="1">
      <x v="12"/>
    </i>
    <i r="1">
      <x v="14"/>
    </i>
    <i>
      <x v="1"/>
    </i>
    <i r="1">
      <x/>
    </i>
    <i r="1">
      <x v="2"/>
    </i>
    <i r="1">
      <x v="3"/>
    </i>
    <i r="1">
      <x v="5"/>
    </i>
    <i r="1">
      <x v="6"/>
    </i>
    <i r="1">
      <x v="8"/>
    </i>
    <i r="1">
      <x v="9"/>
    </i>
    <i r="1">
      <x v="10"/>
    </i>
    <i r="1">
      <x v="11"/>
    </i>
    <i r="1">
      <x v="12"/>
    </i>
    <i r="1">
      <x v="14"/>
    </i>
    <i r="1">
      <x v="15"/>
    </i>
    <i>
      <x v="2"/>
    </i>
    <i r="1">
      <x/>
    </i>
    <i r="1">
      <x v="1"/>
    </i>
    <i r="1">
      <x v="3"/>
    </i>
    <i r="1">
      <x v="4"/>
    </i>
    <i r="1">
      <x v="5"/>
    </i>
    <i r="1">
      <x v="6"/>
    </i>
    <i r="1">
      <x v="7"/>
    </i>
    <i r="1">
      <x v="11"/>
    </i>
    <i>
      <x v="3"/>
    </i>
    <i r="1">
      <x/>
    </i>
    <i r="1">
      <x v="1"/>
    </i>
    <i r="1">
      <x v="2"/>
    </i>
    <i r="1">
      <x v="3"/>
    </i>
    <i r="1">
      <x v="6"/>
    </i>
    <i r="1">
      <x v="7"/>
    </i>
    <i r="1">
      <x v="8"/>
    </i>
    <i r="1">
      <x v="9"/>
    </i>
    <i r="1">
      <x v="10"/>
    </i>
    <i r="1">
      <x v="11"/>
    </i>
    <i r="1">
      <x v="12"/>
    </i>
    <i r="1">
      <x v="14"/>
    </i>
    <i t="grand">
      <x/>
    </i>
  </rowItems>
  <colFields count="1">
    <field x="-2"/>
  </colFields>
  <colItems count="2">
    <i>
      <x/>
    </i>
    <i i="1">
      <x v="1"/>
    </i>
  </colItems>
  <dataFields count="2">
    <dataField name="Count of OrderID" fld="0" subtotal="count" baseField="0" baseItem="0"/>
    <dataField name="Discounted Orders" fld="2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9863B3-6297-4557-AD42-AEE629C1C1A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35" firstHeaderRow="1" firstDataRow="1" firstDataCol="1"/>
  <pivotFields count="34">
    <pivotField showAll="0"/>
    <pivotField numFmtId="164" showAll="0"/>
    <pivotField numFmtId="164" showAll="0"/>
    <pivotField showAll="0"/>
    <pivotField numFmtId="164"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showAll="0">
      <items count="8">
        <item x="6"/>
        <item h="1" x="0"/>
        <item h="1" x="4"/>
        <item h="1" x="5"/>
        <item h="1" x="2"/>
        <item h="1" x="3"/>
        <item h="1" x="1"/>
        <item t="default"/>
      </items>
    </pivotField>
    <pivotField showAll="0"/>
    <pivotField showAll="0"/>
    <pivotField showAll="0"/>
    <pivotField showAll="0"/>
    <pivotField showAll="0"/>
    <pivotField numFmtId="165" showAll="0"/>
    <pivotField showAll="0"/>
    <pivotField numFmtId="10" showAll="0"/>
    <pivotField numFmtId="1" showAll="0"/>
    <pivotField numFmtId="10" showAll="0"/>
    <pivotField numFmtId="166" showAll="0"/>
    <pivotField numFmtId="166" showAll="0"/>
    <pivotField dataField="1" numFmtId="166" showAll="0"/>
    <pivotField showAll="0"/>
    <pivotField axis="axisRow"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numFmtId="14" showAll="0"/>
    <pivotField numFmtId="14" showAll="0"/>
    <pivotField numFmtId="1" showAll="0"/>
    <pivotField numFmtId="49" showAll="0"/>
  </pivotFields>
  <rowFields count="1">
    <field x="27"/>
  </rowFields>
  <rowItems count="32">
    <i>
      <x/>
    </i>
    <i>
      <x v="1"/>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2"/>
    </i>
    <i t="grand">
      <x/>
    </i>
  </rowItems>
  <colItems count="1">
    <i/>
  </colItems>
  <dataFields count="1">
    <dataField name="Sum of GrossRevenue" fld="25" baseField="0" baseItem="0" numFmtId="166"/>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9319F6-14BC-4250-ACFA-5A51E1E5C21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H9" firstHeaderRow="1" firstDataRow="2" firstDataCol="1"/>
  <pivotFields count="34">
    <pivotField showAll="0"/>
    <pivotField numFmtId="164" showAll="0"/>
    <pivotField numFmtId="164" showAll="0"/>
    <pivotField showAll="0"/>
    <pivotField numFmtId="164" showAll="0"/>
    <pivotField numFmtId="1" showAll="0"/>
    <pivotField axis="axisRow"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axis="axisCol"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showAll="0">
      <items count="8">
        <item x="6"/>
        <item h="1" x="0"/>
        <item h="1" x="4"/>
        <item h="1" x="5"/>
        <item h="1" x="2"/>
        <item h="1" x="3"/>
        <item h="1" x="1"/>
        <item t="default"/>
      </items>
    </pivotField>
    <pivotField showAll="0"/>
    <pivotField showAll="0"/>
    <pivotField showAll="0"/>
    <pivotField showAll="0"/>
    <pivotField showAll="0"/>
    <pivotField numFmtId="165" showAll="0"/>
    <pivotField showAll="0"/>
    <pivotField numFmtId="10" showAll="0"/>
    <pivotField numFmtId="1" showAll="0"/>
    <pivotField numFmtId="10" showAll="0"/>
    <pivotField numFmtId="166" showAll="0"/>
    <pivotField dataField="1" numFmtId="166" showAll="0"/>
    <pivotField numFmtId="166"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numFmtId="14" showAll="0"/>
    <pivotField numFmtId="14" showAll="0"/>
    <pivotField numFmtId="1" showAll="0"/>
    <pivotField numFmtId="49" showAll="0"/>
  </pivotFields>
  <rowFields count="1">
    <field x="6"/>
  </rowFields>
  <rowItems count="5">
    <i>
      <x/>
    </i>
    <i>
      <x v="1"/>
    </i>
    <i>
      <x v="2"/>
    </i>
    <i>
      <x v="3"/>
    </i>
    <i t="grand">
      <x/>
    </i>
  </rowItems>
  <colFields count="1">
    <field x="10"/>
  </colFields>
  <colItems count="7">
    <i>
      <x/>
    </i>
    <i>
      <x v="1"/>
    </i>
    <i>
      <x v="2"/>
    </i>
    <i>
      <x v="3"/>
    </i>
    <i>
      <x v="4"/>
    </i>
    <i>
      <x v="5"/>
    </i>
    <i t="grand">
      <x/>
    </i>
  </colItems>
  <dataFields count="1">
    <dataField name="Sum of GrossProfit" fld="24" baseField="0" baseItem="0" numFmtId="166"/>
  </dataFields>
  <chartFormats count="1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0" format="5" series="1">
      <pivotArea type="data" outline="0" fieldPosition="0">
        <references count="2">
          <reference field="4294967294" count="1" selected="0">
            <x v="0"/>
          </reference>
          <reference field="10" count="1" selected="0">
            <x v="5"/>
          </reference>
        </references>
      </pivotArea>
    </chartFormat>
    <chartFormat chart="11" format="12" series="1">
      <pivotArea type="data" outline="0" fieldPosition="0">
        <references count="2">
          <reference field="4294967294" count="1" selected="0">
            <x v="0"/>
          </reference>
          <reference field="10" count="1" selected="0">
            <x v="0"/>
          </reference>
        </references>
      </pivotArea>
    </chartFormat>
    <chartFormat chart="11" format="13" series="1">
      <pivotArea type="data" outline="0" fieldPosition="0">
        <references count="2">
          <reference field="4294967294" count="1" selected="0">
            <x v="0"/>
          </reference>
          <reference field="10" count="1" selected="0">
            <x v="1"/>
          </reference>
        </references>
      </pivotArea>
    </chartFormat>
    <chartFormat chart="11" format="14" series="1">
      <pivotArea type="data" outline="0" fieldPosition="0">
        <references count="2">
          <reference field="4294967294" count="1" selected="0">
            <x v="0"/>
          </reference>
          <reference field="10" count="1" selected="0">
            <x v="2"/>
          </reference>
        </references>
      </pivotArea>
    </chartFormat>
    <chartFormat chart="11" format="15" series="1">
      <pivotArea type="data" outline="0" fieldPosition="0">
        <references count="2">
          <reference field="4294967294" count="1" selected="0">
            <x v="0"/>
          </reference>
          <reference field="10" count="1" selected="0">
            <x v="3"/>
          </reference>
        </references>
      </pivotArea>
    </chartFormat>
    <chartFormat chart="11" format="16" series="1">
      <pivotArea type="data" outline="0" fieldPosition="0">
        <references count="2">
          <reference field="4294967294" count="1" selected="0">
            <x v="0"/>
          </reference>
          <reference field="10" count="1" selected="0">
            <x v="4"/>
          </reference>
        </references>
      </pivotArea>
    </chartFormat>
    <chartFormat chart="11" format="17" series="1">
      <pivotArea type="data" outline="0" fieldPosition="0">
        <references count="2">
          <reference field="4294967294" count="1" selected="0">
            <x v="0"/>
          </reference>
          <reference field="10" count="1" selected="0">
            <x v="5"/>
          </reference>
        </references>
      </pivotArea>
    </chartFormat>
    <chartFormat chart="11"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538A38-D452-45CD-A49D-1763387DE03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4" firstHeaderRow="1" firstDataRow="1" firstDataCol="1"/>
  <pivotFields count="34">
    <pivotField showAll="0"/>
    <pivotField numFmtId="164" showAll="0"/>
    <pivotField numFmtId="164" showAll="0"/>
    <pivotField showAll="0"/>
    <pivotField numFmtId="164"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showAll="0">
      <items count="8">
        <item x="6"/>
        <item h="1" x="0"/>
        <item h="1" x="4"/>
        <item h="1" x="5"/>
        <item h="1" x="2"/>
        <item h="1" x="3"/>
        <item h="1" x="1"/>
        <item t="default"/>
      </items>
    </pivotField>
    <pivotField axis="axisRow" showAll="0" measureFilter="1" sortType="descending">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5" showAll="0"/>
    <pivotField showAll="0"/>
    <pivotField numFmtId="10" showAll="0"/>
    <pivotField numFmtId="1" showAll="0"/>
    <pivotField numFmtId="10" showAll="0"/>
    <pivotField numFmtId="166" showAll="0"/>
    <pivotField numFmtId="166" showAll="0"/>
    <pivotField dataField="1" numFmtId="166"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numFmtId="14" showAll="0"/>
    <pivotField numFmtId="14" showAll="0"/>
    <pivotField numFmtId="1" showAll="0"/>
    <pivotField numFmtId="49" showAll="0"/>
  </pivotFields>
  <rowFields count="1">
    <field x="13"/>
  </rowFields>
  <rowItems count="11">
    <i>
      <x v="60"/>
    </i>
    <i>
      <x v="23"/>
    </i>
    <i>
      <x v="82"/>
    </i>
    <i>
      <x v="84"/>
    </i>
    <i>
      <x v="72"/>
    </i>
    <i>
      <x v="41"/>
    </i>
    <i>
      <x v="68"/>
    </i>
    <i>
      <x v="50"/>
    </i>
    <i>
      <x v="81"/>
    </i>
    <i>
      <x v="63"/>
    </i>
    <i t="grand">
      <x/>
    </i>
  </rowItems>
  <colItems count="1">
    <i/>
  </colItems>
  <dataFields count="1">
    <dataField name="Sum of GrossRevenue" fld="25" baseField="0" baseItem="0" numFmtId="166"/>
  </dataFields>
  <chartFormats count="2">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01B9C8-7E58-4093-B516-0EB5BD323BB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4">
    <pivotField showAll="0"/>
    <pivotField numFmtId="164" showAll="0"/>
    <pivotField numFmtId="164" showAll="0"/>
    <pivotField showAll="0"/>
    <pivotField numFmtId="164"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showAll="0">
      <items count="8">
        <item x="6"/>
        <item h="1" x="0"/>
        <item h="1" x="4"/>
        <item h="1" x="5"/>
        <item h="1" x="2"/>
        <item h="1" x="3"/>
        <item h="1" x="1"/>
        <item t="default"/>
      </items>
    </pivotField>
    <pivotField showAll="0"/>
    <pivotField showAll="0"/>
    <pivotField showAll="0"/>
    <pivotField showAll="0"/>
    <pivotField showAll="0"/>
    <pivotField numFmtId="165" showAll="0"/>
    <pivotField showAll="0"/>
    <pivotField numFmtId="10" showAll="0"/>
    <pivotField numFmtId="1" showAll="0"/>
    <pivotField numFmtId="10" showAll="0"/>
    <pivotField numFmtId="166" showAll="0"/>
    <pivotField numFmtId="166" showAll="0"/>
    <pivotField numFmtId="166"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numFmtId="14" showAll="0"/>
    <pivotField numFmtId="14" showAll="0"/>
    <pivotField numFmtId="1" showAll="0"/>
    <pivotField numFmtId="49"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85EB982-4573-46D2-A87E-18761411DCF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2" firstHeaderRow="1" firstDataRow="1" firstDataCol="1"/>
  <pivotFields count="34">
    <pivotField showAll="0"/>
    <pivotField numFmtId="164" showAll="0"/>
    <pivotField numFmtId="164" showAll="0"/>
    <pivotField showAll="0"/>
    <pivotField numFmtId="164" showAll="0"/>
    <pivotField numFmtId="1" showAll="0"/>
    <pivotField showAll="0">
      <items count="5">
        <item x="0"/>
        <item x="2"/>
        <item x="1"/>
        <item x="3"/>
        <item t="default"/>
      </items>
    </pivotField>
    <pivotField showAll="0">
      <items count="13">
        <item x="5"/>
        <item x="3"/>
        <item x="9"/>
        <item x="7"/>
        <item x="6"/>
        <item x="4"/>
        <item x="2"/>
        <item x="0"/>
        <item x="1"/>
        <item x="11"/>
        <item x="8"/>
        <item x="10"/>
        <item t="default"/>
      </items>
    </pivotField>
    <pivotField showAll="0"/>
    <pivotField showAll="0"/>
    <pivotField showAll="0">
      <items count="7">
        <item x="4"/>
        <item x="3"/>
        <item x="2"/>
        <item x="1"/>
        <item x="0"/>
        <item x="5"/>
        <item t="default"/>
      </items>
    </pivotField>
    <pivotField showAll="0">
      <items count="17">
        <item x="8"/>
        <item x="5"/>
        <item x="0"/>
        <item x="14"/>
        <item x="6"/>
        <item x="9"/>
        <item x="3"/>
        <item x="10"/>
        <item x="2"/>
        <item x="1"/>
        <item x="11"/>
        <item x="4"/>
        <item x="12"/>
        <item x="13"/>
        <item x="7"/>
        <item x="15"/>
        <item t="default"/>
      </items>
    </pivotField>
    <pivotField showAll="0">
      <items count="8">
        <item x="6"/>
        <item h="1" x="0"/>
        <item h="1" x="4"/>
        <item h="1" x="5"/>
        <item h="1" x="2"/>
        <item h="1" x="3"/>
        <item h="1" x="1"/>
        <item t="default"/>
      </items>
    </pivotField>
    <pivotField axis="axisRow" showAll="0">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pivotField>
    <pivotField showAll="0"/>
    <pivotField showAll="0"/>
    <pivotField showAll="0"/>
    <pivotField showAll="0"/>
    <pivotField numFmtId="165" showAll="0"/>
    <pivotField showAll="0"/>
    <pivotField dataField="1" numFmtId="10" showAll="0"/>
    <pivotField numFmtId="1" showAll="0"/>
    <pivotField numFmtId="10" showAll="0"/>
    <pivotField numFmtId="166" showAll="0"/>
    <pivotField numFmtId="166" showAll="0"/>
    <pivotField numFmtId="166"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showAll="0"/>
    <pivotField showAll="0"/>
    <pivotField numFmtId="14" showAll="0"/>
    <pivotField numFmtId="14" showAll="0"/>
    <pivotField numFmtId="1" showAll="0"/>
    <pivotField numFmtId="49" showAll="0"/>
  </pivotFields>
  <rowFields count="1">
    <field x="13"/>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rowItems>
  <colItems count="1">
    <i/>
  </colItems>
  <dataFields count="1">
    <dataField name="Average of DiscountPct" fld="20" subtotal="average"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09F9DBD-279B-44D4-ACBC-B17B4BB8F64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34">
    <pivotField dataField="1" showAll="0"/>
    <pivotField numFmtId="164" showAll="0"/>
    <pivotField numFmtId="164" showAll="0"/>
    <pivotField showAll="0"/>
    <pivotField numFmtId="164" showAll="0"/>
    <pivotField numFmtId="1"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numFmtId="10" showAll="0"/>
    <pivotField numFmtId="1" showAll="0"/>
    <pivotField numFmtId="10" showAll="0"/>
    <pivotField numFmtId="166" showAll="0"/>
    <pivotField numFmtId="166" showAll="0"/>
    <pivotField numFmtId="166" showAll="0"/>
    <pivotField showAll="0"/>
    <pivotField showAll="0"/>
    <pivotField showAll="0"/>
    <pivotField showAll="0"/>
    <pivotField numFmtId="14" showAll="0"/>
    <pivotField numFmtId="14" showAll="0"/>
    <pivotField numFmtId="1" showAll="0"/>
    <pivotField numFmtId="49" showAll="0"/>
  </pivotFields>
  <rowFields count="1">
    <field x="6"/>
  </rowFields>
  <rowItems count="5">
    <i>
      <x/>
    </i>
    <i>
      <x v="1"/>
    </i>
    <i>
      <x v="2"/>
    </i>
    <i>
      <x v="3"/>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E83C9C-2F98-43DF-8FE5-8C3CD7C790E4}" sourceName="Region">
  <pivotTables>
    <pivotTable tabId="23" name="PivotTable12"/>
    <pivotTable tabId="22" name="PivotTable11"/>
    <pivotTable tabId="13" name="PivotTable6"/>
    <pivotTable tabId="6" name="PivotTable2"/>
    <pivotTable tabId="12" name="PivotTable5"/>
    <pivotTable tabId="15" name="PivotTable8"/>
    <pivotTable tabId="21" name="PivotTable10"/>
    <pivotTable tabId="20" name="PivotTable9"/>
    <pivotTable tabId="11" name="PivotTable4"/>
    <pivotTable tabId="14" name="PivotTable7"/>
    <pivotTable tabId="8" name="PivotTable2"/>
    <pivotTable tabId="24" name="PivotTable13"/>
    <pivotTable tabId="25" name="PivotTable14"/>
  </pivotTables>
  <data>
    <tabular pivotCacheId="940546993">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4ABCAB5-E207-4E00-8CCC-750F521D7DBF}" sourceName="Country">
  <pivotTables>
    <pivotTable tabId="23" name="PivotTable12"/>
    <pivotTable tabId="22" name="PivotTable11"/>
    <pivotTable tabId="13" name="PivotTable6"/>
    <pivotTable tabId="6" name="PivotTable2"/>
    <pivotTable tabId="12" name="PivotTable5"/>
    <pivotTable tabId="15" name="PivotTable8"/>
    <pivotTable tabId="21" name="PivotTable10"/>
    <pivotTable tabId="20" name="PivotTable9"/>
    <pivotTable tabId="11" name="PivotTable4"/>
    <pivotTable tabId="14" name="PivotTable7"/>
    <pivotTable tabId="8" name="PivotTable2"/>
    <pivotTable tabId="24" name="PivotTable13"/>
  </pivotTables>
  <data>
    <tabular pivotCacheId="940546993">
      <items count="12">
        <i x="5" s="1"/>
        <i x="3" s="1"/>
        <i x="9" s="1"/>
        <i x="7" s="1"/>
        <i x="6" s="1"/>
        <i x="4" s="1"/>
        <i x="2" s="1"/>
        <i x="0" s="1"/>
        <i x="1" s="1"/>
        <i x="11" s="1"/>
        <i x="8"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B51F096D-4088-481A-842C-9F8E5EFD80C1}" sourceName="Channel">
  <pivotTables>
    <pivotTable tabId="23" name="PivotTable12"/>
    <pivotTable tabId="22" name="PivotTable11"/>
    <pivotTable tabId="13" name="PivotTable6"/>
    <pivotTable tabId="6" name="PivotTable2"/>
    <pivotTable tabId="12" name="PivotTable5"/>
    <pivotTable tabId="15" name="PivotTable8"/>
    <pivotTable tabId="21" name="PivotTable10"/>
    <pivotTable tabId="20" name="PivotTable9"/>
    <pivotTable tabId="11" name="PivotTable4"/>
    <pivotTable tabId="14" name="PivotTable7"/>
    <pivotTable tabId="8" name="PivotTable2"/>
    <pivotTable tabId="24" name="PivotTable13"/>
  </pivotTables>
  <data>
    <tabular pivotCacheId="940546993">
      <items count="6">
        <i x="4" s="1"/>
        <i x="3" s="1"/>
        <i x="2" s="1"/>
        <i x="1" s="1"/>
        <i x="0"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6F16FAB6-673B-45FE-98E8-F1DD5FE57E24}" sourceName="Salesperson">
  <pivotTables>
    <pivotTable tabId="23" name="PivotTable12"/>
    <pivotTable tabId="22" name="PivotTable11"/>
    <pivotTable tabId="13" name="PivotTable6"/>
    <pivotTable tabId="6" name="PivotTable2"/>
    <pivotTable tabId="12" name="PivotTable5"/>
    <pivotTable tabId="15" name="PivotTable8"/>
    <pivotTable tabId="21" name="PivotTable10"/>
    <pivotTable tabId="20" name="PivotTable9"/>
    <pivotTable tabId="11" name="PivotTable4"/>
    <pivotTable tabId="14" name="PivotTable7"/>
    <pivotTable tabId="8" name="PivotTable2"/>
    <pivotTable tabId="24" name="PivotTable13"/>
  </pivotTables>
  <data>
    <tabular pivotCacheId="940546993">
      <items count="16">
        <i x="8" s="1"/>
        <i x="5" s="1"/>
        <i x="0" s="1"/>
        <i x="14" s="1"/>
        <i x="6" s="1"/>
        <i x="9" s="1"/>
        <i x="3" s="1"/>
        <i x="10" s="1"/>
        <i x="2" s="1"/>
        <i x="1" s="1"/>
        <i x="11" s="1"/>
        <i x="4" s="1"/>
        <i x="12" s="1"/>
        <i x="7" s="1"/>
        <i x="15" s="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AF041F6B-C530-44E0-9CED-76CD43D8DE48}" sourceName="ProductCategory">
  <pivotTables>
    <pivotTable tabId="23" name="PivotTable12"/>
    <pivotTable tabId="22" name="PivotTable11"/>
    <pivotTable tabId="13" name="PivotTable6"/>
    <pivotTable tabId="6" name="PivotTable2"/>
    <pivotTable tabId="12" name="PivotTable5"/>
    <pivotTable tabId="15" name="PivotTable8"/>
    <pivotTable tabId="21" name="PivotTable10"/>
    <pivotTable tabId="20" name="PivotTable9"/>
    <pivotTable tabId="11" name="PivotTable4"/>
    <pivotTable tabId="14" name="PivotTable7"/>
    <pivotTable tabId="8" name="PivotTable2"/>
    <pivotTable tabId="24" name="PivotTable13"/>
  </pivotTables>
  <data>
    <tabular pivotCacheId="940546993">
      <items count="7">
        <i x="6" s="1"/>
        <i x="0"/>
        <i x="4"/>
        <i x="5"/>
        <i x="2"/>
        <i x="3"/>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6D3B28C-343F-48EC-8488-4B21341106E1}" sourceName="Month">
  <pivotTables>
    <pivotTable tabId="23" name="PivotTable12"/>
    <pivotTable tabId="22" name="PivotTable11"/>
    <pivotTable tabId="13" name="PivotTable6"/>
    <pivotTable tabId="6" name="PivotTable2"/>
    <pivotTable tabId="12" name="PivotTable5"/>
    <pivotTable tabId="15" name="PivotTable8"/>
    <pivotTable tabId="21" name="PivotTable10"/>
    <pivotTable tabId="20" name="PivotTable9"/>
    <pivotTable tabId="11" name="PivotTable4"/>
    <pivotTable tabId="14" name="PivotTable7"/>
    <pivotTable tabId="8" name="PivotTable2"/>
    <pivotTable tabId="24" name="PivotTable13"/>
  </pivotTables>
  <data>
    <tabular pivotCacheId="940546993">
      <items count="33">
        <i x="12" s="1"/>
        <i x="20" s="1"/>
        <i x="25" s="1"/>
        <i x="21" s="1"/>
        <i x="28" s="1"/>
        <i x="4" s="1"/>
        <i x="6" s="1"/>
        <i x="2" s="1"/>
        <i x="31" s="1"/>
        <i x="26" s="1"/>
        <i x="5" s="1"/>
        <i x="9" s="1"/>
        <i x="10" s="1"/>
        <i x="24" s="1"/>
        <i x="14" s="1"/>
        <i x="13" s="1"/>
        <i x="23" s="1"/>
        <i x="17" s="1"/>
        <i x="16" s="1"/>
        <i x="22" s="1"/>
        <i x="0" s="1"/>
        <i x="3" s="1"/>
        <i x="15" s="1"/>
        <i x="7" s="1"/>
        <i x="8" s="1"/>
        <i x="30" s="1"/>
        <i x="18" s="1"/>
        <i x="32" s="1"/>
        <i x="1" s="1"/>
        <i x="27" s="1"/>
        <i x="11" s="1"/>
        <i x="19" s="1" nd="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A99054C-7F34-487F-A1B7-A3125A49C028}" cache="Slicer_Region" caption="Region" rowHeight="241300"/>
  <slicer name="Country" xr10:uid="{2B4C69DD-6758-4051-B5CD-A1AF15A85DD1}" cache="Slicer_Country" caption="Country" rowHeight="241300"/>
  <slicer name="Channel" xr10:uid="{0D02C8AA-8691-4F33-BA39-D32F7137AC64}" cache="Slicer_Channel" caption="Channel" rowHeight="241300"/>
  <slicer name="Salesperson" xr10:uid="{2DDF86DC-45E9-42E1-B6D3-005BA257A23F}" cache="Slicer_Salesperson" caption="Salesperson" rowHeight="241300"/>
  <slicer name="ProductCategory" xr10:uid="{09EB68D2-727C-499D-9DC4-636399F91083}" cache="Slicer_ProductCategory" caption="ProductCategory" rowHeight="241300"/>
  <slicer name="Month" xr10:uid="{0EA1F5B7-DA42-4564-8139-52A2E45FD7E3}"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4EB92EF-E4E9-466B-8F37-5DDA8E564BC4}" cache="Slicer_Region" caption="Region" rowHeight="241300"/>
  <slicer name="Country 1" xr10:uid="{9E600920-8433-41D5-AF9C-8488D7263BE5}" cache="Slicer_Country" caption="Country" startItem="3" rowHeight="241300"/>
  <slicer name="Channel 1" xr10:uid="{D24CEBA0-1A42-4D69-B505-493CABEA1605}" cache="Slicer_Channel" caption="Channel" rowHeight="241300"/>
  <slicer name="Salesperson 1" xr10:uid="{3D755B98-593C-471F-B841-E246DFE5235A}" cache="Slicer_Salesperson" caption="Salesperson" rowHeight="241300"/>
  <slicer name="ProductCategory 1" xr10:uid="{50BF4113-1C82-4E8B-963D-3C36DCB953A4}" cache="Slicer_ProductCategory" caption="ProductCategory" rowHeight="241300"/>
  <slicer name="Month 1" xr10:uid="{3C8A4695-3C50-41F2-B115-C8929ECED744}"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52A241-E76A-4AFD-ADEA-6C93945FF235}" name="Table1" displayName="Table1" ref="A1:AM633" totalsRowShown="0" headerRowDxfId="42" headerRowBorderDxfId="41" tableBorderDxfId="40">
  <autoFilter ref="A1:AM633" xr:uid="{ED52A241-E76A-4AFD-ADEA-6C93945FF235}"/>
  <tableColumns count="39">
    <tableColumn id="1" xr3:uid="{F6A5CC55-C78C-4B7E-8B91-1350D29E03D5}" name="OrderID"/>
    <tableColumn id="2" xr3:uid="{A1092490-D5A7-4FD6-A0DA-D13C63E00B72}" name="OrderDate" dataDxfId="39"/>
    <tableColumn id="22" xr3:uid="{1FFE55B4-D040-4452-A7E5-E6891F1B1145}" name="RequiredDate_Clean" dataDxfId="38">
      <calculatedColumnFormula>IF(D2="Check",B2+7,E2)</calculatedColumnFormula>
    </tableColumn>
    <tableColumn id="21" xr3:uid="{B3E6548D-2901-4A4B-B737-290AD8FD748B}" name="RequiredDate_Flag" dataDxfId="37">
      <calculatedColumnFormula>IF(Table1[[#This Row],[RequiredDate]]&lt;Table1[[#This Row],[OrderDate]],"Check","OK")</calculatedColumnFormula>
    </tableColumn>
    <tableColumn id="3" xr3:uid="{5FCE2EDF-1666-40AD-B783-A25C4323E9A2}" name="RequiredDate" dataDxfId="36"/>
    <tableColumn id="23" xr3:uid="{2E43CC11-5A6C-4D1A-BD7A-2351EF055B4D}" name="LeadTimeDays" dataDxfId="35">
      <calculatedColumnFormula>C2-B2</calculatedColumnFormula>
    </tableColumn>
    <tableColumn id="4" xr3:uid="{C93E6215-7E86-42F6-AF63-EE7444A27DAC}" name="Region"/>
    <tableColumn id="5" xr3:uid="{06086568-9F30-4405-9BDC-E5D82FA8268A}" name="Country"/>
    <tableColumn id="6" xr3:uid="{71154C02-D07B-4A57-B30E-1347A314E348}" name="City"/>
    <tableColumn id="7" xr3:uid="{0C92129E-6858-4DFD-9289-7FE7F4D9641F}" name="CustomerSegment"/>
    <tableColumn id="8" xr3:uid="{9861C271-B130-4DDC-ADA5-2CCCFBE214AE}" name="Channel"/>
    <tableColumn id="9" xr3:uid="{FCE901FE-E3AF-4C9C-8875-7DEA2D1946FE}" name="Salesperson"/>
    <tableColumn id="10" xr3:uid="{C68C0EDD-1C48-45C8-8487-1A5CE3ABB7BF}" name="ProductCategory"/>
    <tableColumn id="11" xr3:uid="{3078FA46-AD2D-420F-B73B-E32FFC169753}" name="SKU"/>
    <tableColumn id="12" xr3:uid="{F8B91907-4AF8-4B89-9E28-214C96A59622}" name="UnitCost" dataDxfId="34"/>
    <tableColumn id="16" xr3:uid="{00E3BBF0-F82E-4B07-84C4-F77AC32E43F9}" name="UnitPrice_Flag" dataDxfId="33">
      <calculatedColumnFormula>IF(Table1[[#This Row],[UnitPrice]]&lt;=0,"Check","OK")</calculatedColumnFormula>
    </tableColumn>
    <tableColumn id="25" xr3:uid="{2A0650CC-8A91-4B49-9FB2-23CCB55A4F43}" name="UnitPrice_Clean" dataDxfId="32">
      <calculatedColumnFormula>IF(R2&lt;0,0,R2)</calculatedColumnFormula>
    </tableColumn>
    <tableColumn id="13" xr3:uid="{3AD7A7BC-1537-4405-A952-48A0F44AC659}" name="UnitPrice"/>
    <tableColumn id="20" xr3:uid="{629DB631-2AAB-49E6-9570-2A6FAEF972B5}" name="Discount_Clean" dataDxfId="31">
      <calculatedColumnFormula>IF(Table1[[#This Row],[Discount_Flag]]="Check", MIN(MAX(Table1[[#This Row],[DiscountPct]],0),0.3), Table1[[#This Row],[DiscountPct]])</calculatedColumnFormula>
    </tableColumn>
    <tableColumn id="17" xr3:uid="{BAF8E7E5-EEA4-4AA1-9A73-04880AC27666}" name="Discount_Flag" dataDxfId="30">
      <calculatedColumnFormula>IF(OR(Table1[[#This Row],[DiscountPct]]&lt;0,Table1[[#This Row],[DiscountPct]]&gt;0.3),"Check","OK")</calculatedColumnFormula>
    </tableColumn>
    <tableColumn id="14" xr3:uid="{D0C5D329-FEAB-40F1-B444-A844709FDE7E}" name="DiscountPct" dataDxfId="29"/>
    <tableColumn id="19" xr3:uid="{8C851DA6-7484-4C12-86D4-E188C66C1CFB}" name="DiscountFlag" dataDxfId="28">
      <calculatedColumnFormula>IF(U2&gt;0.2,1,0)</calculatedColumnFormula>
    </tableColumn>
    <tableColumn id="28" xr3:uid="{01EC12F3-EEE9-4157-B1D8-50971D110C95}" name="MarginPct" dataDxfId="27">
      <calculatedColumnFormula>IF(Z2=0, 0, Y2/Z2)</calculatedColumnFormula>
    </tableColumn>
    <tableColumn id="26" xr3:uid="{F6E31B62-43EE-484E-9AC6-F6FF7166CFFC}" name="CostOfGoods" dataDxfId="26">
      <calculatedColumnFormula>O2*AD2</calculatedColumnFormula>
    </tableColumn>
    <tableColumn id="27" xr3:uid="{6EE4878F-8074-4EEA-9020-88DFF4FE1C6E}" name="GrossProfit" dataDxfId="25">
      <calculatedColumnFormula>Z2-X2</calculatedColumnFormula>
    </tableColumn>
    <tableColumn id="24" xr3:uid="{445D09C9-A30D-4354-BE7F-776475CCEF13}" name="GrossRevenue" dataDxfId="24">
      <calculatedColumnFormula>Q2*AD2*(1-S2)</calculatedColumnFormula>
    </tableColumn>
    <tableColumn id="30" xr3:uid="{D235DDAD-DE31-439E-92AA-6A405F19B3FC}" name="Quarter" dataDxfId="23">
      <calculatedColumnFormula>"Q"&amp;ROUNDUP(MONTH(B2)/3,0)&amp;"-"&amp;YEAR(B2)</calculatedColumnFormula>
    </tableColumn>
    <tableColumn id="29" xr3:uid="{BF4AFA99-E6AB-451C-9B1F-858B6FFE67EA}" name="Month" dataDxfId="22">
      <calculatedColumnFormula>TEXT(B2,"MMM-YYYY")</calculatedColumnFormula>
    </tableColumn>
    <tableColumn id="31" xr3:uid="{1753A372-70F5-4078-95D2-648BA12DF4E3}" name="PriceBand" dataDxfId="21">
      <calculatedColumnFormula>IF(Q2&lt;=$AE$639,"Low",IF(Q2&lt;=$AE$641,"Medium","High"))</calculatedColumnFormula>
    </tableColumn>
    <tableColumn id="15" xr3:uid="{244097A3-5141-410B-8B8D-55F2BE3C18B8}" name="Quantity"/>
    <tableColumn id="32" xr3:uid="{AC67A79F-8314-4150-AF11-89C8F894B6B0}" name="Country_FirstMonth" dataDxfId="20">
      <calculatedColumnFormula>_xlfn.MINIFS(Table1[MonthDate], Table1[Country], Table1[[#This Row],[Country]])</calculatedColumnFormula>
    </tableColumn>
    <tableColumn id="33" xr3:uid="{44ACE5F5-31D2-4281-BAFB-B087CB9D672C}" name="MonthDate" dataDxfId="19">
      <calculatedColumnFormula>DATE(YEAR(B2), MONTH(B2), 1)</calculatedColumnFormula>
    </tableColumn>
    <tableColumn id="37" xr3:uid="{B9D10AD4-E2BF-4E5C-AB02-94785160F03C}" name="Quantity_Scenario" dataDxfId="18">
      <calculatedColumnFormula>AD2*(1 + Scenario_Control!$B$4)</calculatedColumnFormula>
    </tableColumn>
    <tableColumn id="36" xr3:uid="{41B0797D-B392-4E83-A89B-24BAA6AA7651}" name="UnitCost_Scenario" dataDxfId="17">
      <calculatedColumnFormula>O2*(1 + Scenario_Control!$B$3)</calculatedColumnFormula>
    </tableColumn>
    <tableColumn id="39" xr3:uid="{4DADDC0C-AC97-4E6D-B5E3-3C6C3CB5B761}" name="GrossRevenue_Scenario" dataDxfId="16">
      <calculatedColumnFormula>AK2 * AG2 * (1 - U2)</calculatedColumnFormula>
    </tableColumn>
    <tableColumn id="38" xr3:uid="{66BDB65C-02D2-40F6-ADC6-3239DCE27FD5}" name="Gross_ProfitScenario" dataDxfId="15">
      <calculatedColumnFormula>AI2 - (AH2 * AG2)</calculatedColumnFormula>
    </tableColumn>
    <tableColumn id="35" xr3:uid="{BAC92F1A-6E0E-48CC-BAC2-4C5C67D67C6A}" name="UnitPrice_Scenario" dataDxfId="14">
      <calculatedColumnFormula>MIN(Q2*(1-U2), Scenario_Control!$B$2*Q2)</calculatedColumnFormula>
    </tableColumn>
    <tableColumn id="18" xr3:uid="{ECE8B138-9F89-42EE-A558-D1CCF37A1B41}" name="OnTimeFlag" dataDxfId="13">
      <calculatedColumnFormula>IF(F2&lt;=7,1,0)</calculatedColumnFormula>
    </tableColumn>
    <tableColumn id="34" xr3:uid="{FA29DC03-1BE2-48B0-A445-EF276B94023A}" name="CohortMonth" dataDxfId="12">
      <calculatedColumnFormula>DATEDIF(Table1[[#This Row],[Country_FirstMonth]], Table1[[#This Row],[MonthDate]], "m")</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5AF229-9351-4DCE-9597-1A97298052DE}" name="Table4" displayName="Table4" ref="B1:B4" totalsRowShown="0" headerRowDxfId="11" dataDxfId="10">
  <autoFilter ref="B1:B4" xr:uid="{7A5AF229-9351-4DCE-9597-1A97298052DE}"/>
  <tableColumns count="1">
    <tableColumn id="1" xr3:uid="{8CD7785D-8BC6-4EA9-9BDE-169051BEFE17}" name="Value" dataDxfId="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E4F4F4-1928-494B-9123-BCE4C9B93025}" name="Table5" displayName="Table5" ref="A1:A4" totalsRowShown="0">
  <autoFilter ref="A1:A4" xr:uid="{F1E4F4F4-1928-494B-9123-BCE4C9B93025}"/>
  <tableColumns count="1">
    <tableColumn id="1" xr3:uid="{0B136842-78C2-4F1A-8B91-F203A88893D1}" name="Parameter"/>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310CE71-F822-431E-88BB-2B367CC9C0F1}" name="Table6" displayName="Table6" ref="E7:G10" totalsRowShown="0">
  <autoFilter ref="E7:G10" xr:uid="{C310CE71-F822-431E-88BB-2B367CC9C0F1}"/>
  <tableColumns count="3">
    <tableColumn id="1" xr3:uid="{5699DF3C-FB39-4EC8-A26E-A9F9E8E70B7F}" name="Metric"/>
    <tableColumn id="2" xr3:uid="{7B791AEA-7308-48B0-B508-1A56085ABD8E}" name="Baseline" dataDxfId="8">
      <calculatedColumnFormula>SUM(Data_staging!Z:Z)</calculatedColumnFormula>
    </tableColumn>
    <tableColumn id="3" xr3:uid="{6A1F881C-B318-450E-8A83-AA1792E4B81B}" name="Scenario" dataDxfId="7">
      <calculatedColumnFormula>SUM(Data_staging!AI:AI)</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O633"/>
  <sheetViews>
    <sheetView topLeftCell="M4" zoomScaleNormal="100" workbookViewId="0">
      <selection activeCell="C6" sqref="C6"/>
    </sheetView>
  </sheetViews>
  <sheetFormatPr defaultRowHeight="15" x14ac:dyDescent="0.25"/>
  <cols>
    <col min="1" max="1" width="16.42578125" bestFit="1" customWidth="1"/>
    <col min="2" max="2" width="10.42578125" bestFit="1" customWidth="1"/>
    <col min="3" max="3" width="13.42578125" bestFit="1" customWidth="1"/>
    <col min="4" max="4" width="9.140625" bestFit="1" customWidth="1"/>
    <col min="5" max="5" width="15.42578125" bestFit="1" customWidth="1"/>
    <col min="6" max="6" width="13.5703125" bestFit="1" customWidth="1"/>
    <col min="7" max="7" width="17.7109375" bestFit="1" customWidth="1"/>
    <col min="8" max="8" width="12" bestFit="1" customWidth="1"/>
    <col min="9" max="9" width="11.7109375" bestFit="1" customWidth="1"/>
    <col min="10" max="10" width="15.85546875" bestFit="1" customWidth="1"/>
    <col min="11" max="11" width="10.28515625" bestFit="1" customWidth="1"/>
    <col min="12" max="12" width="8.7109375" bestFit="1" customWidth="1"/>
    <col min="13" max="13" width="9.28515625" customWidth="1"/>
    <col min="14" max="14" width="11.42578125" bestFit="1"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s="2">
        <v>45362</v>
      </c>
      <c r="C2" s="2">
        <v>45388</v>
      </c>
      <c r="D2" t="s">
        <v>646</v>
      </c>
      <c r="E2" t="s">
        <v>650</v>
      </c>
      <c r="F2" t="s">
        <v>662</v>
      </c>
      <c r="G2" t="s">
        <v>701</v>
      </c>
      <c r="H2" t="s">
        <v>707</v>
      </c>
      <c r="I2" t="s">
        <v>712</v>
      </c>
      <c r="J2" t="s">
        <v>727</v>
      </c>
      <c r="K2" t="s">
        <v>734</v>
      </c>
      <c r="L2">
        <v>279.24</v>
      </c>
      <c r="M2">
        <v>608.9</v>
      </c>
      <c r="N2">
        <v>0.112</v>
      </c>
      <c r="O2">
        <v>9</v>
      </c>
    </row>
    <row r="3" spans="1:15" x14ac:dyDescent="0.25">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x14ac:dyDescent="0.25">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x14ac:dyDescent="0.25">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x14ac:dyDescent="0.25">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x14ac:dyDescent="0.25">
      <c r="A7" t="s">
        <v>20</v>
      </c>
      <c r="B7" s="2">
        <v>44928</v>
      </c>
      <c r="C7" s="2">
        <v>44931</v>
      </c>
      <c r="D7" t="s">
        <v>648</v>
      </c>
      <c r="E7" t="s">
        <v>653</v>
      </c>
      <c r="F7" t="s">
        <v>667</v>
      </c>
      <c r="G7" t="s">
        <v>701</v>
      </c>
      <c r="H7" t="s">
        <v>710</v>
      </c>
      <c r="I7" t="s">
        <v>717</v>
      </c>
      <c r="J7" t="s">
        <v>731</v>
      </c>
      <c r="K7" t="s">
        <v>739</v>
      </c>
      <c r="L7">
        <v>315.87</v>
      </c>
      <c r="M7">
        <v>591.67999999999995</v>
      </c>
      <c r="N7">
        <v>0</v>
      </c>
      <c r="O7">
        <v>7</v>
      </c>
    </row>
    <row r="8" spans="1:15" x14ac:dyDescent="0.25">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x14ac:dyDescent="0.25">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x14ac:dyDescent="0.25">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x14ac:dyDescent="0.25">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x14ac:dyDescent="0.25">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25">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x14ac:dyDescent="0.25">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x14ac:dyDescent="0.25">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x14ac:dyDescent="0.25">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x14ac:dyDescent="0.25">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x14ac:dyDescent="0.25">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x14ac:dyDescent="0.25">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x14ac:dyDescent="0.25">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x14ac:dyDescent="0.25">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x14ac:dyDescent="0.25">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x14ac:dyDescent="0.25">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x14ac:dyDescent="0.25">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x14ac:dyDescent="0.25">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x14ac:dyDescent="0.25">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x14ac:dyDescent="0.25">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x14ac:dyDescent="0.25">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x14ac:dyDescent="0.25">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x14ac:dyDescent="0.25">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x14ac:dyDescent="0.25">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x14ac:dyDescent="0.25">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x14ac:dyDescent="0.25">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25">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x14ac:dyDescent="0.25">
      <c r="A35" t="s">
        <v>48</v>
      </c>
      <c r="B35" s="2">
        <v>45400</v>
      </c>
      <c r="C35" s="2">
        <v>45420</v>
      </c>
      <c r="D35" t="s">
        <v>649</v>
      </c>
      <c r="E35" t="s">
        <v>658</v>
      </c>
      <c r="F35" t="s">
        <v>683</v>
      </c>
      <c r="G35" t="s">
        <v>703</v>
      </c>
      <c r="I35" t="s">
        <v>726</v>
      </c>
      <c r="J35" t="s">
        <v>731</v>
      </c>
      <c r="K35" t="s">
        <v>767</v>
      </c>
      <c r="L35">
        <v>645.33000000000004</v>
      </c>
      <c r="M35">
        <v>1321.85</v>
      </c>
      <c r="N35">
        <v>0</v>
      </c>
      <c r="O35">
        <v>10</v>
      </c>
    </row>
    <row r="36" spans="1:15" x14ac:dyDescent="0.25">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x14ac:dyDescent="0.25">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x14ac:dyDescent="0.25">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x14ac:dyDescent="0.25">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x14ac:dyDescent="0.25">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x14ac:dyDescent="0.25">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x14ac:dyDescent="0.25">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x14ac:dyDescent="0.25">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x14ac:dyDescent="0.25">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x14ac:dyDescent="0.25">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x14ac:dyDescent="0.25">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x14ac:dyDescent="0.25">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x14ac:dyDescent="0.25">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x14ac:dyDescent="0.25">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x14ac:dyDescent="0.25">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x14ac:dyDescent="0.25">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x14ac:dyDescent="0.25">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x14ac:dyDescent="0.25">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x14ac:dyDescent="0.25">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x14ac:dyDescent="0.25">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x14ac:dyDescent="0.25">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x14ac:dyDescent="0.25">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x14ac:dyDescent="0.25">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25">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x14ac:dyDescent="0.25">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x14ac:dyDescent="0.25">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25">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x14ac:dyDescent="0.25">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x14ac:dyDescent="0.25">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x14ac:dyDescent="0.25">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x14ac:dyDescent="0.25">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x14ac:dyDescent="0.25">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x14ac:dyDescent="0.25">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x14ac:dyDescent="0.25">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x14ac:dyDescent="0.25">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x14ac:dyDescent="0.25">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x14ac:dyDescent="0.25">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25">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25">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x14ac:dyDescent="0.25">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x14ac:dyDescent="0.25">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x14ac:dyDescent="0.25">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x14ac:dyDescent="0.25">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x14ac:dyDescent="0.25">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x14ac:dyDescent="0.25">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x14ac:dyDescent="0.25">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x14ac:dyDescent="0.25">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x14ac:dyDescent="0.25">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x14ac:dyDescent="0.25">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x14ac:dyDescent="0.25">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x14ac:dyDescent="0.25">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x14ac:dyDescent="0.25">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25">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x14ac:dyDescent="0.25">
      <c r="A89" t="s">
        <v>102</v>
      </c>
      <c r="B89" s="2">
        <v>45876</v>
      </c>
      <c r="C89" s="2">
        <v>45888</v>
      </c>
      <c r="D89" t="s">
        <v>646</v>
      </c>
      <c r="E89" t="s">
        <v>650</v>
      </c>
      <c r="F89" t="s">
        <v>678</v>
      </c>
      <c r="G89" t="s">
        <v>701</v>
      </c>
      <c r="I89" t="s">
        <v>724</v>
      </c>
      <c r="J89" t="s">
        <v>727</v>
      </c>
      <c r="K89" t="s">
        <v>821</v>
      </c>
      <c r="L89">
        <v>601.51</v>
      </c>
      <c r="M89">
        <v>679.35</v>
      </c>
      <c r="N89">
        <v>0.188</v>
      </c>
      <c r="O89">
        <v>3</v>
      </c>
    </row>
    <row r="90" spans="1:15" x14ac:dyDescent="0.25">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x14ac:dyDescent="0.25">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x14ac:dyDescent="0.25">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x14ac:dyDescent="0.25">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25">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x14ac:dyDescent="0.25">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x14ac:dyDescent="0.25">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x14ac:dyDescent="0.25">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25">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x14ac:dyDescent="0.25">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x14ac:dyDescent="0.25">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25">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25">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x14ac:dyDescent="0.25">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25">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x14ac:dyDescent="0.25">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x14ac:dyDescent="0.25">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25">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25">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25">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x14ac:dyDescent="0.25">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x14ac:dyDescent="0.25">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25">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x14ac:dyDescent="0.25">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25">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x14ac:dyDescent="0.25">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25">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x14ac:dyDescent="0.25">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x14ac:dyDescent="0.25">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x14ac:dyDescent="0.25">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x14ac:dyDescent="0.25">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25">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25">
      <c r="A122" t="s">
        <v>135</v>
      </c>
      <c r="B122" s="2">
        <v>45827</v>
      </c>
      <c r="C122" s="2">
        <v>45850</v>
      </c>
      <c r="D122" t="s">
        <v>649</v>
      </c>
      <c r="E122" t="s">
        <v>658</v>
      </c>
      <c r="G122" t="s">
        <v>703</v>
      </c>
      <c r="H122" t="s">
        <v>711</v>
      </c>
      <c r="J122" t="s">
        <v>729</v>
      </c>
      <c r="K122" t="s">
        <v>854</v>
      </c>
      <c r="L122">
        <v>801.24</v>
      </c>
      <c r="M122">
        <v>1959.09</v>
      </c>
      <c r="N122">
        <v>0.123</v>
      </c>
      <c r="O122">
        <v>23</v>
      </c>
    </row>
    <row r="123" spans="1:15" x14ac:dyDescent="0.25">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25">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25">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25">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25">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25">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25">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25">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x14ac:dyDescent="0.25">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x14ac:dyDescent="0.25">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x14ac:dyDescent="0.25">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25">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x14ac:dyDescent="0.25">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x14ac:dyDescent="0.25">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x14ac:dyDescent="0.25">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x14ac:dyDescent="0.25">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25">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25">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x14ac:dyDescent="0.25">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25">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25">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x14ac:dyDescent="0.25">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x14ac:dyDescent="0.25">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x14ac:dyDescent="0.25">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25">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x14ac:dyDescent="0.25">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x14ac:dyDescent="0.25">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x14ac:dyDescent="0.25">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x14ac:dyDescent="0.25">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25">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25">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25">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x14ac:dyDescent="0.25">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25">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x14ac:dyDescent="0.25">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x14ac:dyDescent="0.25">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25">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25">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x14ac:dyDescent="0.25">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25">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x14ac:dyDescent="0.25">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25">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25">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25">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x14ac:dyDescent="0.25">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25">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25">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x14ac:dyDescent="0.25">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x14ac:dyDescent="0.25">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25">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x14ac:dyDescent="0.25">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25">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x14ac:dyDescent="0.25">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25">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25">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x14ac:dyDescent="0.25">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25">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25">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25">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25">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x14ac:dyDescent="0.25">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25">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25">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25">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x14ac:dyDescent="0.25">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25">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x14ac:dyDescent="0.25">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x14ac:dyDescent="0.25">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x14ac:dyDescent="0.25">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x14ac:dyDescent="0.25">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x14ac:dyDescent="0.25">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x14ac:dyDescent="0.25">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x14ac:dyDescent="0.25">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x14ac:dyDescent="0.25">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x14ac:dyDescent="0.25">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x14ac:dyDescent="0.25">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x14ac:dyDescent="0.25">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x14ac:dyDescent="0.25">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x14ac:dyDescent="0.25">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x14ac:dyDescent="0.25">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x14ac:dyDescent="0.25">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x14ac:dyDescent="0.25">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x14ac:dyDescent="0.25">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x14ac:dyDescent="0.25">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x14ac:dyDescent="0.25">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x14ac:dyDescent="0.25">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x14ac:dyDescent="0.25">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x14ac:dyDescent="0.25">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x14ac:dyDescent="0.25">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x14ac:dyDescent="0.25">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x14ac:dyDescent="0.25">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x14ac:dyDescent="0.25">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x14ac:dyDescent="0.25">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x14ac:dyDescent="0.25">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x14ac:dyDescent="0.25">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x14ac:dyDescent="0.25">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x14ac:dyDescent="0.25">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x14ac:dyDescent="0.25">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x14ac:dyDescent="0.25">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x14ac:dyDescent="0.25">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x14ac:dyDescent="0.25">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x14ac:dyDescent="0.25">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x14ac:dyDescent="0.25">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x14ac:dyDescent="0.25">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x14ac:dyDescent="0.25">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x14ac:dyDescent="0.25">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x14ac:dyDescent="0.25">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x14ac:dyDescent="0.25">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x14ac:dyDescent="0.25">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x14ac:dyDescent="0.25">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x14ac:dyDescent="0.25">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x14ac:dyDescent="0.25">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x14ac:dyDescent="0.25">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x14ac:dyDescent="0.25">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x14ac:dyDescent="0.25">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x14ac:dyDescent="0.25">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x14ac:dyDescent="0.25">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x14ac:dyDescent="0.25">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x14ac:dyDescent="0.25">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x14ac:dyDescent="0.25">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x14ac:dyDescent="0.25">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x14ac:dyDescent="0.25">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x14ac:dyDescent="0.25">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x14ac:dyDescent="0.25">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x14ac:dyDescent="0.25">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x14ac:dyDescent="0.25">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x14ac:dyDescent="0.25">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x14ac:dyDescent="0.25">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x14ac:dyDescent="0.25">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x14ac:dyDescent="0.25">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x14ac:dyDescent="0.25">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x14ac:dyDescent="0.25">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x14ac:dyDescent="0.25">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x14ac:dyDescent="0.25">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x14ac:dyDescent="0.25">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x14ac:dyDescent="0.25">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x14ac:dyDescent="0.25">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x14ac:dyDescent="0.25">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x14ac:dyDescent="0.25">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x14ac:dyDescent="0.25">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x14ac:dyDescent="0.25">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x14ac:dyDescent="0.25">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x14ac:dyDescent="0.25">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x14ac:dyDescent="0.25">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x14ac:dyDescent="0.25">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x14ac:dyDescent="0.25">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x14ac:dyDescent="0.25">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x14ac:dyDescent="0.25">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x14ac:dyDescent="0.25">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x14ac:dyDescent="0.25">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x14ac:dyDescent="0.25">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x14ac:dyDescent="0.25">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x14ac:dyDescent="0.25">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x14ac:dyDescent="0.25">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x14ac:dyDescent="0.25">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x14ac:dyDescent="0.25">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x14ac:dyDescent="0.25">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x14ac:dyDescent="0.25">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x14ac:dyDescent="0.25">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x14ac:dyDescent="0.25">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x14ac:dyDescent="0.25">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x14ac:dyDescent="0.25">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x14ac:dyDescent="0.25">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x14ac:dyDescent="0.25">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x14ac:dyDescent="0.25">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x14ac:dyDescent="0.25">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x14ac:dyDescent="0.25">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x14ac:dyDescent="0.25">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x14ac:dyDescent="0.25">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x14ac:dyDescent="0.25">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x14ac:dyDescent="0.25">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x14ac:dyDescent="0.25">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x14ac:dyDescent="0.25">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x14ac:dyDescent="0.25">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x14ac:dyDescent="0.25">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x14ac:dyDescent="0.25">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x14ac:dyDescent="0.25">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x14ac:dyDescent="0.25">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x14ac:dyDescent="0.25">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x14ac:dyDescent="0.25">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x14ac:dyDescent="0.25">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x14ac:dyDescent="0.25">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x14ac:dyDescent="0.25">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x14ac:dyDescent="0.25">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x14ac:dyDescent="0.25">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x14ac:dyDescent="0.25">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x14ac:dyDescent="0.25">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x14ac:dyDescent="0.25">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x14ac:dyDescent="0.25">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x14ac:dyDescent="0.25">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x14ac:dyDescent="0.25">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x14ac:dyDescent="0.25">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x14ac:dyDescent="0.25">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x14ac:dyDescent="0.25">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x14ac:dyDescent="0.25">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x14ac:dyDescent="0.25">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x14ac:dyDescent="0.25">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x14ac:dyDescent="0.25">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x14ac:dyDescent="0.25">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x14ac:dyDescent="0.25">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x14ac:dyDescent="0.25">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x14ac:dyDescent="0.25">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x14ac:dyDescent="0.25">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x14ac:dyDescent="0.25">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x14ac:dyDescent="0.25">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x14ac:dyDescent="0.25">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x14ac:dyDescent="0.25">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x14ac:dyDescent="0.25">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x14ac:dyDescent="0.25">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x14ac:dyDescent="0.25">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x14ac:dyDescent="0.25">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x14ac:dyDescent="0.25">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x14ac:dyDescent="0.25">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x14ac:dyDescent="0.25">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x14ac:dyDescent="0.25">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x14ac:dyDescent="0.25">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x14ac:dyDescent="0.25">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x14ac:dyDescent="0.25">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x14ac:dyDescent="0.25">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x14ac:dyDescent="0.25">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x14ac:dyDescent="0.25">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x14ac:dyDescent="0.25">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x14ac:dyDescent="0.25">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x14ac:dyDescent="0.25">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x14ac:dyDescent="0.25">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x14ac:dyDescent="0.25">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x14ac:dyDescent="0.25">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x14ac:dyDescent="0.25">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x14ac:dyDescent="0.25">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x14ac:dyDescent="0.25">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x14ac:dyDescent="0.25">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x14ac:dyDescent="0.25">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x14ac:dyDescent="0.25">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x14ac:dyDescent="0.25">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x14ac:dyDescent="0.25">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x14ac:dyDescent="0.25">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x14ac:dyDescent="0.25">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x14ac:dyDescent="0.25">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x14ac:dyDescent="0.25">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x14ac:dyDescent="0.25">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x14ac:dyDescent="0.25">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x14ac:dyDescent="0.25">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x14ac:dyDescent="0.25">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x14ac:dyDescent="0.25">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x14ac:dyDescent="0.25">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x14ac:dyDescent="0.25">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x14ac:dyDescent="0.25">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x14ac:dyDescent="0.25">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x14ac:dyDescent="0.25">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x14ac:dyDescent="0.25">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x14ac:dyDescent="0.25">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x14ac:dyDescent="0.25">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x14ac:dyDescent="0.25">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x14ac:dyDescent="0.25">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x14ac:dyDescent="0.25">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x14ac:dyDescent="0.25">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x14ac:dyDescent="0.25">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x14ac:dyDescent="0.25">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x14ac:dyDescent="0.25">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x14ac:dyDescent="0.25">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x14ac:dyDescent="0.25">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x14ac:dyDescent="0.25">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x14ac:dyDescent="0.25">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x14ac:dyDescent="0.25">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x14ac:dyDescent="0.25">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x14ac:dyDescent="0.25">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x14ac:dyDescent="0.25">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x14ac:dyDescent="0.25">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x14ac:dyDescent="0.25">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x14ac:dyDescent="0.25">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x14ac:dyDescent="0.25">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x14ac:dyDescent="0.25">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x14ac:dyDescent="0.25">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x14ac:dyDescent="0.25">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x14ac:dyDescent="0.25">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x14ac:dyDescent="0.25">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x14ac:dyDescent="0.25">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x14ac:dyDescent="0.25">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x14ac:dyDescent="0.25">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x14ac:dyDescent="0.25">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x14ac:dyDescent="0.25">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x14ac:dyDescent="0.25">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x14ac:dyDescent="0.25">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x14ac:dyDescent="0.25">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x14ac:dyDescent="0.25">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x14ac:dyDescent="0.25">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x14ac:dyDescent="0.25">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x14ac:dyDescent="0.25">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x14ac:dyDescent="0.25">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x14ac:dyDescent="0.25">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x14ac:dyDescent="0.25">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x14ac:dyDescent="0.25">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x14ac:dyDescent="0.25">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x14ac:dyDescent="0.25">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x14ac:dyDescent="0.25">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x14ac:dyDescent="0.25">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x14ac:dyDescent="0.25">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x14ac:dyDescent="0.25">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x14ac:dyDescent="0.25">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x14ac:dyDescent="0.25">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x14ac:dyDescent="0.25">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x14ac:dyDescent="0.25">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x14ac:dyDescent="0.25">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x14ac:dyDescent="0.25">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x14ac:dyDescent="0.25">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x14ac:dyDescent="0.25">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x14ac:dyDescent="0.25">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x14ac:dyDescent="0.25">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x14ac:dyDescent="0.25">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x14ac:dyDescent="0.25">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x14ac:dyDescent="0.25">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x14ac:dyDescent="0.25">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x14ac:dyDescent="0.25">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x14ac:dyDescent="0.25">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x14ac:dyDescent="0.25">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x14ac:dyDescent="0.25">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x14ac:dyDescent="0.25">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x14ac:dyDescent="0.25">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x14ac:dyDescent="0.25">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x14ac:dyDescent="0.25">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x14ac:dyDescent="0.25">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x14ac:dyDescent="0.25">
      <c r="A444" t="s">
        <v>456</v>
      </c>
      <c r="B444" s="2">
        <v>45189</v>
      </c>
      <c r="C444" s="2">
        <v>45197</v>
      </c>
      <c r="D444" t="s">
        <v>647</v>
      </c>
      <c r="E444" t="s">
        <v>654</v>
      </c>
      <c r="G444" t="s">
        <v>701</v>
      </c>
      <c r="I444" t="s">
        <v>717</v>
      </c>
      <c r="J444" t="s">
        <v>733</v>
      </c>
      <c r="K444" t="s">
        <v>1175</v>
      </c>
      <c r="L444">
        <v>1362.06</v>
      </c>
      <c r="M444">
        <v>3398.37</v>
      </c>
      <c r="N444">
        <v>0.157</v>
      </c>
      <c r="O444">
        <v>11</v>
      </c>
    </row>
    <row r="445" spans="1:15" x14ac:dyDescent="0.25">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x14ac:dyDescent="0.25">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x14ac:dyDescent="0.25">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x14ac:dyDescent="0.25">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x14ac:dyDescent="0.25">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x14ac:dyDescent="0.25">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x14ac:dyDescent="0.25">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x14ac:dyDescent="0.25">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x14ac:dyDescent="0.25">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x14ac:dyDescent="0.25">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x14ac:dyDescent="0.25">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x14ac:dyDescent="0.25">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x14ac:dyDescent="0.25">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x14ac:dyDescent="0.25">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x14ac:dyDescent="0.25">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x14ac:dyDescent="0.25">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x14ac:dyDescent="0.25">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x14ac:dyDescent="0.25">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x14ac:dyDescent="0.25">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x14ac:dyDescent="0.25">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x14ac:dyDescent="0.25">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x14ac:dyDescent="0.25">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x14ac:dyDescent="0.25">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x14ac:dyDescent="0.25">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x14ac:dyDescent="0.25">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x14ac:dyDescent="0.25">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x14ac:dyDescent="0.25">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x14ac:dyDescent="0.25">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x14ac:dyDescent="0.25">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x14ac:dyDescent="0.25">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x14ac:dyDescent="0.25">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x14ac:dyDescent="0.25">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x14ac:dyDescent="0.25">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x14ac:dyDescent="0.25">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x14ac:dyDescent="0.25">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x14ac:dyDescent="0.25">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x14ac:dyDescent="0.25">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x14ac:dyDescent="0.25">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x14ac:dyDescent="0.25">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x14ac:dyDescent="0.25">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x14ac:dyDescent="0.25">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x14ac:dyDescent="0.25">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x14ac:dyDescent="0.25">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x14ac:dyDescent="0.25">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x14ac:dyDescent="0.25">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x14ac:dyDescent="0.25">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x14ac:dyDescent="0.25">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x14ac:dyDescent="0.25">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x14ac:dyDescent="0.25">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x14ac:dyDescent="0.25">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x14ac:dyDescent="0.25">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x14ac:dyDescent="0.25">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x14ac:dyDescent="0.25">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x14ac:dyDescent="0.25">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x14ac:dyDescent="0.25">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x14ac:dyDescent="0.25">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x14ac:dyDescent="0.25">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x14ac:dyDescent="0.25">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x14ac:dyDescent="0.25">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x14ac:dyDescent="0.25">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x14ac:dyDescent="0.25">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x14ac:dyDescent="0.25">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x14ac:dyDescent="0.25">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x14ac:dyDescent="0.25">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x14ac:dyDescent="0.25">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x14ac:dyDescent="0.25">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x14ac:dyDescent="0.25">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x14ac:dyDescent="0.25">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x14ac:dyDescent="0.25">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x14ac:dyDescent="0.25">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x14ac:dyDescent="0.25">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x14ac:dyDescent="0.25">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x14ac:dyDescent="0.25">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x14ac:dyDescent="0.25">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x14ac:dyDescent="0.25">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x14ac:dyDescent="0.25">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x14ac:dyDescent="0.25">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x14ac:dyDescent="0.25">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x14ac:dyDescent="0.25">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x14ac:dyDescent="0.25">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x14ac:dyDescent="0.25">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x14ac:dyDescent="0.25">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x14ac:dyDescent="0.25">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x14ac:dyDescent="0.25">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x14ac:dyDescent="0.25">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x14ac:dyDescent="0.25">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x14ac:dyDescent="0.25">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x14ac:dyDescent="0.25">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x14ac:dyDescent="0.25">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x14ac:dyDescent="0.25">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x14ac:dyDescent="0.25">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x14ac:dyDescent="0.25">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x14ac:dyDescent="0.25">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x14ac:dyDescent="0.25">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x14ac:dyDescent="0.25">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x14ac:dyDescent="0.25">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x14ac:dyDescent="0.25">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x14ac:dyDescent="0.25">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x14ac:dyDescent="0.25">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x14ac:dyDescent="0.25">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x14ac:dyDescent="0.25">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x14ac:dyDescent="0.25">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x14ac:dyDescent="0.25">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x14ac:dyDescent="0.25">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x14ac:dyDescent="0.25">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x14ac:dyDescent="0.25">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x14ac:dyDescent="0.25">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x14ac:dyDescent="0.25">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x14ac:dyDescent="0.25">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x14ac:dyDescent="0.25">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x14ac:dyDescent="0.25">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x14ac:dyDescent="0.25">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x14ac:dyDescent="0.25">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x14ac:dyDescent="0.25">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x14ac:dyDescent="0.25">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x14ac:dyDescent="0.25">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x14ac:dyDescent="0.25">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x14ac:dyDescent="0.25">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x14ac:dyDescent="0.25">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x14ac:dyDescent="0.25">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x14ac:dyDescent="0.25">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x14ac:dyDescent="0.25">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x14ac:dyDescent="0.25">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x14ac:dyDescent="0.25">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x14ac:dyDescent="0.25">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x14ac:dyDescent="0.25">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x14ac:dyDescent="0.25">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x14ac:dyDescent="0.25">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x14ac:dyDescent="0.25">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x14ac:dyDescent="0.25">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x14ac:dyDescent="0.25">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x14ac:dyDescent="0.25">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x14ac:dyDescent="0.25">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x14ac:dyDescent="0.25">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x14ac:dyDescent="0.25">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x14ac:dyDescent="0.25">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x14ac:dyDescent="0.25">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x14ac:dyDescent="0.25">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x14ac:dyDescent="0.25">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x14ac:dyDescent="0.25">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x14ac:dyDescent="0.25">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x14ac:dyDescent="0.25">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x14ac:dyDescent="0.25">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x14ac:dyDescent="0.25">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x14ac:dyDescent="0.25">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x14ac:dyDescent="0.25">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x14ac:dyDescent="0.25">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x14ac:dyDescent="0.25">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x14ac:dyDescent="0.25">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x14ac:dyDescent="0.25">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x14ac:dyDescent="0.25">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x14ac:dyDescent="0.25">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x14ac:dyDescent="0.25">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x14ac:dyDescent="0.25">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x14ac:dyDescent="0.25">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x14ac:dyDescent="0.25">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x14ac:dyDescent="0.25">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x14ac:dyDescent="0.25">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x14ac:dyDescent="0.25">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x14ac:dyDescent="0.25">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x14ac:dyDescent="0.25">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x14ac:dyDescent="0.25">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x14ac:dyDescent="0.25">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x14ac:dyDescent="0.25">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x14ac:dyDescent="0.25">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x14ac:dyDescent="0.25">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x14ac:dyDescent="0.25">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x14ac:dyDescent="0.25">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x14ac:dyDescent="0.25">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x14ac:dyDescent="0.25">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x14ac:dyDescent="0.25">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x14ac:dyDescent="0.25">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x14ac:dyDescent="0.25">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x14ac:dyDescent="0.25">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x14ac:dyDescent="0.25">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x14ac:dyDescent="0.25">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x14ac:dyDescent="0.25">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x14ac:dyDescent="0.25">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x14ac:dyDescent="0.25">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x14ac:dyDescent="0.25">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x14ac:dyDescent="0.25">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x14ac:dyDescent="0.25">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x14ac:dyDescent="0.25">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x14ac:dyDescent="0.25">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x14ac:dyDescent="0.25">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x14ac:dyDescent="0.25">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x14ac:dyDescent="0.25">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x14ac:dyDescent="0.25">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x14ac:dyDescent="0.25">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93ABB-8966-4F74-9589-5386173D79CF}">
  <sheetPr codeName="Sheet3"/>
  <dimension ref="A3:AG17"/>
  <sheetViews>
    <sheetView zoomScaleNormal="100" workbookViewId="0">
      <selection activeCell="K14" sqref="K14"/>
    </sheetView>
  </sheetViews>
  <sheetFormatPr defaultRowHeight="15" x14ac:dyDescent="0.25"/>
  <cols>
    <col min="1" max="1" width="20.7109375" bestFit="1" customWidth="1"/>
    <col min="2" max="2" width="16.28515625" bestFit="1" customWidth="1"/>
    <col min="3" max="7" width="10.140625" bestFit="1" customWidth="1"/>
    <col min="8" max="8" width="11.140625" bestFit="1" customWidth="1"/>
    <col min="9" max="14" width="10.140625" bestFit="1" customWidth="1"/>
    <col min="15" max="15" width="9.140625" bestFit="1" customWidth="1"/>
    <col min="16" max="19" width="10.140625" bestFit="1" customWidth="1"/>
    <col min="20" max="20" width="11.140625" bestFit="1" customWidth="1"/>
    <col min="21" max="31" width="10.140625" bestFit="1" customWidth="1"/>
    <col min="32" max="32" width="9.140625" bestFit="1" customWidth="1"/>
    <col min="33" max="33" width="12.7109375" bestFit="1" customWidth="1"/>
    <col min="34" max="34" width="10.140625" bestFit="1" customWidth="1"/>
    <col min="35" max="35" width="12.7109375" bestFit="1" customWidth="1"/>
  </cols>
  <sheetData>
    <row r="3" spans="1:33" x14ac:dyDescent="0.25">
      <c r="A3" s="6" t="s">
        <v>1461</v>
      </c>
      <c r="B3" s="6" t="s">
        <v>1460</v>
      </c>
    </row>
    <row r="4" spans="1:33" x14ac:dyDescent="0.25">
      <c r="A4" s="6" t="s">
        <v>1434</v>
      </c>
      <c r="B4" s="8">
        <v>0</v>
      </c>
      <c r="C4" s="8">
        <v>1</v>
      </c>
      <c r="D4" s="8">
        <v>2</v>
      </c>
      <c r="E4" s="8">
        <v>3</v>
      </c>
      <c r="F4" s="8">
        <v>4</v>
      </c>
      <c r="G4" s="8">
        <v>5</v>
      </c>
      <c r="H4" s="8">
        <v>6</v>
      </c>
      <c r="I4" s="8">
        <v>7</v>
      </c>
      <c r="J4" s="8">
        <v>8</v>
      </c>
      <c r="K4" s="8">
        <v>9</v>
      </c>
      <c r="L4" s="8">
        <v>10</v>
      </c>
      <c r="M4" s="8">
        <v>11</v>
      </c>
      <c r="N4" s="8">
        <v>12</v>
      </c>
      <c r="O4" s="8">
        <v>13</v>
      </c>
      <c r="P4" s="8">
        <v>14</v>
      </c>
      <c r="Q4" s="8">
        <v>15</v>
      </c>
      <c r="R4" s="8">
        <v>16</v>
      </c>
      <c r="S4" s="8">
        <v>17</v>
      </c>
      <c r="T4" s="8">
        <v>18</v>
      </c>
      <c r="U4" s="8">
        <v>19</v>
      </c>
      <c r="V4" s="8">
        <v>21</v>
      </c>
      <c r="W4" s="8">
        <v>22</v>
      </c>
      <c r="X4" s="8">
        <v>23</v>
      </c>
      <c r="Y4" s="8">
        <v>24</v>
      </c>
      <c r="Z4" s="8">
        <v>25</v>
      </c>
      <c r="AA4" s="8">
        <v>26</v>
      </c>
      <c r="AB4" s="8">
        <v>28</v>
      </c>
      <c r="AC4" s="8">
        <v>29</v>
      </c>
      <c r="AD4" s="8">
        <v>30</v>
      </c>
      <c r="AE4" s="8">
        <v>31</v>
      </c>
      <c r="AF4" s="8">
        <v>32</v>
      </c>
      <c r="AG4" s="8" t="s">
        <v>1435</v>
      </c>
    </row>
    <row r="5" spans="1:33" x14ac:dyDescent="0.25">
      <c r="A5" s="7" t="s">
        <v>655</v>
      </c>
      <c r="B5" s="17"/>
      <c r="C5" s="17"/>
      <c r="D5" s="17"/>
      <c r="E5" s="17"/>
      <c r="F5" s="17"/>
      <c r="G5" s="17"/>
      <c r="H5" s="17"/>
      <c r="I5" s="17">
        <v>7235.2134999999998</v>
      </c>
      <c r="J5" s="17"/>
      <c r="K5" s="17">
        <v>16213.632800000001</v>
      </c>
      <c r="L5" s="17">
        <v>7854.6693599999999</v>
      </c>
      <c r="M5" s="17"/>
      <c r="N5" s="17"/>
      <c r="O5" s="17"/>
      <c r="P5" s="17"/>
      <c r="Q5" s="17"/>
      <c r="R5" s="17"/>
      <c r="S5" s="17">
        <v>41658.527040000008</v>
      </c>
      <c r="T5" s="17"/>
      <c r="U5" s="17">
        <v>35396.277799999996</v>
      </c>
      <c r="V5" s="17"/>
      <c r="W5" s="17"/>
      <c r="X5" s="17"/>
      <c r="Y5" s="17"/>
      <c r="Z5" s="17"/>
      <c r="AA5" s="17"/>
      <c r="AB5" s="17"/>
      <c r="AC5" s="17"/>
      <c r="AD5" s="17">
        <v>38096.18406</v>
      </c>
      <c r="AE5" s="17"/>
      <c r="AF5" s="17">
        <v>7597.4998400000004</v>
      </c>
      <c r="AG5" s="17">
        <v>154052.00440000001</v>
      </c>
    </row>
    <row r="6" spans="1:33" x14ac:dyDescent="0.25">
      <c r="A6" s="7" t="s">
        <v>653</v>
      </c>
      <c r="B6" s="17"/>
      <c r="C6" s="17"/>
      <c r="D6" s="17"/>
      <c r="E6" s="17"/>
      <c r="F6" s="17"/>
      <c r="G6" s="17">
        <v>11283.400799999999</v>
      </c>
      <c r="H6" s="17"/>
      <c r="I6" s="17"/>
      <c r="J6" s="17">
        <v>15530.929919999999</v>
      </c>
      <c r="K6" s="17"/>
      <c r="L6" s="17"/>
      <c r="M6" s="17"/>
      <c r="N6" s="17"/>
      <c r="O6" s="17"/>
      <c r="P6" s="17"/>
      <c r="Q6" s="17"/>
      <c r="R6" s="17"/>
      <c r="S6" s="17"/>
      <c r="T6" s="17">
        <v>79082.507010000001</v>
      </c>
      <c r="U6" s="17"/>
      <c r="V6" s="17"/>
      <c r="W6" s="17">
        <v>14894.903999999999</v>
      </c>
      <c r="X6" s="17">
        <v>20713.040080000002</v>
      </c>
      <c r="Y6" s="17"/>
      <c r="Z6" s="17"/>
      <c r="AA6" s="17"/>
      <c r="AB6" s="17"/>
      <c r="AC6" s="17"/>
      <c r="AD6" s="17"/>
      <c r="AE6" s="17"/>
      <c r="AF6" s="17"/>
      <c r="AG6" s="17">
        <v>141504.78180999999</v>
      </c>
    </row>
    <row r="7" spans="1:33" x14ac:dyDescent="0.25">
      <c r="A7" s="7" t="s">
        <v>659</v>
      </c>
      <c r="B7" s="17"/>
      <c r="C7" s="17"/>
      <c r="D7" s="17"/>
      <c r="E7" s="17"/>
      <c r="F7" s="17"/>
      <c r="G7" s="17"/>
      <c r="H7" s="17"/>
      <c r="I7" s="17"/>
      <c r="J7" s="17"/>
      <c r="K7" s="17"/>
      <c r="L7" s="17"/>
      <c r="M7" s="17">
        <v>23668.560000000001</v>
      </c>
      <c r="N7" s="17"/>
      <c r="O7" s="17">
        <v>1446.9507000000001</v>
      </c>
      <c r="P7" s="17"/>
      <c r="Q7" s="17"/>
      <c r="R7" s="17"/>
      <c r="S7" s="17"/>
      <c r="T7" s="17">
        <v>22526.66</v>
      </c>
      <c r="U7" s="17"/>
      <c r="V7" s="17"/>
      <c r="W7" s="17">
        <v>4071.8</v>
      </c>
      <c r="X7" s="17"/>
      <c r="Y7" s="17"/>
      <c r="Z7" s="17"/>
      <c r="AA7" s="17"/>
      <c r="AB7" s="17"/>
      <c r="AC7" s="17"/>
      <c r="AD7" s="17"/>
      <c r="AE7" s="17"/>
      <c r="AF7" s="17"/>
      <c r="AG7" s="17">
        <v>51713.970700000005</v>
      </c>
    </row>
    <row r="8" spans="1:33" x14ac:dyDescent="0.25">
      <c r="A8" s="7" t="s">
        <v>657</v>
      </c>
      <c r="B8" s="17"/>
      <c r="C8" s="17"/>
      <c r="D8" s="17"/>
      <c r="E8" s="17">
        <v>9022.35</v>
      </c>
      <c r="F8" s="17"/>
      <c r="G8" s="17">
        <v>10388.429999999998</v>
      </c>
      <c r="H8" s="17"/>
      <c r="I8" s="17"/>
      <c r="J8" s="17"/>
      <c r="K8" s="17"/>
      <c r="L8" s="17"/>
      <c r="M8" s="17">
        <v>24278.849280000002</v>
      </c>
      <c r="N8" s="17"/>
      <c r="O8" s="17"/>
      <c r="P8" s="17"/>
      <c r="Q8" s="17"/>
      <c r="R8" s="17"/>
      <c r="S8" s="17"/>
      <c r="T8" s="17"/>
      <c r="U8" s="17"/>
      <c r="V8" s="17"/>
      <c r="W8" s="17"/>
      <c r="X8" s="17"/>
      <c r="Y8" s="17">
        <v>12699.28</v>
      </c>
      <c r="Z8" s="17">
        <v>12040.64352</v>
      </c>
      <c r="AA8" s="17"/>
      <c r="AB8" s="17"/>
      <c r="AC8" s="17">
        <v>8366.02</v>
      </c>
      <c r="AD8" s="17"/>
      <c r="AE8" s="17"/>
      <c r="AF8" s="17"/>
      <c r="AG8" s="17">
        <v>76795.572800000009</v>
      </c>
    </row>
    <row r="9" spans="1:33" x14ac:dyDescent="0.25">
      <c r="A9" s="7" t="s">
        <v>656</v>
      </c>
      <c r="B9" s="17"/>
      <c r="C9" s="17"/>
      <c r="D9" s="17"/>
      <c r="E9" s="17">
        <v>22620.859800000002</v>
      </c>
      <c r="F9" s="17">
        <v>17964.4038</v>
      </c>
      <c r="G9" s="17"/>
      <c r="H9" s="17"/>
      <c r="I9" s="17"/>
      <c r="J9" s="17"/>
      <c r="K9" s="17"/>
      <c r="L9" s="17"/>
      <c r="M9" s="17"/>
      <c r="N9" s="17">
        <v>16006.14344</v>
      </c>
      <c r="O9" s="17"/>
      <c r="P9" s="17">
        <v>10647.727199999999</v>
      </c>
      <c r="Q9" s="17">
        <v>13321.14</v>
      </c>
      <c r="R9" s="17"/>
      <c r="S9" s="17"/>
      <c r="T9" s="17"/>
      <c r="U9" s="17"/>
      <c r="V9" s="17"/>
      <c r="W9" s="17"/>
      <c r="X9" s="17">
        <v>4790.1068000000005</v>
      </c>
      <c r="Y9" s="17"/>
      <c r="Z9" s="17">
        <v>30546.068040000002</v>
      </c>
      <c r="AA9" s="17"/>
      <c r="AB9" s="17"/>
      <c r="AC9" s="17">
        <v>6066.54648</v>
      </c>
      <c r="AD9" s="17"/>
      <c r="AE9" s="17"/>
      <c r="AF9" s="17"/>
      <c r="AG9" s="17">
        <v>121962.99556</v>
      </c>
    </row>
    <row r="10" spans="1:33" x14ac:dyDescent="0.25">
      <c r="A10" s="7" t="s">
        <v>654</v>
      </c>
      <c r="B10" s="17">
        <v>26759.28775</v>
      </c>
      <c r="C10" s="17"/>
      <c r="D10" s="17"/>
      <c r="E10" s="17"/>
      <c r="F10" s="17">
        <v>46450.26</v>
      </c>
      <c r="G10" s="17">
        <v>4577.1480000000001</v>
      </c>
      <c r="H10" s="17"/>
      <c r="I10" s="17">
        <v>7105.3528000000006</v>
      </c>
      <c r="J10" s="17">
        <v>31513.085009999999</v>
      </c>
      <c r="K10" s="17"/>
      <c r="L10" s="17"/>
      <c r="M10" s="17"/>
      <c r="N10" s="17"/>
      <c r="O10" s="17"/>
      <c r="P10" s="17"/>
      <c r="Q10" s="17"/>
      <c r="R10" s="17">
        <v>11859.695119999998</v>
      </c>
      <c r="S10" s="17"/>
      <c r="T10" s="17"/>
      <c r="U10" s="17"/>
      <c r="V10" s="17"/>
      <c r="W10" s="17">
        <v>10893.6232</v>
      </c>
      <c r="X10" s="17"/>
      <c r="Y10" s="17"/>
      <c r="Z10" s="17"/>
      <c r="AA10" s="17"/>
      <c r="AB10" s="17"/>
      <c r="AC10" s="17">
        <v>7969.4615000000003</v>
      </c>
      <c r="AD10" s="17"/>
      <c r="AE10" s="17"/>
      <c r="AF10" s="17"/>
      <c r="AG10" s="17">
        <v>147127.91338000001</v>
      </c>
    </row>
    <row r="11" spans="1:33" x14ac:dyDescent="0.25">
      <c r="A11" s="7" t="s">
        <v>652</v>
      </c>
      <c r="B11" s="17"/>
      <c r="C11" s="17">
        <v>13856.52411</v>
      </c>
      <c r="D11" s="17"/>
      <c r="E11" s="17"/>
      <c r="F11" s="17"/>
      <c r="G11" s="17"/>
      <c r="H11" s="17"/>
      <c r="I11" s="17"/>
      <c r="J11" s="17"/>
      <c r="K11" s="17"/>
      <c r="L11" s="17"/>
      <c r="M11" s="17"/>
      <c r="N11" s="17"/>
      <c r="O11" s="17"/>
      <c r="P11" s="17"/>
      <c r="Q11" s="17"/>
      <c r="R11" s="17">
        <v>14549.029120000001</v>
      </c>
      <c r="S11" s="17"/>
      <c r="T11" s="17"/>
      <c r="U11" s="17"/>
      <c r="V11" s="17"/>
      <c r="W11" s="17"/>
      <c r="X11" s="17">
        <v>7689.4560000000001</v>
      </c>
      <c r="Y11" s="17"/>
      <c r="Z11" s="17"/>
      <c r="AA11" s="17">
        <v>14431.738420000001</v>
      </c>
      <c r="AB11" s="17">
        <v>7507.4514899999995</v>
      </c>
      <c r="AC11" s="17"/>
      <c r="AD11" s="17"/>
      <c r="AE11" s="17"/>
      <c r="AF11" s="17"/>
      <c r="AG11" s="17">
        <v>58034.199140000004</v>
      </c>
    </row>
    <row r="12" spans="1:33" x14ac:dyDescent="0.25">
      <c r="A12" s="7" t="s">
        <v>650</v>
      </c>
      <c r="B12" s="17"/>
      <c r="C12" s="17"/>
      <c r="D12" s="17">
        <v>53034.364139999991</v>
      </c>
      <c r="E12" s="17"/>
      <c r="F12" s="17"/>
      <c r="G12" s="17"/>
      <c r="H12" s="17">
        <v>27465.647999999997</v>
      </c>
      <c r="I12" s="17"/>
      <c r="J12" s="17">
        <v>1030.7574</v>
      </c>
      <c r="K12" s="17">
        <v>11015.510400000003</v>
      </c>
      <c r="L12" s="17"/>
      <c r="M12" s="17"/>
      <c r="N12" s="17"/>
      <c r="O12" s="17"/>
      <c r="P12" s="17"/>
      <c r="Q12" s="17"/>
      <c r="R12" s="17">
        <v>13108.78584</v>
      </c>
      <c r="S12" s="17">
        <v>549.80010000000004</v>
      </c>
      <c r="T12" s="17"/>
      <c r="U12" s="17"/>
      <c r="V12" s="17"/>
      <c r="W12" s="17"/>
      <c r="X12" s="17"/>
      <c r="Y12" s="17">
        <v>28386.015839999996</v>
      </c>
      <c r="Z12" s="17">
        <v>15860.782080000001</v>
      </c>
      <c r="AA12" s="17"/>
      <c r="AB12" s="17">
        <v>4569.8508000000002</v>
      </c>
      <c r="AC12" s="17"/>
      <c r="AD12" s="17">
        <v>10693.88488</v>
      </c>
      <c r="AE12" s="17"/>
      <c r="AF12" s="17"/>
      <c r="AG12" s="17">
        <v>165715.39947999999</v>
      </c>
    </row>
    <row r="13" spans="1:33" x14ac:dyDescent="0.25">
      <c r="A13" s="7" t="s">
        <v>651</v>
      </c>
      <c r="B13" s="17"/>
      <c r="C13" s="17">
        <v>4737.2198399999997</v>
      </c>
      <c r="D13" s="17"/>
      <c r="E13" s="17"/>
      <c r="F13" s="17"/>
      <c r="G13" s="17"/>
      <c r="H13" s="17">
        <v>29574.104579999999</v>
      </c>
      <c r="I13" s="17"/>
      <c r="J13" s="17"/>
      <c r="K13" s="17"/>
      <c r="L13" s="17"/>
      <c r="M13" s="17"/>
      <c r="N13" s="17"/>
      <c r="O13" s="17"/>
      <c r="P13" s="17"/>
      <c r="Q13" s="17">
        <v>1547.3500000000001</v>
      </c>
      <c r="R13" s="17">
        <v>34139.159999999996</v>
      </c>
      <c r="S13" s="17">
        <v>2719.8567000000003</v>
      </c>
      <c r="T13" s="17"/>
      <c r="U13" s="17"/>
      <c r="V13" s="17">
        <v>20079.343620000003</v>
      </c>
      <c r="W13" s="17"/>
      <c r="X13" s="17"/>
      <c r="Y13" s="17"/>
      <c r="Z13" s="17"/>
      <c r="AA13" s="17">
        <v>47502.705420000006</v>
      </c>
      <c r="AB13" s="17">
        <v>1010.3759200000001</v>
      </c>
      <c r="AC13" s="17">
        <v>10936.992</v>
      </c>
      <c r="AD13" s="17">
        <v>17847.907199999998</v>
      </c>
      <c r="AE13" s="17">
        <v>19066.045319999997</v>
      </c>
      <c r="AF13" s="17"/>
      <c r="AG13" s="17">
        <v>189161.0606</v>
      </c>
    </row>
    <row r="14" spans="1:33" x14ac:dyDescent="0.25">
      <c r="A14" s="7" t="s">
        <v>661</v>
      </c>
      <c r="B14" s="17"/>
      <c r="C14" s="17"/>
      <c r="D14" s="17"/>
      <c r="E14" s="17"/>
      <c r="F14" s="17">
        <v>10759.22406</v>
      </c>
      <c r="G14" s="17"/>
      <c r="H14" s="17">
        <v>20430.771599999996</v>
      </c>
      <c r="I14" s="17"/>
      <c r="J14" s="17"/>
      <c r="K14" s="17"/>
      <c r="L14" s="17"/>
      <c r="M14" s="17"/>
      <c r="N14" s="17">
        <v>26765.040239999998</v>
      </c>
      <c r="O14" s="17"/>
      <c r="P14" s="17"/>
      <c r="Q14" s="17"/>
      <c r="R14" s="17"/>
      <c r="S14" s="17"/>
      <c r="T14" s="17"/>
      <c r="U14" s="17"/>
      <c r="V14" s="17"/>
      <c r="W14" s="17"/>
      <c r="X14" s="17"/>
      <c r="Y14" s="17"/>
      <c r="Z14" s="17"/>
      <c r="AA14" s="17"/>
      <c r="AB14" s="17"/>
      <c r="AC14" s="17"/>
      <c r="AD14" s="17"/>
      <c r="AE14" s="17"/>
      <c r="AF14" s="17"/>
      <c r="AG14" s="17">
        <v>57955.035899999995</v>
      </c>
    </row>
    <row r="15" spans="1:33" x14ac:dyDescent="0.25">
      <c r="A15" s="7" t="s">
        <v>658</v>
      </c>
      <c r="B15" s="17">
        <v>19628.476999999999</v>
      </c>
      <c r="C15" s="17"/>
      <c r="D15" s="17">
        <v>16013.681599999998</v>
      </c>
      <c r="E15" s="17"/>
      <c r="F15" s="17"/>
      <c r="G15" s="17">
        <v>6732.4334000000008</v>
      </c>
      <c r="H15" s="17"/>
      <c r="I15" s="17">
        <v>7382.1450000000004</v>
      </c>
      <c r="J15" s="17"/>
      <c r="K15" s="17">
        <v>23375.594060000003</v>
      </c>
      <c r="L15" s="17">
        <v>5610.0923999999995</v>
      </c>
      <c r="M15" s="17"/>
      <c r="N15" s="17">
        <v>23195.01828</v>
      </c>
      <c r="O15" s="17"/>
      <c r="P15" s="17"/>
      <c r="Q15" s="17"/>
      <c r="R15" s="17"/>
      <c r="S15" s="17">
        <v>35167.7448</v>
      </c>
      <c r="T15" s="17"/>
      <c r="U15" s="17"/>
      <c r="V15" s="17"/>
      <c r="W15" s="17"/>
      <c r="X15" s="17"/>
      <c r="Y15" s="17"/>
      <c r="Z15" s="17"/>
      <c r="AA15" s="17"/>
      <c r="AB15" s="17"/>
      <c r="AC15" s="17"/>
      <c r="AD15" s="17"/>
      <c r="AE15" s="17"/>
      <c r="AF15" s="17"/>
      <c r="AG15" s="17">
        <v>137105.18654</v>
      </c>
    </row>
    <row r="16" spans="1:33" x14ac:dyDescent="0.25">
      <c r="A16" s="7" t="s">
        <v>660</v>
      </c>
      <c r="B16" s="17"/>
      <c r="C16" s="17"/>
      <c r="D16" s="17"/>
      <c r="E16" s="17"/>
      <c r="F16" s="17"/>
      <c r="G16" s="17"/>
      <c r="H16" s="17">
        <v>32086.37586</v>
      </c>
      <c r="I16" s="17"/>
      <c r="J16" s="17">
        <v>908.03700000000003</v>
      </c>
      <c r="K16" s="17">
        <v>5533.6230000000005</v>
      </c>
      <c r="L16" s="17"/>
      <c r="M16" s="17"/>
      <c r="N16" s="17"/>
      <c r="O16" s="17"/>
      <c r="P16" s="17"/>
      <c r="Q16" s="17"/>
      <c r="R16" s="17"/>
      <c r="S16" s="17"/>
      <c r="T16" s="17"/>
      <c r="U16" s="17"/>
      <c r="V16" s="17"/>
      <c r="W16" s="17"/>
      <c r="X16" s="17"/>
      <c r="Y16" s="17">
        <v>2117.4834999999998</v>
      </c>
      <c r="Z16" s="17"/>
      <c r="AA16" s="17"/>
      <c r="AB16" s="17"/>
      <c r="AC16" s="17"/>
      <c r="AD16" s="17"/>
      <c r="AE16" s="17"/>
      <c r="AF16" s="17"/>
      <c r="AG16" s="17">
        <v>40645.519359999998</v>
      </c>
    </row>
    <row r="17" spans="1:33" x14ac:dyDescent="0.25">
      <c r="A17" s="7" t="s">
        <v>1435</v>
      </c>
      <c r="B17" s="17">
        <v>46387.764750000002</v>
      </c>
      <c r="C17" s="17">
        <v>18593.74395</v>
      </c>
      <c r="D17" s="17">
        <v>69048.045739999987</v>
      </c>
      <c r="E17" s="17">
        <v>31643.209800000004</v>
      </c>
      <c r="F17" s="17">
        <v>75173.887860000003</v>
      </c>
      <c r="G17" s="17">
        <v>32981.412199999999</v>
      </c>
      <c r="H17" s="17">
        <v>109556.90003999999</v>
      </c>
      <c r="I17" s="17">
        <v>21722.711300000003</v>
      </c>
      <c r="J17" s="17">
        <v>48982.809329999996</v>
      </c>
      <c r="K17" s="17">
        <v>56138.360260000009</v>
      </c>
      <c r="L17" s="17">
        <v>13464.761759999999</v>
      </c>
      <c r="M17" s="17">
        <v>47947.409280000007</v>
      </c>
      <c r="N17" s="17">
        <v>65966.201960000006</v>
      </c>
      <c r="O17" s="17">
        <v>1446.9507000000001</v>
      </c>
      <c r="P17" s="17">
        <v>10647.727199999999</v>
      </c>
      <c r="Q17" s="17">
        <v>14868.49</v>
      </c>
      <c r="R17" s="17">
        <v>73656.670079999996</v>
      </c>
      <c r="S17" s="17">
        <v>80095.928640000013</v>
      </c>
      <c r="T17" s="17">
        <v>101609.16701</v>
      </c>
      <c r="U17" s="17">
        <v>35396.277799999996</v>
      </c>
      <c r="V17" s="17">
        <v>20079.343620000003</v>
      </c>
      <c r="W17" s="17">
        <v>29860.3272</v>
      </c>
      <c r="X17" s="17">
        <v>33192.602880000006</v>
      </c>
      <c r="Y17" s="17">
        <v>43202.779340000001</v>
      </c>
      <c r="Z17" s="17">
        <v>58447.493640000001</v>
      </c>
      <c r="AA17" s="17">
        <v>61934.443840000007</v>
      </c>
      <c r="AB17" s="17">
        <v>13087.67821</v>
      </c>
      <c r="AC17" s="17">
        <v>33339.019980000005</v>
      </c>
      <c r="AD17" s="17">
        <v>66637.976139999999</v>
      </c>
      <c r="AE17" s="17">
        <v>19066.045319999997</v>
      </c>
      <c r="AF17" s="17">
        <v>7597.4998400000004</v>
      </c>
      <c r="AG17" s="17">
        <v>1341773.6396700002</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3EB9F-D293-4652-8D51-C1E1BE19BFA2}">
  <sheetPr codeName="Sheet4"/>
  <dimension ref="A3:C93"/>
  <sheetViews>
    <sheetView workbookViewId="0">
      <selection activeCell="G7" sqref="G7"/>
    </sheetView>
  </sheetViews>
  <sheetFormatPr defaultRowHeight="15" x14ac:dyDescent="0.25"/>
  <cols>
    <col min="1" max="1" width="13.140625" bestFit="1" customWidth="1"/>
    <col min="2" max="2" width="20.7109375" bestFit="1" customWidth="1"/>
    <col min="3" max="3" width="21.85546875" bestFit="1" customWidth="1"/>
  </cols>
  <sheetData>
    <row r="3" spans="1:3" x14ac:dyDescent="0.25">
      <c r="A3" s="6" t="s">
        <v>1434</v>
      </c>
      <c r="B3" t="s">
        <v>1461</v>
      </c>
      <c r="C3" t="s">
        <v>1463</v>
      </c>
    </row>
    <row r="4" spans="1:3" x14ac:dyDescent="0.25">
      <c r="A4" s="7" t="s">
        <v>733</v>
      </c>
      <c r="B4" s="17">
        <v>1341773.6396700004</v>
      </c>
      <c r="C4" s="11"/>
    </row>
    <row r="5" spans="1:3" x14ac:dyDescent="0.25">
      <c r="A5" s="28" t="s">
        <v>1080</v>
      </c>
      <c r="B5" s="17">
        <v>79082.507010000001</v>
      </c>
      <c r="C5" s="11">
        <v>5.8938784212104342E-2</v>
      </c>
    </row>
    <row r="6" spans="1:3" x14ac:dyDescent="0.25">
      <c r="A6" s="28" t="s">
        <v>1053</v>
      </c>
      <c r="B6" s="17">
        <v>53034.364139999991</v>
      </c>
      <c r="C6" s="11">
        <v>9.8464351395734076E-2</v>
      </c>
    </row>
    <row r="7" spans="1:3" x14ac:dyDescent="0.25">
      <c r="A7" s="28" t="s">
        <v>1288</v>
      </c>
      <c r="B7" s="17">
        <v>46450.26</v>
      </c>
      <c r="C7" s="11">
        <v>0.133082903010315</v>
      </c>
    </row>
    <row r="8" spans="1:3" x14ac:dyDescent="0.25">
      <c r="A8" s="28" t="s">
        <v>1040</v>
      </c>
      <c r="B8" s="17">
        <v>43084.872000000003</v>
      </c>
      <c r="C8" s="11">
        <v>0.16519329087767273</v>
      </c>
    </row>
    <row r="9" spans="1:3" x14ac:dyDescent="0.25">
      <c r="A9" s="28" t="s">
        <v>752</v>
      </c>
      <c r="B9" s="17">
        <v>38096.18406</v>
      </c>
      <c r="C9" s="11">
        <v>0.19358569845945342</v>
      </c>
    </row>
    <row r="10" spans="1:3" x14ac:dyDescent="0.25">
      <c r="A10" s="28" t="s">
        <v>810</v>
      </c>
      <c r="B10" s="17">
        <v>35396.277799999996</v>
      </c>
      <c r="C10" s="11">
        <v>0.21996591398426091</v>
      </c>
    </row>
    <row r="11" spans="1:3" x14ac:dyDescent="0.25">
      <c r="A11" s="28" t="s">
        <v>1094</v>
      </c>
      <c r="B11" s="17">
        <v>35167.7448</v>
      </c>
      <c r="C11" s="11">
        <v>0.24617580793377181</v>
      </c>
    </row>
    <row r="12" spans="1:3" x14ac:dyDescent="0.25">
      <c r="A12" s="28" t="s">
        <v>831</v>
      </c>
      <c r="B12" s="17">
        <v>34139.159999999996</v>
      </c>
      <c r="C12" s="11">
        <v>0.27161911594837573</v>
      </c>
    </row>
    <row r="13" spans="1:3" x14ac:dyDescent="0.25">
      <c r="A13" s="28" t="s">
        <v>811</v>
      </c>
      <c r="B13" s="17">
        <v>33062.236480000007</v>
      </c>
      <c r="C13" s="11">
        <v>0.29625981204084884</v>
      </c>
    </row>
    <row r="14" spans="1:3" x14ac:dyDescent="0.25">
      <c r="A14" s="28" t="s">
        <v>876</v>
      </c>
      <c r="B14" s="17">
        <v>32086.37586</v>
      </c>
      <c r="C14" s="11">
        <v>0.3201732165908826</v>
      </c>
    </row>
    <row r="15" spans="1:3" x14ac:dyDescent="0.25">
      <c r="A15" s="28" t="s">
        <v>1175</v>
      </c>
      <c r="B15" s="17">
        <v>31513.085009999999</v>
      </c>
      <c r="C15" s="11">
        <v>0.34365935767929334</v>
      </c>
    </row>
    <row r="16" spans="1:3" x14ac:dyDescent="0.25">
      <c r="A16" s="28" t="s">
        <v>941</v>
      </c>
      <c r="B16" s="17">
        <v>28386.015839999996</v>
      </c>
      <c r="C16" s="11">
        <v>0.36481494980061518</v>
      </c>
    </row>
    <row r="17" spans="1:3" x14ac:dyDescent="0.25">
      <c r="A17" s="28" t="s">
        <v>1074</v>
      </c>
      <c r="B17" s="17">
        <v>27465.647999999997</v>
      </c>
      <c r="C17" s="11">
        <v>0.38528460816024351</v>
      </c>
    </row>
    <row r="18" spans="1:3" x14ac:dyDescent="0.25">
      <c r="A18" s="28" t="s">
        <v>1022</v>
      </c>
      <c r="B18" s="17">
        <v>26765.040239999998</v>
      </c>
      <c r="C18" s="11">
        <v>0.40523211603242282</v>
      </c>
    </row>
    <row r="19" spans="1:3" x14ac:dyDescent="0.25">
      <c r="A19" s="28" t="s">
        <v>921</v>
      </c>
      <c r="B19" s="17">
        <v>26759.28775</v>
      </c>
      <c r="C19" s="11">
        <v>0.42517533667624269</v>
      </c>
    </row>
    <row r="20" spans="1:3" x14ac:dyDescent="0.25">
      <c r="A20" s="28" t="s">
        <v>1086</v>
      </c>
      <c r="B20" s="17">
        <v>26552.60298</v>
      </c>
      <c r="C20" s="11">
        <v>0.44496451884152233</v>
      </c>
    </row>
    <row r="21" spans="1:3" x14ac:dyDescent="0.25">
      <c r="A21" s="28" t="s">
        <v>1171</v>
      </c>
      <c r="B21" s="17">
        <v>24278.849280000002</v>
      </c>
      <c r="C21" s="11">
        <v>0.4630591128640813</v>
      </c>
    </row>
    <row r="22" spans="1:3" x14ac:dyDescent="0.25">
      <c r="A22" s="28" t="s">
        <v>1142</v>
      </c>
      <c r="B22" s="17">
        <v>23668.560000000001</v>
      </c>
      <c r="C22" s="11">
        <v>0.48069886915398813</v>
      </c>
    </row>
    <row r="23" spans="1:3" x14ac:dyDescent="0.25">
      <c r="A23" s="28" t="s">
        <v>1026</v>
      </c>
      <c r="B23" s="17">
        <v>23375.594060000003</v>
      </c>
      <c r="C23" s="11">
        <v>0.49812028314580648</v>
      </c>
    </row>
    <row r="24" spans="1:3" x14ac:dyDescent="0.25">
      <c r="A24" s="28" t="s">
        <v>1089</v>
      </c>
      <c r="B24" s="17">
        <v>23195.01828</v>
      </c>
      <c r="C24" s="11">
        <v>0.51540711722439569</v>
      </c>
    </row>
    <row r="25" spans="1:3" x14ac:dyDescent="0.25">
      <c r="A25" s="28" t="s">
        <v>1212</v>
      </c>
      <c r="B25" s="17">
        <v>22620.859800000002</v>
      </c>
      <c r="C25" s="11">
        <v>0.53226604121217302</v>
      </c>
    </row>
    <row r="26" spans="1:3" x14ac:dyDescent="0.25">
      <c r="A26" s="28" t="s">
        <v>1255</v>
      </c>
      <c r="B26" s="17">
        <v>22526.66</v>
      </c>
      <c r="C26" s="11">
        <v>0.54905475976647433</v>
      </c>
    </row>
    <row r="27" spans="1:3" x14ac:dyDescent="0.25">
      <c r="A27" s="28" t="s">
        <v>1270</v>
      </c>
      <c r="B27" s="17">
        <v>20430.771599999996</v>
      </c>
      <c r="C27" s="11">
        <v>0.56428145001880681</v>
      </c>
    </row>
    <row r="28" spans="1:3" x14ac:dyDescent="0.25">
      <c r="A28" s="28" t="s">
        <v>1285</v>
      </c>
      <c r="B28" s="17">
        <v>20163.409200000002</v>
      </c>
      <c r="C28" s="11">
        <v>0.57930887983547774</v>
      </c>
    </row>
    <row r="29" spans="1:3" x14ac:dyDescent="0.25">
      <c r="A29" s="28" t="s">
        <v>827</v>
      </c>
      <c r="B29" s="17">
        <v>20079.343620000003</v>
      </c>
      <c r="C29" s="11">
        <v>0.59427365707237323</v>
      </c>
    </row>
    <row r="30" spans="1:3" x14ac:dyDescent="0.25">
      <c r="A30" s="28" t="s">
        <v>1184</v>
      </c>
      <c r="B30" s="17">
        <v>19628.476999999999</v>
      </c>
      <c r="C30" s="11">
        <v>0.60890241144619406</v>
      </c>
    </row>
    <row r="31" spans="1:3" x14ac:dyDescent="0.25">
      <c r="A31" s="28" t="s">
        <v>1024</v>
      </c>
      <c r="B31" s="17">
        <v>19066.045319999997</v>
      </c>
      <c r="C31" s="11">
        <v>0.62311199550441809</v>
      </c>
    </row>
    <row r="32" spans="1:3" x14ac:dyDescent="0.25">
      <c r="A32" s="28" t="s">
        <v>995</v>
      </c>
      <c r="B32" s="17">
        <v>17964.4038</v>
      </c>
      <c r="C32" s="11">
        <v>0.63650054575527715</v>
      </c>
    </row>
    <row r="33" spans="1:3" x14ac:dyDescent="0.25">
      <c r="A33" s="28" t="s">
        <v>943</v>
      </c>
      <c r="B33" s="17">
        <v>17847.907199999998</v>
      </c>
      <c r="C33" s="11">
        <v>0.64980227316467065</v>
      </c>
    </row>
    <row r="34" spans="1:3" x14ac:dyDescent="0.25">
      <c r="A34" s="28" t="s">
        <v>800</v>
      </c>
      <c r="B34" s="17">
        <v>16013.681599999998</v>
      </c>
      <c r="C34" s="11">
        <v>0.66173698489737276</v>
      </c>
    </row>
    <row r="35" spans="1:3" x14ac:dyDescent="0.25">
      <c r="A35" s="28" t="s">
        <v>744</v>
      </c>
      <c r="B35" s="17">
        <v>16006.14344</v>
      </c>
      <c r="C35" s="11">
        <v>0.67366607857366279</v>
      </c>
    </row>
    <row r="36" spans="1:3" x14ac:dyDescent="0.25">
      <c r="A36" s="28" t="s">
        <v>1286</v>
      </c>
      <c r="B36" s="17">
        <v>15860.782080000001</v>
      </c>
      <c r="C36" s="11">
        <v>0.68548683701686852</v>
      </c>
    </row>
    <row r="37" spans="1:3" x14ac:dyDescent="0.25">
      <c r="A37" s="28" t="s">
        <v>1279</v>
      </c>
      <c r="B37" s="17">
        <v>15530.929919999999</v>
      </c>
      <c r="C37" s="11">
        <v>0.69706176251907148</v>
      </c>
    </row>
    <row r="38" spans="1:3" x14ac:dyDescent="0.25">
      <c r="A38" s="28" t="s">
        <v>784</v>
      </c>
      <c r="B38" s="17">
        <v>14894.903999999999</v>
      </c>
      <c r="C38" s="11">
        <v>0.70816266922913573</v>
      </c>
    </row>
    <row r="39" spans="1:3" x14ac:dyDescent="0.25">
      <c r="A39" s="28" t="s">
        <v>1188</v>
      </c>
      <c r="B39" s="17">
        <v>14752.706080000002</v>
      </c>
      <c r="C39" s="11">
        <v>0.71915759836161464</v>
      </c>
    </row>
    <row r="40" spans="1:3" x14ac:dyDescent="0.25">
      <c r="A40" s="28" t="s">
        <v>904</v>
      </c>
      <c r="B40" s="17">
        <v>14549.029120000001</v>
      </c>
      <c r="C40" s="11">
        <v>0.73000073068278482</v>
      </c>
    </row>
    <row r="41" spans="1:3" x14ac:dyDescent="0.25">
      <c r="A41" s="28" t="s">
        <v>1128</v>
      </c>
      <c r="B41" s="17">
        <v>14431.738420000001</v>
      </c>
      <c r="C41" s="11">
        <v>0.7407564483339002</v>
      </c>
    </row>
    <row r="42" spans="1:3" x14ac:dyDescent="0.25">
      <c r="A42" s="28" t="s">
        <v>1338</v>
      </c>
      <c r="B42" s="17">
        <v>13856.52411</v>
      </c>
      <c r="C42" s="11">
        <v>0.75108346900290657</v>
      </c>
    </row>
    <row r="43" spans="1:3" x14ac:dyDescent="0.25">
      <c r="A43" s="28" t="s">
        <v>881</v>
      </c>
      <c r="B43" s="17">
        <v>13321.14</v>
      </c>
      <c r="C43" s="11">
        <v>0.76101147742858732</v>
      </c>
    </row>
    <row r="44" spans="1:3" x14ac:dyDescent="0.25">
      <c r="A44" s="28" t="s">
        <v>1291</v>
      </c>
      <c r="B44" s="17">
        <v>13108.78584</v>
      </c>
      <c r="C44" s="11">
        <v>0.77078122208031863</v>
      </c>
    </row>
    <row r="45" spans="1:3" x14ac:dyDescent="0.25">
      <c r="A45" s="28" t="s">
        <v>1033</v>
      </c>
      <c r="B45" s="17">
        <v>12699.28</v>
      </c>
      <c r="C45" s="11">
        <v>0.78024576932177681</v>
      </c>
    </row>
    <row r="46" spans="1:3" x14ac:dyDescent="0.25">
      <c r="A46" s="28" t="s">
        <v>1321</v>
      </c>
      <c r="B46" s="17">
        <v>12040.64352</v>
      </c>
      <c r="C46" s="11">
        <v>0.78921944652336595</v>
      </c>
    </row>
    <row r="47" spans="1:3" x14ac:dyDescent="0.25">
      <c r="A47" s="28" t="s">
        <v>1227</v>
      </c>
      <c r="B47" s="17">
        <v>11859.695119999998</v>
      </c>
      <c r="C47" s="11">
        <v>0.79805826610467545</v>
      </c>
    </row>
    <row r="48" spans="1:3" x14ac:dyDescent="0.25">
      <c r="A48" s="28" t="s">
        <v>1046</v>
      </c>
      <c r="B48" s="17">
        <v>11283.400799999999</v>
      </c>
      <c r="C48" s="11">
        <v>0.80646758379165506</v>
      </c>
    </row>
    <row r="49" spans="1:3" x14ac:dyDescent="0.25">
      <c r="A49" s="28" t="s">
        <v>888</v>
      </c>
      <c r="B49" s="17">
        <v>11015.510400000003</v>
      </c>
      <c r="C49" s="11">
        <v>0.81467724753397541</v>
      </c>
    </row>
    <row r="50" spans="1:3" x14ac:dyDescent="0.25">
      <c r="A50" s="28" t="s">
        <v>756</v>
      </c>
      <c r="B50" s="17">
        <v>10936.992</v>
      </c>
      <c r="C50" s="11">
        <v>0.82282839291099297</v>
      </c>
    </row>
    <row r="51" spans="1:3" x14ac:dyDescent="0.25">
      <c r="A51" s="28" t="s">
        <v>1149</v>
      </c>
      <c r="B51" s="17">
        <v>10893.6232</v>
      </c>
      <c r="C51" s="11">
        <v>0.83094721629366075</v>
      </c>
    </row>
    <row r="52" spans="1:3" x14ac:dyDescent="0.25">
      <c r="A52" s="28" t="s">
        <v>1355</v>
      </c>
      <c r="B52" s="17">
        <v>10693.88488</v>
      </c>
      <c r="C52" s="11">
        <v>0.83891717826327439</v>
      </c>
    </row>
    <row r="53" spans="1:3" x14ac:dyDescent="0.25">
      <c r="A53" s="28" t="s">
        <v>804</v>
      </c>
      <c r="B53" s="17">
        <v>10647.727199999999</v>
      </c>
      <c r="C53" s="11">
        <v>0.84685273973593733</v>
      </c>
    </row>
    <row r="54" spans="1:3" x14ac:dyDescent="0.25">
      <c r="A54" s="28" t="s">
        <v>919</v>
      </c>
      <c r="B54" s="17">
        <v>10388.429999999998</v>
      </c>
      <c r="C54" s="11">
        <v>0.85459505162287752</v>
      </c>
    </row>
    <row r="55" spans="1:3" x14ac:dyDescent="0.25">
      <c r="A55" s="28" t="s">
        <v>892</v>
      </c>
      <c r="B55" s="17">
        <v>10382.65884</v>
      </c>
      <c r="C55" s="11">
        <v>0.86233306236703955</v>
      </c>
    </row>
    <row r="56" spans="1:3" x14ac:dyDescent="0.25">
      <c r="A56" s="28" t="s">
        <v>1059</v>
      </c>
      <c r="B56" s="17">
        <v>9829.0483199999999</v>
      </c>
      <c r="C56" s="11">
        <v>0.86965847704907007</v>
      </c>
    </row>
    <row r="57" spans="1:3" x14ac:dyDescent="0.25">
      <c r="A57" s="28" t="s">
        <v>1322</v>
      </c>
      <c r="B57" s="17">
        <v>9022.35</v>
      </c>
      <c r="C57" s="11">
        <v>0.876382673838492</v>
      </c>
    </row>
    <row r="58" spans="1:3" x14ac:dyDescent="0.25">
      <c r="A58" s="28" t="s">
        <v>1231</v>
      </c>
      <c r="B58" s="17">
        <v>8644.6696000000011</v>
      </c>
      <c r="C58" s="11">
        <v>0.88282539215134104</v>
      </c>
    </row>
    <row r="59" spans="1:3" x14ac:dyDescent="0.25">
      <c r="A59" s="28" t="s">
        <v>759</v>
      </c>
      <c r="B59" s="17">
        <v>8596.2905599999995</v>
      </c>
      <c r="C59" s="11">
        <v>0.88923205442718833</v>
      </c>
    </row>
    <row r="60" spans="1:3" x14ac:dyDescent="0.25">
      <c r="A60" s="28" t="s">
        <v>1326</v>
      </c>
      <c r="B60" s="17">
        <v>8366.02</v>
      </c>
      <c r="C60" s="11">
        <v>0.89546710015521258</v>
      </c>
    </row>
    <row r="61" spans="1:3" x14ac:dyDescent="0.25">
      <c r="A61" s="28" t="s">
        <v>1150</v>
      </c>
      <c r="B61" s="17">
        <v>7969.4615000000003</v>
      </c>
      <c r="C61" s="11">
        <v>0.90140659789490585</v>
      </c>
    </row>
    <row r="62" spans="1:3" x14ac:dyDescent="0.25">
      <c r="A62" s="28" t="s">
        <v>948</v>
      </c>
      <c r="B62" s="17">
        <v>7854.6693599999999</v>
      </c>
      <c r="C62" s="11">
        <v>0.90726054309681914</v>
      </c>
    </row>
    <row r="63" spans="1:3" x14ac:dyDescent="0.25">
      <c r="A63" s="28" t="s">
        <v>916</v>
      </c>
      <c r="B63" s="17">
        <v>7689.4560000000001</v>
      </c>
      <c r="C63" s="11">
        <v>0.91299135772356288</v>
      </c>
    </row>
    <row r="64" spans="1:3" x14ac:dyDescent="0.25">
      <c r="A64" s="28" t="s">
        <v>748</v>
      </c>
      <c r="B64" s="17">
        <v>7578.84</v>
      </c>
      <c r="C64" s="11">
        <v>0.91863973221530204</v>
      </c>
    </row>
    <row r="65" spans="1:3" x14ac:dyDescent="0.25">
      <c r="A65" s="28" t="s">
        <v>993</v>
      </c>
      <c r="B65" s="17">
        <v>7568.9632000000001</v>
      </c>
      <c r="C65" s="11">
        <v>0.92428074570388241</v>
      </c>
    </row>
    <row r="66" spans="1:3" x14ac:dyDescent="0.25">
      <c r="A66" s="28" t="s">
        <v>1225</v>
      </c>
      <c r="B66" s="17">
        <v>7507.4514899999995</v>
      </c>
      <c r="C66" s="11">
        <v>0.92987591561037009</v>
      </c>
    </row>
    <row r="67" spans="1:3" x14ac:dyDescent="0.25">
      <c r="A67" s="28" t="s">
        <v>1027</v>
      </c>
      <c r="B67" s="17">
        <v>7382.1450000000004</v>
      </c>
      <c r="C67" s="11">
        <v>0.93537769682125715</v>
      </c>
    </row>
    <row r="68" spans="1:3" x14ac:dyDescent="0.25">
      <c r="A68" s="28" t="s">
        <v>1004</v>
      </c>
      <c r="B68" s="17">
        <v>7235.2134999999998</v>
      </c>
      <c r="C68" s="11">
        <v>0.94076997260167827</v>
      </c>
    </row>
    <row r="69" spans="1:3" x14ac:dyDescent="0.25">
      <c r="A69" s="28" t="s">
        <v>1066</v>
      </c>
      <c r="B69" s="17">
        <v>7105.3528000000006</v>
      </c>
      <c r="C69" s="11">
        <v>0.94606546551488491</v>
      </c>
    </row>
    <row r="70" spans="1:3" x14ac:dyDescent="0.25">
      <c r="A70" s="28" t="s">
        <v>1310</v>
      </c>
      <c r="B70" s="17">
        <v>6732.4334000000008</v>
      </c>
      <c r="C70" s="11">
        <v>0.9510830282400371</v>
      </c>
    </row>
    <row r="71" spans="1:3" x14ac:dyDescent="0.25">
      <c r="A71" s="28" t="s">
        <v>1011</v>
      </c>
      <c r="B71" s="17">
        <v>6066.54648</v>
      </c>
      <c r="C71" s="11">
        <v>0.95560431730150064</v>
      </c>
    </row>
    <row r="72" spans="1:3" x14ac:dyDescent="0.25">
      <c r="A72" s="28" t="s">
        <v>837</v>
      </c>
      <c r="B72" s="17">
        <v>5960.3340000000007</v>
      </c>
      <c r="C72" s="11">
        <v>0.96004644809299977</v>
      </c>
    </row>
    <row r="73" spans="1:3" x14ac:dyDescent="0.25">
      <c r="A73" s="28" t="s">
        <v>1067</v>
      </c>
      <c r="B73" s="17">
        <v>5610.0923999999995</v>
      </c>
      <c r="C73" s="11">
        <v>0.96422755005694938</v>
      </c>
    </row>
    <row r="74" spans="1:3" x14ac:dyDescent="0.25">
      <c r="A74" s="28" t="s">
        <v>961</v>
      </c>
      <c r="B74" s="17">
        <v>5533.6230000000005</v>
      </c>
      <c r="C74" s="11">
        <v>0.96835166073880841</v>
      </c>
    </row>
    <row r="75" spans="1:3" x14ac:dyDescent="0.25">
      <c r="A75" s="28" t="s">
        <v>791</v>
      </c>
      <c r="B75" s="17">
        <v>4790.1068000000005</v>
      </c>
      <c r="C75" s="11">
        <v>0.97192164203697873</v>
      </c>
    </row>
    <row r="76" spans="1:3" x14ac:dyDescent="0.25">
      <c r="A76" s="28" t="s">
        <v>1275</v>
      </c>
      <c r="B76" s="17">
        <v>4737.2198399999997</v>
      </c>
      <c r="C76" s="11">
        <v>0.97545220762564622</v>
      </c>
    </row>
    <row r="77" spans="1:3" x14ac:dyDescent="0.25">
      <c r="A77" s="28" t="s">
        <v>1303</v>
      </c>
      <c r="B77" s="17">
        <v>4577.1480000000001</v>
      </c>
      <c r="C77" s="11">
        <v>0.97886347452244238</v>
      </c>
    </row>
    <row r="78" spans="1:3" x14ac:dyDescent="0.25">
      <c r="A78" s="28" t="s">
        <v>793</v>
      </c>
      <c r="B78" s="17">
        <v>4569.8508000000002</v>
      </c>
      <c r="C78" s="11">
        <v>0.98226930294602344</v>
      </c>
    </row>
    <row r="79" spans="1:3" x14ac:dyDescent="0.25">
      <c r="A79" s="28" t="s">
        <v>865</v>
      </c>
      <c r="B79" s="17">
        <v>4417.8334199999999</v>
      </c>
      <c r="C79" s="11">
        <v>0.98556183552334142</v>
      </c>
    </row>
    <row r="80" spans="1:3" x14ac:dyDescent="0.25">
      <c r="A80" s="28" t="s">
        <v>1092</v>
      </c>
      <c r="B80" s="17">
        <v>4071.8</v>
      </c>
      <c r="C80" s="11">
        <v>0.98859647555472674</v>
      </c>
    </row>
    <row r="81" spans="1:3" x14ac:dyDescent="0.25">
      <c r="A81" s="28" t="s">
        <v>1072</v>
      </c>
      <c r="B81" s="17">
        <v>3021.5016000000001</v>
      </c>
      <c r="C81" s="11">
        <v>0.99084834689179013</v>
      </c>
    </row>
    <row r="82" spans="1:3" x14ac:dyDescent="0.25">
      <c r="A82" s="28" t="s">
        <v>1199</v>
      </c>
      <c r="B82" s="17">
        <v>2719.8567000000003</v>
      </c>
      <c r="C82" s="11">
        <v>0.99287540765642757</v>
      </c>
    </row>
    <row r="83" spans="1:3" x14ac:dyDescent="0.25">
      <c r="A83" s="28" t="s">
        <v>847</v>
      </c>
      <c r="B83" s="17">
        <v>2117.4834999999998</v>
      </c>
      <c r="C83" s="11">
        <v>0.99445353040187134</v>
      </c>
    </row>
    <row r="84" spans="1:3" x14ac:dyDescent="0.25">
      <c r="A84" s="28" t="s">
        <v>1223</v>
      </c>
      <c r="B84" s="17">
        <v>1547.3500000000001</v>
      </c>
      <c r="C84" s="11">
        <v>0.99560674280242245</v>
      </c>
    </row>
    <row r="85" spans="1:3" x14ac:dyDescent="0.25">
      <c r="A85" s="28" t="s">
        <v>873</v>
      </c>
      <c r="B85" s="17">
        <v>1446.9507000000001</v>
      </c>
      <c r="C85" s="11">
        <v>0.99668512939254494</v>
      </c>
    </row>
    <row r="86" spans="1:3" x14ac:dyDescent="0.25">
      <c r="A86" s="28" t="s">
        <v>1352</v>
      </c>
      <c r="B86" s="17">
        <v>1030.7574</v>
      </c>
      <c r="C86" s="11">
        <v>0.99745333452754337</v>
      </c>
    </row>
    <row r="87" spans="1:3" x14ac:dyDescent="0.25">
      <c r="A87" s="28" t="s">
        <v>1250</v>
      </c>
      <c r="B87" s="17">
        <v>1010.3759200000001</v>
      </c>
      <c r="C87" s="11">
        <v>0.99820634970844113</v>
      </c>
    </row>
    <row r="88" spans="1:3" x14ac:dyDescent="0.25">
      <c r="A88" s="28" t="s">
        <v>1194</v>
      </c>
      <c r="B88" s="17">
        <v>930.17574000000002</v>
      </c>
      <c r="C88" s="11">
        <v>0.99889959312335042</v>
      </c>
    </row>
    <row r="89" spans="1:3" x14ac:dyDescent="0.25">
      <c r="A89" s="28" t="s">
        <v>955</v>
      </c>
      <c r="B89" s="17">
        <v>908.03700000000003</v>
      </c>
      <c r="C89" s="11">
        <v>0.99957633692957348</v>
      </c>
    </row>
    <row r="90" spans="1:3" x14ac:dyDescent="0.25">
      <c r="A90" s="28" t="s">
        <v>843</v>
      </c>
      <c r="B90" s="17">
        <v>549.80010000000004</v>
      </c>
      <c r="C90" s="11">
        <v>0.99998609315353337</v>
      </c>
    </row>
    <row r="91" spans="1:3" x14ac:dyDescent="0.25">
      <c r="A91" s="28" t="s">
        <v>914</v>
      </c>
      <c r="B91" s="17">
        <v>18.659839999999999</v>
      </c>
      <c r="C91" s="11">
        <v>1.0000000000000002</v>
      </c>
    </row>
    <row r="92" spans="1:3" x14ac:dyDescent="0.25">
      <c r="A92" s="28" t="s">
        <v>792</v>
      </c>
      <c r="B92" s="17">
        <v>0</v>
      </c>
      <c r="C92" s="11">
        <v>1.0000000000000002</v>
      </c>
    </row>
    <row r="93" spans="1:3" x14ac:dyDescent="0.25">
      <c r="A93" s="7" t="s">
        <v>1435</v>
      </c>
      <c r="B93" s="17">
        <v>1341773.6396700004</v>
      </c>
      <c r="C93"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9D257-74B2-4CD9-B1C0-D29AFAD44B43}">
  <sheetPr codeName="Sheet5"/>
  <dimension ref="A1:D639"/>
  <sheetViews>
    <sheetView workbookViewId="0">
      <selection activeCell="J182" sqref="J182"/>
    </sheetView>
  </sheetViews>
  <sheetFormatPr defaultRowHeight="15" x14ac:dyDescent="0.25"/>
  <cols>
    <col min="1" max="1" width="12.28515625" bestFit="1" customWidth="1"/>
    <col min="2" max="2" width="20.5703125" bestFit="1" customWidth="1"/>
    <col min="3" max="3" width="21.7109375" bestFit="1" customWidth="1"/>
    <col min="4" max="4" width="10" bestFit="1" customWidth="1"/>
  </cols>
  <sheetData>
    <row r="1" spans="1:4" x14ac:dyDescent="0.25">
      <c r="A1" t="s">
        <v>1434</v>
      </c>
      <c r="B1" t="s">
        <v>1461</v>
      </c>
      <c r="C1" t="s">
        <v>1463</v>
      </c>
      <c r="D1" t="s">
        <v>1465</v>
      </c>
    </row>
    <row r="2" spans="1:4" x14ac:dyDescent="0.25">
      <c r="A2" t="s">
        <v>733</v>
      </c>
      <c r="B2">
        <v>1341773.6396700004</v>
      </c>
      <c r="D2" t="str">
        <f>IF(C3&lt;=0.8,"A",IF(C3&lt;=0.95,"B","C"))</f>
        <v>A</v>
      </c>
    </row>
    <row r="3" spans="1:4" x14ac:dyDescent="0.25">
      <c r="A3" t="s">
        <v>1080</v>
      </c>
      <c r="B3">
        <v>79082.507010000001</v>
      </c>
      <c r="C3">
        <v>5.8938784212104342E-2</v>
      </c>
      <c r="D3" t="str">
        <f t="shared" ref="D3:D66" si="0">IF(C4&lt;=0.8,"A",IF(C4&lt;=0.95,"B","C"))</f>
        <v>A</v>
      </c>
    </row>
    <row r="4" spans="1:4" x14ac:dyDescent="0.25">
      <c r="A4" t="s">
        <v>1053</v>
      </c>
      <c r="B4">
        <v>53034.364139999991</v>
      </c>
      <c r="C4">
        <v>9.8464351395734076E-2</v>
      </c>
      <c r="D4" t="str">
        <f t="shared" si="0"/>
        <v>A</v>
      </c>
    </row>
    <row r="5" spans="1:4" x14ac:dyDescent="0.25">
      <c r="A5" t="s">
        <v>1288</v>
      </c>
      <c r="B5">
        <v>46450.26</v>
      </c>
      <c r="C5">
        <v>0.133082903010315</v>
      </c>
      <c r="D5" t="str">
        <f t="shared" si="0"/>
        <v>A</v>
      </c>
    </row>
    <row r="6" spans="1:4" x14ac:dyDescent="0.25">
      <c r="A6" t="s">
        <v>1040</v>
      </c>
      <c r="B6">
        <v>43084.872000000003</v>
      </c>
      <c r="C6">
        <v>0.16519329087767273</v>
      </c>
      <c r="D6" t="str">
        <f t="shared" si="0"/>
        <v>A</v>
      </c>
    </row>
    <row r="7" spans="1:4" x14ac:dyDescent="0.25">
      <c r="A7" t="s">
        <v>752</v>
      </c>
      <c r="B7">
        <v>38096.18406</v>
      </c>
      <c r="C7">
        <v>0.19358569845945342</v>
      </c>
      <c r="D7" t="str">
        <f t="shared" si="0"/>
        <v>A</v>
      </c>
    </row>
    <row r="8" spans="1:4" x14ac:dyDescent="0.25">
      <c r="A8" t="s">
        <v>810</v>
      </c>
      <c r="B8">
        <v>35396.277799999996</v>
      </c>
      <c r="C8">
        <v>0.21996591398426091</v>
      </c>
      <c r="D8" t="str">
        <f t="shared" si="0"/>
        <v>A</v>
      </c>
    </row>
    <row r="9" spans="1:4" x14ac:dyDescent="0.25">
      <c r="A9" t="s">
        <v>1094</v>
      </c>
      <c r="B9">
        <v>35167.7448</v>
      </c>
      <c r="C9">
        <v>0.24617580793377181</v>
      </c>
      <c r="D9" t="str">
        <f t="shared" si="0"/>
        <v>A</v>
      </c>
    </row>
    <row r="10" spans="1:4" x14ac:dyDescent="0.25">
      <c r="A10" t="s">
        <v>831</v>
      </c>
      <c r="B10">
        <v>34139.159999999996</v>
      </c>
      <c r="C10">
        <v>0.27161911594837573</v>
      </c>
      <c r="D10" t="str">
        <f t="shared" si="0"/>
        <v>A</v>
      </c>
    </row>
    <row r="11" spans="1:4" x14ac:dyDescent="0.25">
      <c r="A11" t="s">
        <v>811</v>
      </c>
      <c r="B11">
        <v>33062.236480000007</v>
      </c>
      <c r="C11">
        <v>0.29625981204084884</v>
      </c>
      <c r="D11" t="str">
        <f t="shared" si="0"/>
        <v>A</v>
      </c>
    </row>
    <row r="12" spans="1:4" x14ac:dyDescent="0.25">
      <c r="A12" t="s">
        <v>876</v>
      </c>
      <c r="B12">
        <v>32086.37586</v>
      </c>
      <c r="C12">
        <v>0.3201732165908826</v>
      </c>
      <c r="D12" t="str">
        <f t="shared" si="0"/>
        <v>A</v>
      </c>
    </row>
    <row r="13" spans="1:4" x14ac:dyDescent="0.25">
      <c r="A13" t="s">
        <v>1175</v>
      </c>
      <c r="B13">
        <v>31513.085009999999</v>
      </c>
      <c r="C13">
        <v>0.34365935767929334</v>
      </c>
      <c r="D13" t="str">
        <f t="shared" si="0"/>
        <v>A</v>
      </c>
    </row>
    <row r="14" spans="1:4" x14ac:dyDescent="0.25">
      <c r="A14" t="s">
        <v>941</v>
      </c>
      <c r="B14">
        <v>28386.015839999996</v>
      </c>
      <c r="C14">
        <v>0.36481494980061518</v>
      </c>
      <c r="D14" t="str">
        <f t="shared" si="0"/>
        <v>A</v>
      </c>
    </row>
    <row r="15" spans="1:4" x14ac:dyDescent="0.25">
      <c r="A15" t="s">
        <v>1074</v>
      </c>
      <c r="B15">
        <v>27465.647999999997</v>
      </c>
      <c r="C15">
        <v>0.38528460816024351</v>
      </c>
      <c r="D15" t="str">
        <f t="shared" si="0"/>
        <v>A</v>
      </c>
    </row>
    <row r="16" spans="1:4" x14ac:dyDescent="0.25">
      <c r="A16" t="s">
        <v>1022</v>
      </c>
      <c r="B16">
        <v>26765.040239999998</v>
      </c>
      <c r="C16">
        <v>0.40523211603242282</v>
      </c>
      <c r="D16" t="str">
        <f t="shared" si="0"/>
        <v>A</v>
      </c>
    </row>
    <row r="17" spans="1:4" x14ac:dyDescent="0.25">
      <c r="A17" t="s">
        <v>921</v>
      </c>
      <c r="B17">
        <v>26759.28775</v>
      </c>
      <c r="C17">
        <v>0.42517533667624269</v>
      </c>
      <c r="D17" t="str">
        <f t="shared" si="0"/>
        <v>A</v>
      </c>
    </row>
    <row r="18" spans="1:4" x14ac:dyDescent="0.25">
      <c r="A18" t="s">
        <v>1086</v>
      </c>
      <c r="B18">
        <v>26552.60298</v>
      </c>
      <c r="C18">
        <v>0.44496451884152233</v>
      </c>
      <c r="D18" t="str">
        <f t="shared" si="0"/>
        <v>A</v>
      </c>
    </row>
    <row r="19" spans="1:4" x14ac:dyDescent="0.25">
      <c r="A19" t="s">
        <v>1171</v>
      </c>
      <c r="B19">
        <v>24278.849280000002</v>
      </c>
      <c r="C19">
        <v>0.4630591128640813</v>
      </c>
      <c r="D19" t="str">
        <f t="shared" si="0"/>
        <v>A</v>
      </c>
    </row>
    <row r="20" spans="1:4" x14ac:dyDescent="0.25">
      <c r="A20" t="s">
        <v>1142</v>
      </c>
      <c r="B20">
        <v>23668.560000000001</v>
      </c>
      <c r="C20">
        <v>0.48069886915398813</v>
      </c>
      <c r="D20" t="str">
        <f t="shared" si="0"/>
        <v>A</v>
      </c>
    </row>
    <row r="21" spans="1:4" x14ac:dyDescent="0.25">
      <c r="A21" t="s">
        <v>1026</v>
      </c>
      <c r="B21">
        <v>23375.594060000003</v>
      </c>
      <c r="C21">
        <v>0.49812028314580648</v>
      </c>
      <c r="D21" t="str">
        <f t="shared" si="0"/>
        <v>A</v>
      </c>
    </row>
    <row r="22" spans="1:4" x14ac:dyDescent="0.25">
      <c r="A22" t="s">
        <v>1089</v>
      </c>
      <c r="B22">
        <v>23195.01828</v>
      </c>
      <c r="C22">
        <v>0.51540711722439569</v>
      </c>
      <c r="D22" t="str">
        <f t="shared" si="0"/>
        <v>A</v>
      </c>
    </row>
    <row r="23" spans="1:4" x14ac:dyDescent="0.25">
      <c r="A23" t="s">
        <v>1212</v>
      </c>
      <c r="B23">
        <v>22620.859800000002</v>
      </c>
      <c r="C23">
        <v>0.53226604121217302</v>
      </c>
      <c r="D23" t="str">
        <f t="shared" si="0"/>
        <v>A</v>
      </c>
    </row>
    <row r="24" spans="1:4" x14ac:dyDescent="0.25">
      <c r="A24" t="s">
        <v>1255</v>
      </c>
      <c r="B24">
        <v>22526.66</v>
      </c>
      <c r="C24">
        <v>0.54905475976647433</v>
      </c>
      <c r="D24" t="str">
        <f t="shared" si="0"/>
        <v>A</v>
      </c>
    </row>
    <row r="25" spans="1:4" x14ac:dyDescent="0.25">
      <c r="A25" t="s">
        <v>1270</v>
      </c>
      <c r="B25">
        <v>20430.771599999996</v>
      </c>
      <c r="C25">
        <v>0.56428145001880681</v>
      </c>
      <c r="D25" t="str">
        <f t="shared" si="0"/>
        <v>A</v>
      </c>
    </row>
    <row r="26" spans="1:4" x14ac:dyDescent="0.25">
      <c r="A26" t="s">
        <v>1285</v>
      </c>
      <c r="B26">
        <v>20163.409200000002</v>
      </c>
      <c r="C26">
        <v>0.57930887983547774</v>
      </c>
      <c r="D26" t="str">
        <f t="shared" si="0"/>
        <v>A</v>
      </c>
    </row>
    <row r="27" spans="1:4" x14ac:dyDescent="0.25">
      <c r="A27" t="s">
        <v>827</v>
      </c>
      <c r="B27">
        <v>20079.343620000003</v>
      </c>
      <c r="C27">
        <v>0.59427365707237323</v>
      </c>
      <c r="D27" t="str">
        <f t="shared" si="0"/>
        <v>A</v>
      </c>
    </row>
    <row r="28" spans="1:4" x14ac:dyDescent="0.25">
      <c r="A28" t="s">
        <v>1184</v>
      </c>
      <c r="B28">
        <v>19628.476999999999</v>
      </c>
      <c r="C28">
        <v>0.60890241144619406</v>
      </c>
      <c r="D28" t="str">
        <f t="shared" si="0"/>
        <v>A</v>
      </c>
    </row>
    <row r="29" spans="1:4" x14ac:dyDescent="0.25">
      <c r="A29" t="s">
        <v>1024</v>
      </c>
      <c r="B29">
        <v>19066.045319999997</v>
      </c>
      <c r="C29">
        <v>0.62311199550441809</v>
      </c>
      <c r="D29" t="str">
        <f t="shared" si="0"/>
        <v>A</v>
      </c>
    </row>
    <row r="30" spans="1:4" x14ac:dyDescent="0.25">
      <c r="A30" t="s">
        <v>995</v>
      </c>
      <c r="B30">
        <v>17964.4038</v>
      </c>
      <c r="C30">
        <v>0.63650054575527715</v>
      </c>
      <c r="D30" t="str">
        <f t="shared" si="0"/>
        <v>A</v>
      </c>
    </row>
    <row r="31" spans="1:4" x14ac:dyDescent="0.25">
      <c r="A31" t="s">
        <v>943</v>
      </c>
      <c r="B31">
        <v>17847.907199999998</v>
      </c>
      <c r="C31">
        <v>0.64980227316467065</v>
      </c>
      <c r="D31" t="str">
        <f t="shared" si="0"/>
        <v>A</v>
      </c>
    </row>
    <row r="32" spans="1:4" x14ac:dyDescent="0.25">
      <c r="A32" t="s">
        <v>800</v>
      </c>
      <c r="B32">
        <v>16013.681599999998</v>
      </c>
      <c r="C32">
        <v>0.66173698489737276</v>
      </c>
      <c r="D32" t="str">
        <f t="shared" si="0"/>
        <v>A</v>
      </c>
    </row>
    <row r="33" spans="1:4" x14ac:dyDescent="0.25">
      <c r="A33" t="s">
        <v>744</v>
      </c>
      <c r="B33">
        <v>16006.14344</v>
      </c>
      <c r="C33">
        <v>0.67366607857366279</v>
      </c>
      <c r="D33" t="str">
        <f t="shared" si="0"/>
        <v>A</v>
      </c>
    </row>
    <row r="34" spans="1:4" x14ac:dyDescent="0.25">
      <c r="A34" t="s">
        <v>1286</v>
      </c>
      <c r="B34">
        <v>15860.782080000001</v>
      </c>
      <c r="C34">
        <v>0.68548683701686852</v>
      </c>
      <c r="D34" t="str">
        <f t="shared" si="0"/>
        <v>A</v>
      </c>
    </row>
    <row r="35" spans="1:4" x14ac:dyDescent="0.25">
      <c r="A35" t="s">
        <v>1279</v>
      </c>
      <c r="B35">
        <v>15530.929919999999</v>
      </c>
      <c r="C35">
        <v>0.69706176251907148</v>
      </c>
      <c r="D35" t="str">
        <f t="shared" si="0"/>
        <v>A</v>
      </c>
    </row>
    <row r="36" spans="1:4" x14ac:dyDescent="0.25">
      <c r="A36" t="s">
        <v>784</v>
      </c>
      <c r="B36">
        <v>14894.903999999999</v>
      </c>
      <c r="C36">
        <v>0.70816266922913573</v>
      </c>
      <c r="D36" t="str">
        <f t="shared" si="0"/>
        <v>A</v>
      </c>
    </row>
    <row r="37" spans="1:4" x14ac:dyDescent="0.25">
      <c r="A37" t="s">
        <v>1188</v>
      </c>
      <c r="B37">
        <v>14752.706080000002</v>
      </c>
      <c r="C37">
        <v>0.71915759836161464</v>
      </c>
      <c r="D37" t="str">
        <f t="shared" si="0"/>
        <v>A</v>
      </c>
    </row>
    <row r="38" spans="1:4" x14ac:dyDescent="0.25">
      <c r="A38" t="s">
        <v>904</v>
      </c>
      <c r="B38">
        <v>14549.029120000001</v>
      </c>
      <c r="C38">
        <v>0.73000073068278482</v>
      </c>
      <c r="D38" t="str">
        <f t="shared" si="0"/>
        <v>A</v>
      </c>
    </row>
    <row r="39" spans="1:4" x14ac:dyDescent="0.25">
      <c r="A39" t="s">
        <v>1128</v>
      </c>
      <c r="B39">
        <v>14431.738420000001</v>
      </c>
      <c r="C39">
        <v>0.7407564483339002</v>
      </c>
      <c r="D39" t="str">
        <f t="shared" si="0"/>
        <v>A</v>
      </c>
    </row>
    <row r="40" spans="1:4" x14ac:dyDescent="0.25">
      <c r="A40" t="s">
        <v>1338</v>
      </c>
      <c r="B40">
        <v>13856.52411</v>
      </c>
      <c r="C40">
        <v>0.75108346900290657</v>
      </c>
      <c r="D40" t="str">
        <f t="shared" si="0"/>
        <v>A</v>
      </c>
    </row>
    <row r="41" spans="1:4" x14ac:dyDescent="0.25">
      <c r="A41" t="s">
        <v>881</v>
      </c>
      <c r="B41">
        <v>13321.14</v>
      </c>
      <c r="C41">
        <v>0.76101147742858732</v>
      </c>
      <c r="D41" t="str">
        <f t="shared" si="0"/>
        <v>A</v>
      </c>
    </row>
    <row r="42" spans="1:4" x14ac:dyDescent="0.25">
      <c r="A42" t="s">
        <v>1291</v>
      </c>
      <c r="B42">
        <v>13108.78584</v>
      </c>
      <c r="C42">
        <v>0.77078122208031863</v>
      </c>
      <c r="D42" t="str">
        <f t="shared" si="0"/>
        <v>A</v>
      </c>
    </row>
    <row r="43" spans="1:4" x14ac:dyDescent="0.25">
      <c r="A43" t="s">
        <v>1033</v>
      </c>
      <c r="B43">
        <v>12699.28</v>
      </c>
      <c r="C43">
        <v>0.78024576932177681</v>
      </c>
      <c r="D43" t="str">
        <f t="shared" si="0"/>
        <v>A</v>
      </c>
    </row>
    <row r="44" spans="1:4" x14ac:dyDescent="0.25">
      <c r="A44" t="s">
        <v>1321</v>
      </c>
      <c r="B44">
        <v>12040.64352</v>
      </c>
      <c r="C44">
        <v>0.78921944652336595</v>
      </c>
      <c r="D44" t="str">
        <f t="shared" si="0"/>
        <v>A</v>
      </c>
    </row>
    <row r="45" spans="1:4" x14ac:dyDescent="0.25">
      <c r="A45" t="s">
        <v>1227</v>
      </c>
      <c r="B45">
        <v>11859.695119999998</v>
      </c>
      <c r="C45">
        <v>0.79805826610467545</v>
      </c>
      <c r="D45" t="str">
        <f t="shared" si="0"/>
        <v>B</v>
      </c>
    </row>
    <row r="46" spans="1:4" x14ac:dyDescent="0.25">
      <c r="A46" t="s">
        <v>1046</v>
      </c>
      <c r="B46">
        <v>11283.400799999999</v>
      </c>
      <c r="C46">
        <v>0.80646758379165506</v>
      </c>
      <c r="D46" t="str">
        <f t="shared" si="0"/>
        <v>B</v>
      </c>
    </row>
    <row r="47" spans="1:4" x14ac:dyDescent="0.25">
      <c r="A47" t="s">
        <v>888</v>
      </c>
      <c r="B47">
        <v>11015.510400000003</v>
      </c>
      <c r="C47">
        <v>0.81467724753397541</v>
      </c>
      <c r="D47" t="str">
        <f t="shared" si="0"/>
        <v>B</v>
      </c>
    </row>
    <row r="48" spans="1:4" x14ac:dyDescent="0.25">
      <c r="A48" t="s">
        <v>756</v>
      </c>
      <c r="B48">
        <v>10936.992</v>
      </c>
      <c r="C48">
        <v>0.82282839291099297</v>
      </c>
      <c r="D48" t="str">
        <f t="shared" si="0"/>
        <v>B</v>
      </c>
    </row>
    <row r="49" spans="1:4" x14ac:dyDescent="0.25">
      <c r="A49" t="s">
        <v>1149</v>
      </c>
      <c r="B49">
        <v>10893.6232</v>
      </c>
      <c r="C49">
        <v>0.83094721629366075</v>
      </c>
      <c r="D49" t="str">
        <f t="shared" si="0"/>
        <v>B</v>
      </c>
    </row>
    <row r="50" spans="1:4" x14ac:dyDescent="0.25">
      <c r="A50" t="s">
        <v>1355</v>
      </c>
      <c r="B50">
        <v>10693.88488</v>
      </c>
      <c r="C50">
        <v>0.83891717826327439</v>
      </c>
      <c r="D50" t="str">
        <f t="shared" si="0"/>
        <v>B</v>
      </c>
    </row>
    <row r="51" spans="1:4" x14ac:dyDescent="0.25">
      <c r="A51" t="s">
        <v>804</v>
      </c>
      <c r="B51">
        <v>10647.727199999999</v>
      </c>
      <c r="C51">
        <v>0.84685273973593733</v>
      </c>
      <c r="D51" t="str">
        <f t="shared" si="0"/>
        <v>B</v>
      </c>
    </row>
    <row r="52" spans="1:4" x14ac:dyDescent="0.25">
      <c r="A52" t="s">
        <v>919</v>
      </c>
      <c r="B52">
        <v>10388.429999999998</v>
      </c>
      <c r="C52">
        <v>0.85459505162287752</v>
      </c>
      <c r="D52" t="str">
        <f t="shared" si="0"/>
        <v>B</v>
      </c>
    </row>
    <row r="53" spans="1:4" x14ac:dyDescent="0.25">
      <c r="A53" t="s">
        <v>892</v>
      </c>
      <c r="B53">
        <v>10382.65884</v>
      </c>
      <c r="C53">
        <v>0.86233306236703955</v>
      </c>
      <c r="D53" t="str">
        <f t="shared" si="0"/>
        <v>B</v>
      </c>
    </row>
    <row r="54" spans="1:4" x14ac:dyDescent="0.25">
      <c r="A54" t="s">
        <v>1059</v>
      </c>
      <c r="B54">
        <v>9829.0483199999999</v>
      </c>
      <c r="C54">
        <v>0.86965847704907007</v>
      </c>
      <c r="D54" t="str">
        <f t="shared" si="0"/>
        <v>B</v>
      </c>
    </row>
    <row r="55" spans="1:4" x14ac:dyDescent="0.25">
      <c r="A55" t="s">
        <v>1322</v>
      </c>
      <c r="B55">
        <v>9022.35</v>
      </c>
      <c r="C55">
        <v>0.876382673838492</v>
      </c>
      <c r="D55" t="str">
        <f t="shared" si="0"/>
        <v>B</v>
      </c>
    </row>
    <row r="56" spans="1:4" x14ac:dyDescent="0.25">
      <c r="A56" t="s">
        <v>1231</v>
      </c>
      <c r="B56">
        <v>8644.6696000000011</v>
      </c>
      <c r="C56">
        <v>0.88282539215134104</v>
      </c>
      <c r="D56" t="str">
        <f t="shared" si="0"/>
        <v>B</v>
      </c>
    </row>
    <row r="57" spans="1:4" x14ac:dyDescent="0.25">
      <c r="A57" t="s">
        <v>759</v>
      </c>
      <c r="B57">
        <v>8596.2905599999995</v>
      </c>
      <c r="C57">
        <v>0.88923205442718833</v>
      </c>
      <c r="D57" t="str">
        <f t="shared" si="0"/>
        <v>B</v>
      </c>
    </row>
    <row r="58" spans="1:4" x14ac:dyDescent="0.25">
      <c r="A58" t="s">
        <v>1326</v>
      </c>
      <c r="B58">
        <v>8366.02</v>
      </c>
      <c r="C58">
        <v>0.89546710015521258</v>
      </c>
      <c r="D58" t="str">
        <f t="shared" si="0"/>
        <v>B</v>
      </c>
    </row>
    <row r="59" spans="1:4" x14ac:dyDescent="0.25">
      <c r="A59" t="s">
        <v>1150</v>
      </c>
      <c r="B59">
        <v>7969.4615000000003</v>
      </c>
      <c r="C59">
        <v>0.90140659789490585</v>
      </c>
      <c r="D59" t="str">
        <f t="shared" si="0"/>
        <v>B</v>
      </c>
    </row>
    <row r="60" spans="1:4" x14ac:dyDescent="0.25">
      <c r="A60" t="s">
        <v>948</v>
      </c>
      <c r="B60">
        <v>7854.6693599999999</v>
      </c>
      <c r="C60">
        <v>0.90726054309681914</v>
      </c>
      <c r="D60" t="str">
        <f t="shared" si="0"/>
        <v>B</v>
      </c>
    </row>
    <row r="61" spans="1:4" x14ac:dyDescent="0.25">
      <c r="A61" t="s">
        <v>916</v>
      </c>
      <c r="B61">
        <v>7689.4560000000001</v>
      </c>
      <c r="C61">
        <v>0.91299135772356288</v>
      </c>
      <c r="D61" t="str">
        <f t="shared" si="0"/>
        <v>B</v>
      </c>
    </row>
    <row r="62" spans="1:4" x14ac:dyDescent="0.25">
      <c r="A62" t="s">
        <v>748</v>
      </c>
      <c r="B62">
        <v>7578.84</v>
      </c>
      <c r="C62">
        <v>0.91863973221530204</v>
      </c>
      <c r="D62" t="str">
        <f t="shared" si="0"/>
        <v>B</v>
      </c>
    </row>
    <row r="63" spans="1:4" x14ac:dyDescent="0.25">
      <c r="A63" t="s">
        <v>993</v>
      </c>
      <c r="B63">
        <v>7568.9632000000001</v>
      </c>
      <c r="C63">
        <v>0.92428074570388241</v>
      </c>
      <c r="D63" t="str">
        <f t="shared" si="0"/>
        <v>B</v>
      </c>
    </row>
    <row r="64" spans="1:4" x14ac:dyDescent="0.25">
      <c r="A64" t="s">
        <v>1225</v>
      </c>
      <c r="B64">
        <v>7507.4514899999995</v>
      </c>
      <c r="C64">
        <v>0.92987591561037009</v>
      </c>
      <c r="D64" t="str">
        <f t="shared" si="0"/>
        <v>B</v>
      </c>
    </row>
    <row r="65" spans="1:4" x14ac:dyDescent="0.25">
      <c r="A65" t="s">
        <v>1027</v>
      </c>
      <c r="B65">
        <v>7382.1450000000004</v>
      </c>
      <c r="C65">
        <v>0.93537769682125715</v>
      </c>
      <c r="D65" t="str">
        <f t="shared" si="0"/>
        <v>B</v>
      </c>
    </row>
    <row r="66" spans="1:4" x14ac:dyDescent="0.25">
      <c r="A66" t="s">
        <v>1004</v>
      </c>
      <c r="B66">
        <v>7235.2134999999998</v>
      </c>
      <c r="C66">
        <v>0.94076997260167827</v>
      </c>
      <c r="D66" t="str">
        <f t="shared" si="0"/>
        <v>B</v>
      </c>
    </row>
    <row r="67" spans="1:4" x14ac:dyDescent="0.25">
      <c r="A67" t="s">
        <v>1066</v>
      </c>
      <c r="B67">
        <v>7105.3528000000006</v>
      </c>
      <c r="C67">
        <v>0.94606546551488491</v>
      </c>
      <c r="D67" t="str">
        <f t="shared" ref="D67:D130" si="1">IF(C68&lt;=0.8,"A",IF(C68&lt;=0.95,"B","C"))</f>
        <v>C</v>
      </c>
    </row>
    <row r="68" spans="1:4" x14ac:dyDescent="0.25">
      <c r="A68" t="s">
        <v>1310</v>
      </c>
      <c r="B68">
        <v>6732.4334000000008</v>
      </c>
      <c r="C68">
        <v>0.9510830282400371</v>
      </c>
      <c r="D68" t="str">
        <f t="shared" si="1"/>
        <v>C</v>
      </c>
    </row>
    <row r="69" spans="1:4" x14ac:dyDescent="0.25">
      <c r="A69" t="s">
        <v>1011</v>
      </c>
      <c r="B69">
        <v>6066.54648</v>
      </c>
      <c r="C69">
        <v>0.95560431730150064</v>
      </c>
      <c r="D69" t="str">
        <f t="shared" si="1"/>
        <v>C</v>
      </c>
    </row>
    <row r="70" spans="1:4" x14ac:dyDescent="0.25">
      <c r="A70" t="s">
        <v>837</v>
      </c>
      <c r="B70">
        <v>5960.3340000000007</v>
      </c>
      <c r="C70">
        <v>0.96004644809299977</v>
      </c>
      <c r="D70" t="str">
        <f t="shared" si="1"/>
        <v>C</v>
      </c>
    </row>
    <row r="71" spans="1:4" x14ac:dyDescent="0.25">
      <c r="A71" t="s">
        <v>1067</v>
      </c>
      <c r="B71">
        <v>5610.0923999999995</v>
      </c>
      <c r="C71">
        <v>0.96422755005694938</v>
      </c>
      <c r="D71" t="str">
        <f t="shared" si="1"/>
        <v>C</v>
      </c>
    </row>
    <row r="72" spans="1:4" x14ac:dyDescent="0.25">
      <c r="A72" t="s">
        <v>961</v>
      </c>
      <c r="B72">
        <v>5533.6230000000005</v>
      </c>
      <c r="C72">
        <v>0.96835166073880841</v>
      </c>
      <c r="D72" t="str">
        <f t="shared" si="1"/>
        <v>C</v>
      </c>
    </row>
    <row r="73" spans="1:4" x14ac:dyDescent="0.25">
      <c r="A73" t="s">
        <v>791</v>
      </c>
      <c r="B73">
        <v>4790.1068000000005</v>
      </c>
      <c r="C73">
        <v>0.97192164203697873</v>
      </c>
      <c r="D73" t="str">
        <f t="shared" si="1"/>
        <v>C</v>
      </c>
    </row>
    <row r="74" spans="1:4" x14ac:dyDescent="0.25">
      <c r="A74" t="s">
        <v>1275</v>
      </c>
      <c r="B74">
        <v>4737.2198399999997</v>
      </c>
      <c r="C74">
        <v>0.97545220762564622</v>
      </c>
      <c r="D74" t="str">
        <f t="shared" si="1"/>
        <v>C</v>
      </c>
    </row>
    <row r="75" spans="1:4" x14ac:dyDescent="0.25">
      <c r="A75" t="s">
        <v>1303</v>
      </c>
      <c r="B75">
        <v>4577.1480000000001</v>
      </c>
      <c r="C75">
        <v>0.97886347452244238</v>
      </c>
      <c r="D75" t="str">
        <f t="shared" si="1"/>
        <v>C</v>
      </c>
    </row>
    <row r="76" spans="1:4" x14ac:dyDescent="0.25">
      <c r="A76" t="s">
        <v>793</v>
      </c>
      <c r="B76">
        <v>4569.8508000000002</v>
      </c>
      <c r="C76">
        <v>0.98226930294602344</v>
      </c>
      <c r="D76" t="str">
        <f t="shared" si="1"/>
        <v>C</v>
      </c>
    </row>
    <row r="77" spans="1:4" x14ac:dyDescent="0.25">
      <c r="A77" t="s">
        <v>865</v>
      </c>
      <c r="B77">
        <v>4417.8334199999999</v>
      </c>
      <c r="C77">
        <v>0.98556183552334142</v>
      </c>
      <c r="D77" t="str">
        <f t="shared" si="1"/>
        <v>C</v>
      </c>
    </row>
    <row r="78" spans="1:4" x14ac:dyDescent="0.25">
      <c r="A78" t="s">
        <v>1092</v>
      </c>
      <c r="B78">
        <v>4071.8</v>
      </c>
      <c r="C78">
        <v>0.98859647555472674</v>
      </c>
      <c r="D78" t="str">
        <f t="shared" si="1"/>
        <v>C</v>
      </c>
    </row>
    <row r="79" spans="1:4" x14ac:dyDescent="0.25">
      <c r="A79" t="s">
        <v>1072</v>
      </c>
      <c r="B79">
        <v>3021.5016000000001</v>
      </c>
      <c r="C79">
        <v>0.99084834689179013</v>
      </c>
      <c r="D79" t="str">
        <f t="shared" si="1"/>
        <v>C</v>
      </c>
    </row>
    <row r="80" spans="1:4" x14ac:dyDescent="0.25">
      <c r="A80" t="s">
        <v>1199</v>
      </c>
      <c r="B80">
        <v>2719.8567000000003</v>
      </c>
      <c r="C80">
        <v>0.99287540765642757</v>
      </c>
      <c r="D80" t="str">
        <f t="shared" si="1"/>
        <v>C</v>
      </c>
    </row>
    <row r="81" spans="1:4" x14ac:dyDescent="0.25">
      <c r="A81" t="s">
        <v>847</v>
      </c>
      <c r="B81">
        <v>2117.4834999999998</v>
      </c>
      <c r="C81">
        <v>0.99445353040187134</v>
      </c>
      <c r="D81" t="str">
        <f t="shared" si="1"/>
        <v>C</v>
      </c>
    </row>
    <row r="82" spans="1:4" x14ac:dyDescent="0.25">
      <c r="A82" t="s">
        <v>1223</v>
      </c>
      <c r="B82">
        <v>1547.3500000000001</v>
      </c>
      <c r="C82">
        <v>0.99560674280242245</v>
      </c>
      <c r="D82" t="str">
        <f t="shared" si="1"/>
        <v>C</v>
      </c>
    </row>
    <row r="83" spans="1:4" x14ac:dyDescent="0.25">
      <c r="A83" t="s">
        <v>873</v>
      </c>
      <c r="B83">
        <v>1446.9507000000001</v>
      </c>
      <c r="C83">
        <v>0.99668512939254494</v>
      </c>
      <c r="D83" t="str">
        <f t="shared" si="1"/>
        <v>C</v>
      </c>
    </row>
    <row r="84" spans="1:4" x14ac:dyDescent="0.25">
      <c r="A84" t="s">
        <v>1352</v>
      </c>
      <c r="B84">
        <v>1030.7574</v>
      </c>
      <c r="C84">
        <v>0.99745333452754337</v>
      </c>
      <c r="D84" t="str">
        <f t="shared" si="1"/>
        <v>C</v>
      </c>
    </row>
    <row r="85" spans="1:4" x14ac:dyDescent="0.25">
      <c r="A85" t="s">
        <v>1250</v>
      </c>
      <c r="B85">
        <v>1010.3759200000001</v>
      </c>
      <c r="C85">
        <v>0.99820634970844113</v>
      </c>
      <c r="D85" t="str">
        <f t="shared" si="1"/>
        <v>C</v>
      </c>
    </row>
    <row r="86" spans="1:4" x14ac:dyDescent="0.25">
      <c r="A86" t="s">
        <v>1194</v>
      </c>
      <c r="B86">
        <v>930.17574000000002</v>
      </c>
      <c r="C86">
        <v>0.99889959312335042</v>
      </c>
      <c r="D86" t="str">
        <f t="shared" si="1"/>
        <v>C</v>
      </c>
    </row>
    <row r="87" spans="1:4" x14ac:dyDescent="0.25">
      <c r="A87" t="s">
        <v>955</v>
      </c>
      <c r="B87">
        <v>908.03700000000003</v>
      </c>
      <c r="C87">
        <v>0.99957633692957348</v>
      </c>
      <c r="D87" t="str">
        <f t="shared" si="1"/>
        <v>C</v>
      </c>
    </row>
    <row r="88" spans="1:4" x14ac:dyDescent="0.25">
      <c r="A88" t="s">
        <v>843</v>
      </c>
      <c r="B88">
        <v>549.80010000000004</v>
      </c>
      <c r="C88">
        <v>0.99998609315353337</v>
      </c>
      <c r="D88" t="str">
        <f t="shared" si="1"/>
        <v>C</v>
      </c>
    </row>
    <row r="89" spans="1:4" x14ac:dyDescent="0.25">
      <c r="A89" t="s">
        <v>914</v>
      </c>
      <c r="B89">
        <v>18.659839999999999</v>
      </c>
      <c r="C89">
        <v>1.0000000000000002</v>
      </c>
      <c r="D89" t="str">
        <f t="shared" si="1"/>
        <v>C</v>
      </c>
    </row>
    <row r="90" spans="1:4" x14ac:dyDescent="0.25">
      <c r="A90" t="s">
        <v>792</v>
      </c>
      <c r="B90">
        <v>0</v>
      </c>
      <c r="C90">
        <v>1.0000000000000002</v>
      </c>
      <c r="D90" t="str">
        <f t="shared" si="1"/>
        <v>A</v>
      </c>
    </row>
    <row r="91" spans="1:4" x14ac:dyDescent="0.25">
      <c r="A91" t="s">
        <v>727</v>
      </c>
      <c r="B91">
        <v>1550200.534329999</v>
      </c>
      <c r="D91" t="str">
        <f t="shared" si="1"/>
        <v>A</v>
      </c>
    </row>
    <row r="92" spans="1:4" x14ac:dyDescent="0.25">
      <c r="A92" t="s">
        <v>971</v>
      </c>
      <c r="B92">
        <v>139277.83032000001</v>
      </c>
      <c r="C92">
        <v>8.9845040841891002E-2</v>
      </c>
      <c r="D92" t="str">
        <f t="shared" si="1"/>
        <v>A</v>
      </c>
    </row>
    <row r="93" spans="1:4" x14ac:dyDescent="0.25">
      <c r="A93" t="s">
        <v>1198</v>
      </c>
      <c r="B93">
        <v>84136.119600000005</v>
      </c>
      <c r="C93">
        <v>0.14411938647444741</v>
      </c>
      <c r="D93" t="str">
        <f t="shared" si="1"/>
        <v>A</v>
      </c>
    </row>
    <row r="94" spans="1:4" x14ac:dyDescent="0.25">
      <c r="A94" t="s">
        <v>860</v>
      </c>
      <c r="B94">
        <v>65111.38614000001</v>
      </c>
      <c r="C94">
        <v>0.18612129829041857</v>
      </c>
      <c r="D94" t="str">
        <f t="shared" si="1"/>
        <v>A</v>
      </c>
    </row>
    <row r="95" spans="1:4" x14ac:dyDescent="0.25">
      <c r="A95" t="s">
        <v>743</v>
      </c>
      <c r="B95">
        <v>60928.502359999999</v>
      </c>
      <c r="C95">
        <v>0.22542492450567689</v>
      </c>
      <c r="D95" t="str">
        <f t="shared" si="1"/>
        <v>A</v>
      </c>
    </row>
    <row r="96" spans="1:4" x14ac:dyDescent="0.25">
      <c r="A96" t="s">
        <v>1125</v>
      </c>
      <c r="B96">
        <v>52361.645000000004</v>
      </c>
      <c r="C96">
        <v>0.25920226094726884</v>
      </c>
      <c r="D96" t="str">
        <f t="shared" si="1"/>
        <v>A</v>
      </c>
    </row>
    <row r="97" spans="1:4" x14ac:dyDescent="0.25">
      <c r="A97" t="s">
        <v>1245</v>
      </c>
      <c r="B97">
        <v>50296.415399999998</v>
      </c>
      <c r="C97">
        <v>0.29164736355571186</v>
      </c>
      <c r="D97" t="str">
        <f t="shared" si="1"/>
        <v>A</v>
      </c>
    </row>
    <row r="98" spans="1:4" x14ac:dyDescent="0.25">
      <c r="A98" t="s">
        <v>1351</v>
      </c>
      <c r="B98">
        <v>41419.524249999995</v>
      </c>
      <c r="C98">
        <v>0.31836618046535875</v>
      </c>
      <c r="D98" t="str">
        <f t="shared" si="1"/>
        <v>A</v>
      </c>
    </row>
    <row r="99" spans="1:4" x14ac:dyDescent="0.25">
      <c r="A99" t="s">
        <v>1361</v>
      </c>
      <c r="B99">
        <v>40476.013200000001</v>
      </c>
      <c r="C99">
        <v>0.3444763593123128</v>
      </c>
      <c r="D99" t="str">
        <f t="shared" si="1"/>
        <v>A</v>
      </c>
    </row>
    <row r="100" spans="1:4" x14ac:dyDescent="0.25">
      <c r="A100" t="s">
        <v>794</v>
      </c>
      <c r="B100">
        <v>33687.501800000005</v>
      </c>
      <c r="C100">
        <v>0.36620741994219436</v>
      </c>
      <c r="D100" t="str">
        <f t="shared" si="1"/>
        <v>A</v>
      </c>
    </row>
    <row r="101" spans="1:4" x14ac:dyDescent="0.25">
      <c r="A101" t="s">
        <v>1247</v>
      </c>
      <c r="B101">
        <v>33308.550000000003</v>
      </c>
      <c r="C101">
        <v>0.38769402716646301</v>
      </c>
      <c r="D101" t="str">
        <f t="shared" si="1"/>
        <v>A</v>
      </c>
    </row>
    <row r="102" spans="1:4" x14ac:dyDescent="0.25">
      <c r="A102" t="s">
        <v>1238</v>
      </c>
      <c r="B102">
        <v>32335.21802</v>
      </c>
      <c r="C102">
        <v>0.4085527595071633</v>
      </c>
      <c r="D102" t="str">
        <f t="shared" si="1"/>
        <v>A</v>
      </c>
    </row>
    <row r="103" spans="1:4" x14ac:dyDescent="0.25">
      <c r="A103" t="s">
        <v>795</v>
      </c>
      <c r="B103">
        <v>27701.570400000001</v>
      </c>
      <c r="C103">
        <v>0.42642242848645612</v>
      </c>
      <c r="D103" t="str">
        <f t="shared" si="1"/>
        <v>A</v>
      </c>
    </row>
    <row r="104" spans="1:4" x14ac:dyDescent="0.25">
      <c r="A104" t="s">
        <v>844</v>
      </c>
      <c r="B104">
        <v>27676.35</v>
      </c>
      <c r="C104">
        <v>0.44427582834479235</v>
      </c>
      <c r="D104" t="str">
        <f t="shared" si="1"/>
        <v>A</v>
      </c>
    </row>
    <row r="105" spans="1:4" x14ac:dyDescent="0.25">
      <c r="A105" t="s">
        <v>768</v>
      </c>
      <c r="B105">
        <v>27331.829999999998</v>
      </c>
      <c r="C105">
        <v>0.46190698598841484</v>
      </c>
      <c r="D105" t="str">
        <f t="shared" si="1"/>
        <v>A</v>
      </c>
    </row>
    <row r="106" spans="1:4" x14ac:dyDescent="0.25">
      <c r="A106" t="s">
        <v>1082</v>
      </c>
      <c r="B106">
        <v>27158.894079999998</v>
      </c>
      <c r="C106">
        <v>0.47942658650367209</v>
      </c>
      <c r="D106" t="str">
        <f t="shared" si="1"/>
        <v>A</v>
      </c>
    </row>
    <row r="107" spans="1:4" x14ac:dyDescent="0.25">
      <c r="A107" t="s">
        <v>1058</v>
      </c>
      <c r="B107">
        <v>26015.449459999996</v>
      </c>
      <c r="C107">
        <v>0.49620857624233777</v>
      </c>
      <c r="D107" t="str">
        <f t="shared" si="1"/>
        <v>A</v>
      </c>
    </row>
    <row r="108" spans="1:4" x14ac:dyDescent="0.25">
      <c r="A108" t="s">
        <v>1034</v>
      </c>
      <c r="B108">
        <v>25577.274079999999</v>
      </c>
      <c r="C108">
        <v>0.51270790875679506</v>
      </c>
      <c r="D108" t="str">
        <f t="shared" si="1"/>
        <v>A</v>
      </c>
    </row>
    <row r="109" spans="1:4" x14ac:dyDescent="0.25">
      <c r="A109" t="s">
        <v>1201</v>
      </c>
      <c r="B109">
        <v>25269.09</v>
      </c>
      <c r="C109">
        <v>0.52900843855303936</v>
      </c>
      <c r="D109" t="str">
        <f t="shared" si="1"/>
        <v>A</v>
      </c>
    </row>
    <row r="110" spans="1:4" x14ac:dyDescent="0.25">
      <c r="A110" t="s">
        <v>1319</v>
      </c>
      <c r="B110">
        <v>25131.155999999999</v>
      </c>
      <c r="C110">
        <v>0.54521999018359124</v>
      </c>
      <c r="D110" t="str">
        <f t="shared" si="1"/>
        <v>A</v>
      </c>
    </row>
    <row r="111" spans="1:4" x14ac:dyDescent="0.25">
      <c r="A111" t="s">
        <v>758</v>
      </c>
      <c r="B111">
        <v>24894.430559999997</v>
      </c>
      <c r="C111">
        <v>0.56127883548050594</v>
      </c>
      <c r="D111" t="str">
        <f t="shared" si="1"/>
        <v>A</v>
      </c>
    </row>
    <row r="112" spans="1:4" x14ac:dyDescent="0.25">
      <c r="A112" t="s">
        <v>1192</v>
      </c>
      <c r="B112">
        <v>24321.57</v>
      </c>
      <c r="C112">
        <v>0.57696814112928241</v>
      </c>
      <c r="D112" t="str">
        <f t="shared" si="1"/>
        <v>A</v>
      </c>
    </row>
    <row r="113" spans="1:4" x14ac:dyDescent="0.25">
      <c r="A113" t="s">
        <v>891</v>
      </c>
      <c r="B113">
        <v>24147.922500000001</v>
      </c>
      <c r="C113">
        <v>0.59254543062521003</v>
      </c>
      <c r="D113" t="str">
        <f t="shared" si="1"/>
        <v>A</v>
      </c>
    </row>
    <row r="114" spans="1:4" x14ac:dyDescent="0.25">
      <c r="A114" t="s">
        <v>1185</v>
      </c>
      <c r="B114">
        <v>23694.405119999999</v>
      </c>
      <c r="C114">
        <v>0.60783016611282925</v>
      </c>
      <c r="D114" t="str">
        <f t="shared" si="1"/>
        <v>A</v>
      </c>
    </row>
    <row r="115" spans="1:4" x14ac:dyDescent="0.25">
      <c r="A115" t="s">
        <v>994</v>
      </c>
      <c r="B115">
        <v>22882.675440000003</v>
      </c>
      <c r="C115">
        <v>0.6225912727782259</v>
      </c>
      <c r="D115" t="str">
        <f t="shared" si="1"/>
        <v>A</v>
      </c>
    </row>
    <row r="116" spans="1:4" x14ac:dyDescent="0.25">
      <c r="A116" t="s">
        <v>812</v>
      </c>
      <c r="B116">
        <v>21787.936199999996</v>
      </c>
      <c r="C116">
        <v>0.63664618742797263</v>
      </c>
      <c r="D116" t="str">
        <f t="shared" si="1"/>
        <v>A</v>
      </c>
    </row>
    <row r="117" spans="1:4" x14ac:dyDescent="0.25">
      <c r="A117" t="s">
        <v>1099</v>
      </c>
      <c r="B117">
        <v>21584.693520000001</v>
      </c>
      <c r="C117">
        <v>0.65056999473031563</v>
      </c>
      <c r="D117" t="str">
        <f t="shared" si="1"/>
        <v>A</v>
      </c>
    </row>
    <row r="118" spans="1:4" x14ac:dyDescent="0.25">
      <c r="A118" t="s">
        <v>1127</v>
      </c>
      <c r="B118">
        <v>19800.88896</v>
      </c>
      <c r="C118">
        <v>0.66334310925421047</v>
      </c>
      <c r="D118" t="str">
        <f t="shared" si="1"/>
        <v>A</v>
      </c>
    </row>
    <row r="119" spans="1:4" x14ac:dyDescent="0.25">
      <c r="A119" t="s">
        <v>990</v>
      </c>
      <c r="B119">
        <v>19073.059649999999</v>
      </c>
      <c r="C119">
        <v>0.67564671722467429</v>
      </c>
      <c r="D119" t="str">
        <f t="shared" si="1"/>
        <v>A</v>
      </c>
    </row>
    <row r="120" spans="1:4" x14ac:dyDescent="0.25">
      <c r="A120" t="s">
        <v>770</v>
      </c>
      <c r="B120">
        <v>18957.37689</v>
      </c>
      <c r="C120">
        <v>0.68787570081110661</v>
      </c>
      <c r="D120" t="str">
        <f t="shared" si="1"/>
        <v>A</v>
      </c>
    </row>
    <row r="121" spans="1:4" x14ac:dyDescent="0.25">
      <c r="A121" t="s">
        <v>1101</v>
      </c>
      <c r="B121">
        <v>18554.370299999999</v>
      </c>
      <c r="C121">
        <v>0.69984471378014113</v>
      </c>
      <c r="D121" t="str">
        <f t="shared" si="1"/>
        <v>A</v>
      </c>
    </row>
    <row r="122" spans="1:4" x14ac:dyDescent="0.25">
      <c r="A122" t="s">
        <v>944</v>
      </c>
      <c r="B122">
        <v>18061.204320000004</v>
      </c>
      <c r="C122">
        <v>0.71149559630793369</v>
      </c>
      <c r="D122" t="str">
        <f t="shared" si="1"/>
        <v>A</v>
      </c>
    </row>
    <row r="123" spans="1:4" x14ac:dyDescent="0.25">
      <c r="A123" t="s">
        <v>778</v>
      </c>
      <c r="B123">
        <v>17930.494560000003</v>
      </c>
      <c r="C123">
        <v>0.72306216086711161</v>
      </c>
      <c r="D123" t="str">
        <f t="shared" si="1"/>
        <v>A</v>
      </c>
    </row>
    <row r="124" spans="1:4" x14ac:dyDescent="0.25">
      <c r="A124" t="s">
        <v>1001</v>
      </c>
      <c r="B124">
        <v>17594.028880000002</v>
      </c>
      <c r="C124">
        <v>0.73441167887486036</v>
      </c>
      <c r="D124" t="str">
        <f t="shared" si="1"/>
        <v>A</v>
      </c>
    </row>
    <row r="125" spans="1:4" x14ac:dyDescent="0.25">
      <c r="A125" t="s">
        <v>1298</v>
      </c>
      <c r="B125">
        <v>17540.201120000002</v>
      </c>
      <c r="C125">
        <v>0.74572647378788171</v>
      </c>
      <c r="D125" t="str">
        <f t="shared" si="1"/>
        <v>A</v>
      </c>
    </row>
    <row r="126" spans="1:4" x14ac:dyDescent="0.25">
      <c r="A126" t="s">
        <v>1135</v>
      </c>
      <c r="B126">
        <v>16946.091840000001</v>
      </c>
      <c r="C126">
        <v>0.75665802197453236</v>
      </c>
      <c r="D126" t="str">
        <f t="shared" si="1"/>
        <v>A</v>
      </c>
    </row>
    <row r="127" spans="1:4" x14ac:dyDescent="0.25">
      <c r="A127" t="s">
        <v>1205</v>
      </c>
      <c r="B127">
        <v>15374.563199999999</v>
      </c>
      <c r="C127">
        <v>0.76657581187301471</v>
      </c>
      <c r="D127" t="str">
        <f t="shared" si="1"/>
        <v>A</v>
      </c>
    </row>
    <row r="128" spans="1:4" x14ac:dyDescent="0.25">
      <c r="A128" t="s">
        <v>1111</v>
      </c>
      <c r="B128">
        <v>15348.702599999999</v>
      </c>
      <c r="C128">
        <v>0.77647691967171228</v>
      </c>
      <c r="D128" t="str">
        <f t="shared" si="1"/>
        <v>A</v>
      </c>
    </row>
    <row r="129" spans="1:4" x14ac:dyDescent="0.25">
      <c r="A129" t="s">
        <v>968</v>
      </c>
      <c r="B129">
        <v>14269.848599999999</v>
      </c>
      <c r="C129">
        <v>0.78568208267094153</v>
      </c>
      <c r="D129" t="str">
        <f t="shared" si="1"/>
        <v>A</v>
      </c>
    </row>
    <row r="130" spans="1:4" x14ac:dyDescent="0.25">
      <c r="A130" t="s">
        <v>820</v>
      </c>
      <c r="B130">
        <v>14197.064400000001</v>
      </c>
      <c r="C130">
        <v>0.79484029419622404</v>
      </c>
      <c r="D130" t="str">
        <f t="shared" si="1"/>
        <v>B</v>
      </c>
    </row>
    <row r="131" spans="1:4" x14ac:dyDescent="0.25">
      <c r="A131" t="s">
        <v>1358</v>
      </c>
      <c r="B131">
        <v>13983.752729999998</v>
      </c>
      <c r="C131">
        <v>0.80386090309186209</v>
      </c>
      <c r="D131" t="str">
        <f t="shared" ref="D131:D194" si="2">IF(C132&lt;=0.8,"A",IF(C132&lt;=0.95,"B","C"))</f>
        <v>B</v>
      </c>
    </row>
    <row r="132" spans="1:4" x14ac:dyDescent="0.25">
      <c r="A132" t="s">
        <v>954</v>
      </c>
      <c r="B132">
        <v>13519.529099999998</v>
      </c>
      <c r="C132">
        <v>0.8125820516146518</v>
      </c>
      <c r="D132" t="str">
        <f t="shared" si="2"/>
        <v>B</v>
      </c>
    </row>
    <row r="133" spans="1:4" x14ac:dyDescent="0.25">
      <c r="A133" t="s">
        <v>1131</v>
      </c>
      <c r="B133">
        <v>13185.543</v>
      </c>
      <c r="C133">
        <v>0.82108775310810334</v>
      </c>
      <c r="D133" t="str">
        <f t="shared" si="2"/>
        <v>B</v>
      </c>
    </row>
    <row r="134" spans="1:4" x14ac:dyDescent="0.25">
      <c r="A134" t="s">
        <v>819</v>
      </c>
      <c r="B134">
        <v>13146.470699999998</v>
      </c>
      <c r="C134">
        <v>0.82956824992697575</v>
      </c>
      <c r="D134" t="str">
        <f t="shared" si="2"/>
        <v>B</v>
      </c>
    </row>
    <row r="135" spans="1:4" x14ac:dyDescent="0.25">
      <c r="A135" t="s">
        <v>984</v>
      </c>
      <c r="B135">
        <v>12186.368600000002</v>
      </c>
      <c r="C135">
        <v>0.83742940616458927</v>
      </c>
      <c r="D135" t="str">
        <f t="shared" si="2"/>
        <v>B</v>
      </c>
    </row>
    <row r="136" spans="1:4" x14ac:dyDescent="0.25">
      <c r="A136" t="s">
        <v>839</v>
      </c>
      <c r="B136">
        <v>12080.215199999999</v>
      </c>
      <c r="C136">
        <v>0.84522208519706099</v>
      </c>
      <c r="D136" t="str">
        <f t="shared" si="2"/>
        <v>B</v>
      </c>
    </row>
    <row r="137" spans="1:4" x14ac:dyDescent="0.25">
      <c r="A137" t="s">
        <v>771</v>
      </c>
      <c r="B137">
        <v>11995.153920000001</v>
      </c>
      <c r="C137">
        <v>0.85295989308343512</v>
      </c>
      <c r="D137" t="str">
        <f t="shared" si="2"/>
        <v>B</v>
      </c>
    </row>
    <row r="138" spans="1:4" x14ac:dyDescent="0.25">
      <c r="A138" t="s">
        <v>1323</v>
      </c>
      <c r="B138">
        <v>11742.8703</v>
      </c>
      <c r="C138">
        <v>0.86053495839914629</v>
      </c>
      <c r="D138" t="str">
        <f t="shared" si="2"/>
        <v>B</v>
      </c>
    </row>
    <row r="139" spans="1:4" x14ac:dyDescent="0.25">
      <c r="A139" t="s">
        <v>1023</v>
      </c>
      <c r="B139">
        <v>10456.416880000001</v>
      </c>
      <c r="C139">
        <v>0.8672801611315909</v>
      </c>
      <c r="D139" t="str">
        <f t="shared" si="2"/>
        <v>B</v>
      </c>
    </row>
    <row r="140" spans="1:4" x14ac:dyDescent="0.25">
      <c r="A140" t="s">
        <v>764</v>
      </c>
      <c r="B140">
        <v>9805.8573800000013</v>
      </c>
      <c r="C140">
        <v>0.87360570235212598</v>
      </c>
      <c r="D140" t="str">
        <f t="shared" si="2"/>
        <v>B</v>
      </c>
    </row>
    <row r="141" spans="1:4" x14ac:dyDescent="0.25">
      <c r="A141" t="s">
        <v>870</v>
      </c>
      <c r="B141">
        <v>9698.1638399999993</v>
      </c>
      <c r="C141">
        <v>0.87986177285734724</v>
      </c>
      <c r="D141" t="str">
        <f t="shared" si="2"/>
        <v>B</v>
      </c>
    </row>
    <row r="142" spans="1:4" x14ac:dyDescent="0.25">
      <c r="A142" t="s">
        <v>803</v>
      </c>
      <c r="B142">
        <v>8930.7124999999996</v>
      </c>
      <c r="C142">
        <v>0.88562277751592178</v>
      </c>
      <c r="D142" t="str">
        <f t="shared" si="2"/>
        <v>B</v>
      </c>
    </row>
    <row r="143" spans="1:4" x14ac:dyDescent="0.25">
      <c r="A143" t="s">
        <v>905</v>
      </c>
      <c r="B143">
        <v>8928.9795999999988</v>
      </c>
      <c r="C143">
        <v>0.89138266431912117</v>
      </c>
      <c r="D143" t="str">
        <f t="shared" si="2"/>
        <v>B</v>
      </c>
    </row>
    <row r="144" spans="1:4" x14ac:dyDescent="0.25">
      <c r="A144" t="s">
        <v>859</v>
      </c>
      <c r="B144">
        <v>8909.8587200000002</v>
      </c>
      <c r="C144">
        <v>0.89713021666650228</v>
      </c>
      <c r="D144" t="str">
        <f t="shared" si="2"/>
        <v>B</v>
      </c>
    </row>
    <row r="145" spans="1:4" x14ac:dyDescent="0.25">
      <c r="A145" t="s">
        <v>1028</v>
      </c>
      <c r="B145">
        <v>8903.4839999999986</v>
      </c>
      <c r="C145">
        <v>0.90287365682332565</v>
      </c>
      <c r="D145" t="str">
        <f t="shared" si="2"/>
        <v>B</v>
      </c>
    </row>
    <row r="146" spans="1:4" x14ac:dyDescent="0.25">
      <c r="A146" t="s">
        <v>1049</v>
      </c>
      <c r="B146">
        <v>8780.5809000000008</v>
      </c>
      <c r="C146">
        <v>0.90853781491484309</v>
      </c>
      <c r="D146" t="str">
        <f t="shared" si="2"/>
        <v>B</v>
      </c>
    </row>
    <row r="147" spans="1:4" x14ac:dyDescent="0.25">
      <c r="A147" t="s">
        <v>1328</v>
      </c>
      <c r="B147">
        <v>8128.5187499999993</v>
      </c>
      <c r="C147">
        <v>0.91378134216824658</v>
      </c>
      <c r="D147" t="str">
        <f t="shared" si="2"/>
        <v>B</v>
      </c>
    </row>
    <row r="148" spans="1:4" x14ac:dyDescent="0.25">
      <c r="A148" t="s">
        <v>1137</v>
      </c>
      <c r="B148">
        <v>7832.0010999999995</v>
      </c>
      <c r="C148">
        <v>0.9188335924588098</v>
      </c>
      <c r="D148" t="str">
        <f t="shared" si="2"/>
        <v>B</v>
      </c>
    </row>
    <row r="149" spans="1:4" x14ac:dyDescent="0.25">
      <c r="A149" t="s">
        <v>1253</v>
      </c>
      <c r="B149">
        <v>7399.4832000000006</v>
      </c>
      <c r="C149">
        <v>0.92360683504009822</v>
      </c>
      <c r="D149" t="str">
        <f t="shared" si="2"/>
        <v>B</v>
      </c>
    </row>
    <row r="150" spans="1:4" x14ac:dyDescent="0.25">
      <c r="A150" t="s">
        <v>1170</v>
      </c>
      <c r="B150">
        <v>7340.3891399999993</v>
      </c>
      <c r="C150">
        <v>0.92834195735327207</v>
      </c>
      <c r="D150" t="str">
        <f t="shared" si="2"/>
        <v>B</v>
      </c>
    </row>
    <row r="151" spans="1:4" x14ac:dyDescent="0.25">
      <c r="A151" t="s">
        <v>809</v>
      </c>
      <c r="B151">
        <v>6874.4828600000001</v>
      </c>
      <c r="C151">
        <v>0.93277653385338366</v>
      </c>
      <c r="D151" t="str">
        <f t="shared" si="2"/>
        <v>B</v>
      </c>
    </row>
    <row r="152" spans="1:4" x14ac:dyDescent="0.25">
      <c r="A152" t="s">
        <v>1293</v>
      </c>
      <c r="B152">
        <v>6766.9829999999993</v>
      </c>
      <c r="C152">
        <v>0.93714176457685561</v>
      </c>
      <c r="D152" t="str">
        <f t="shared" si="2"/>
        <v>B</v>
      </c>
    </row>
    <row r="153" spans="1:4" x14ac:dyDescent="0.25">
      <c r="A153" t="s">
        <v>940</v>
      </c>
      <c r="B153">
        <v>6702.3501999999999</v>
      </c>
      <c r="C153">
        <v>0.94146530211382129</v>
      </c>
      <c r="D153" t="str">
        <f t="shared" si="2"/>
        <v>B</v>
      </c>
    </row>
    <row r="154" spans="1:4" x14ac:dyDescent="0.25">
      <c r="A154" t="s">
        <v>1224</v>
      </c>
      <c r="B154">
        <v>6664.0999999999995</v>
      </c>
      <c r="C154">
        <v>0.94576416529469376</v>
      </c>
      <c r="D154" t="str">
        <f t="shared" si="2"/>
        <v>B</v>
      </c>
    </row>
    <row r="155" spans="1:4" x14ac:dyDescent="0.25">
      <c r="A155" t="s">
        <v>1257</v>
      </c>
      <c r="B155">
        <v>6435.2555999999995</v>
      </c>
      <c r="C155">
        <v>0.9499154060261269</v>
      </c>
      <c r="D155" t="str">
        <f t="shared" si="2"/>
        <v>C</v>
      </c>
    </row>
    <row r="156" spans="1:4" x14ac:dyDescent="0.25">
      <c r="A156" t="s">
        <v>835</v>
      </c>
      <c r="B156">
        <v>6324.5775999999996</v>
      </c>
      <c r="C156">
        <v>0.9539952508332592</v>
      </c>
      <c r="D156" t="str">
        <f t="shared" si="2"/>
        <v>C</v>
      </c>
    </row>
    <row r="157" spans="1:4" x14ac:dyDescent="0.25">
      <c r="A157" t="s">
        <v>1313</v>
      </c>
      <c r="B157">
        <v>6137.8019999999988</v>
      </c>
      <c r="C157">
        <v>0.95795461084125499</v>
      </c>
      <c r="D157" t="str">
        <f t="shared" si="2"/>
        <v>C</v>
      </c>
    </row>
    <row r="158" spans="1:4" x14ac:dyDescent="0.25">
      <c r="A158" t="s">
        <v>1218</v>
      </c>
      <c r="B158">
        <v>6063.2517199999993</v>
      </c>
      <c r="C158">
        <v>0.9618658801162463</v>
      </c>
      <c r="D158" t="str">
        <f t="shared" si="2"/>
        <v>C</v>
      </c>
    </row>
    <row r="159" spans="1:4" x14ac:dyDescent="0.25">
      <c r="A159" t="s">
        <v>895</v>
      </c>
      <c r="B159">
        <v>5650.1744000000008</v>
      </c>
      <c r="C159">
        <v>0.96551068236916382</v>
      </c>
      <c r="D159" t="str">
        <f t="shared" si="2"/>
        <v>C</v>
      </c>
    </row>
    <row r="160" spans="1:4" x14ac:dyDescent="0.25">
      <c r="A160" t="s">
        <v>816</v>
      </c>
      <c r="B160">
        <v>5331.6696000000002</v>
      </c>
      <c r="C160">
        <v>0.96895002423618504</v>
      </c>
      <c r="D160" t="str">
        <f t="shared" si="2"/>
        <v>C</v>
      </c>
    </row>
    <row r="161" spans="1:4" x14ac:dyDescent="0.25">
      <c r="A161" t="s">
        <v>746</v>
      </c>
      <c r="B161">
        <v>4968.5039999999999</v>
      </c>
      <c r="C161">
        <v>0.9721550960252664</v>
      </c>
      <c r="D161" t="str">
        <f t="shared" si="2"/>
        <v>C</v>
      </c>
    </row>
    <row r="162" spans="1:4" x14ac:dyDescent="0.25">
      <c r="A162" t="s">
        <v>734</v>
      </c>
      <c r="B162">
        <v>4866.3287999999993</v>
      </c>
      <c r="C162">
        <v>0.97529425685783788</v>
      </c>
      <c r="D162" t="str">
        <f t="shared" si="2"/>
        <v>C</v>
      </c>
    </row>
    <row r="163" spans="1:4" x14ac:dyDescent="0.25">
      <c r="A163" t="s">
        <v>808</v>
      </c>
      <c r="B163">
        <v>4717.72</v>
      </c>
      <c r="C163">
        <v>0.97833755344787476</v>
      </c>
      <c r="D163" t="str">
        <f t="shared" si="2"/>
        <v>C</v>
      </c>
    </row>
    <row r="164" spans="1:4" x14ac:dyDescent="0.25">
      <c r="A164" t="s">
        <v>956</v>
      </c>
      <c r="B164">
        <v>4503.4363999999996</v>
      </c>
      <c r="C164">
        <v>0.98124262043777</v>
      </c>
      <c r="D164" t="str">
        <f t="shared" si="2"/>
        <v>C</v>
      </c>
    </row>
    <row r="165" spans="1:4" x14ac:dyDescent="0.25">
      <c r="A165" t="s">
        <v>1210</v>
      </c>
      <c r="B165">
        <v>4212.3745999999992</v>
      </c>
      <c r="C165">
        <v>0.98395992991271519</v>
      </c>
      <c r="D165" t="str">
        <f t="shared" si="2"/>
        <v>C</v>
      </c>
    </row>
    <row r="166" spans="1:4" x14ac:dyDescent="0.25">
      <c r="A166" t="s">
        <v>1244</v>
      </c>
      <c r="B166">
        <v>3525.5505600000001</v>
      </c>
      <c r="C166">
        <v>0.98623418442490551</v>
      </c>
      <c r="D166" t="str">
        <f t="shared" si="2"/>
        <v>C</v>
      </c>
    </row>
    <row r="167" spans="1:4" x14ac:dyDescent="0.25">
      <c r="A167" t="s">
        <v>1302</v>
      </c>
      <c r="B167">
        <v>3378.1478400000001</v>
      </c>
      <c r="C167">
        <v>0.98841335271003328</v>
      </c>
      <c r="D167" t="str">
        <f t="shared" si="2"/>
        <v>C</v>
      </c>
    </row>
    <row r="168" spans="1:4" x14ac:dyDescent="0.25">
      <c r="A168" t="s">
        <v>1060</v>
      </c>
      <c r="B168">
        <v>2373.9623200000001</v>
      </c>
      <c r="C168">
        <v>0.98994474317689696</v>
      </c>
      <c r="D168" t="str">
        <f t="shared" si="2"/>
        <v>C</v>
      </c>
    </row>
    <row r="169" spans="1:4" x14ac:dyDescent="0.25">
      <c r="A169" t="s">
        <v>903</v>
      </c>
      <c r="B169">
        <v>2316.2621999999997</v>
      </c>
      <c r="C169">
        <v>0.99143891257543937</v>
      </c>
      <c r="D169" t="str">
        <f t="shared" si="2"/>
        <v>C</v>
      </c>
    </row>
    <row r="170" spans="1:4" x14ac:dyDescent="0.25">
      <c r="A170" t="s">
        <v>1341</v>
      </c>
      <c r="B170">
        <v>2077.46</v>
      </c>
      <c r="C170">
        <v>0.99277903596850592</v>
      </c>
      <c r="D170" t="str">
        <f t="shared" si="2"/>
        <v>C</v>
      </c>
    </row>
    <row r="171" spans="1:4" x14ac:dyDescent="0.25">
      <c r="A171" t="s">
        <v>858</v>
      </c>
      <c r="B171">
        <v>2072.9258400000003</v>
      </c>
      <c r="C171">
        <v>0.99411623447546937</v>
      </c>
      <c r="D171" t="str">
        <f t="shared" si="2"/>
        <v>C</v>
      </c>
    </row>
    <row r="172" spans="1:4" x14ac:dyDescent="0.25">
      <c r="A172" t="s">
        <v>1197</v>
      </c>
      <c r="B172">
        <v>1808.04592</v>
      </c>
      <c r="C172">
        <v>0.99528256481787336</v>
      </c>
      <c r="D172" t="str">
        <f t="shared" si="2"/>
        <v>C</v>
      </c>
    </row>
    <row r="173" spans="1:4" x14ac:dyDescent="0.25">
      <c r="A173" t="s">
        <v>1193</v>
      </c>
      <c r="B173">
        <v>1662.6945600000001</v>
      </c>
      <c r="C173">
        <v>0.99635513222007632</v>
      </c>
      <c r="D173" t="str">
        <f t="shared" si="2"/>
        <v>C</v>
      </c>
    </row>
    <row r="174" spans="1:4" x14ac:dyDescent="0.25">
      <c r="A174" t="s">
        <v>821</v>
      </c>
      <c r="B174">
        <v>1654.8966000000003</v>
      </c>
      <c r="C174">
        <v>0.99742266933114776</v>
      </c>
      <c r="D174" t="str">
        <f t="shared" si="2"/>
        <v>C</v>
      </c>
    </row>
    <row r="175" spans="1:4" x14ac:dyDescent="0.25">
      <c r="A175" t="s">
        <v>1252</v>
      </c>
      <c r="B175">
        <v>855.72881999999993</v>
      </c>
      <c r="C175">
        <v>0.99797468102321563</v>
      </c>
      <c r="D175" t="str">
        <f t="shared" si="2"/>
        <v>C</v>
      </c>
    </row>
    <row r="176" spans="1:4" x14ac:dyDescent="0.25">
      <c r="A176" t="s">
        <v>861</v>
      </c>
      <c r="B176">
        <v>853.32276999999988</v>
      </c>
      <c r="C176">
        <v>0.99852514062576558</v>
      </c>
      <c r="D176" t="str">
        <f t="shared" si="2"/>
        <v>C</v>
      </c>
    </row>
    <row r="177" spans="1:4" x14ac:dyDescent="0.25">
      <c r="A177" t="s">
        <v>1057</v>
      </c>
      <c r="B177">
        <v>703.2428000000001</v>
      </c>
      <c r="C177">
        <v>0.99897878696662679</v>
      </c>
      <c r="D177" t="str">
        <f t="shared" si="2"/>
        <v>C</v>
      </c>
    </row>
    <row r="178" spans="1:4" x14ac:dyDescent="0.25">
      <c r="A178" t="s">
        <v>964</v>
      </c>
      <c r="B178">
        <v>667.15008</v>
      </c>
      <c r="C178">
        <v>0.999409150693916</v>
      </c>
      <c r="D178" t="str">
        <f t="shared" si="2"/>
        <v>C</v>
      </c>
    </row>
    <row r="179" spans="1:4" x14ac:dyDescent="0.25">
      <c r="A179" t="s">
        <v>1307</v>
      </c>
      <c r="B179">
        <v>496.98660000000001</v>
      </c>
      <c r="C179">
        <v>0.9997297457324249</v>
      </c>
      <c r="D179" t="str">
        <f t="shared" si="2"/>
        <v>C</v>
      </c>
    </row>
    <row r="180" spans="1:4" x14ac:dyDescent="0.25">
      <c r="A180" t="s">
        <v>911</v>
      </c>
      <c r="B180">
        <v>321.93290999999999</v>
      </c>
      <c r="C180">
        <v>0.99993741751608811</v>
      </c>
      <c r="D180" t="str">
        <f t="shared" si="2"/>
        <v>C</v>
      </c>
    </row>
    <row r="181" spans="1:4" x14ac:dyDescent="0.25">
      <c r="A181" t="s">
        <v>906</v>
      </c>
      <c r="B181">
        <v>97.0154</v>
      </c>
      <c r="C181">
        <v>1</v>
      </c>
      <c r="D181" t="str">
        <f t="shared" si="2"/>
        <v>A</v>
      </c>
    </row>
    <row r="182" spans="1:4" x14ac:dyDescent="0.25">
      <c r="A182" t="s">
        <v>731</v>
      </c>
      <c r="B182">
        <v>1711094.3776</v>
      </c>
      <c r="D182" t="str">
        <f t="shared" si="2"/>
        <v>A</v>
      </c>
    </row>
    <row r="183" spans="1:4" x14ac:dyDescent="0.25">
      <c r="A183" t="s">
        <v>1155</v>
      </c>
      <c r="B183">
        <v>102122.94203999999</v>
      </c>
      <c r="C183">
        <v>5.9682822512244341E-2</v>
      </c>
      <c r="D183" t="str">
        <f t="shared" si="2"/>
        <v>A</v>
      </c>
    </row>
    <row r="184" spans="1:4" x14ac:dyDescent="0.25">
      <c r="A184" t="s">
        <v>1096</v>
      </c>
      <c r="B184">
        <v>82514.711519999997</v>
      </c>
      <c r="C184">
        <v>0.10790617745993347</v>
      </c>
      <c r="D184" t="str">
        <f t="shared" si="2"/>
        <v>A</v>
      </c>
    </row>
    <row r="185" spans="1:4" x14ac:dyDescent="0.25">
      <c r="A185" t="s">
        <v>851</v>
      </c>
      <c r="B185">
        <v>65119.329599999997</v>
      </c>
      <c r="C185">
        <v>0.14596330069783289</v>
      </c>
      <c r="D185" t="str">
        <f t="shared" si="2"/>
        <v>A</v>
      </c>
    </row>
    <row r="186" spans="1:4" x14ac:dyDescent="0.25">
      <c r="A186" t="s">
        <v>1121</v>
      </c>
      <c r="B186">
        <v>65066.934229999999</v>
      </c>
      <c r="C186">
        <v>0.18398980296550069</v>
      </c>
      <c r="D186" t="str">
        <f t="shared" si="2"/>
        <v>A</v>
      </c>
    </row>
    <row r="187" spans="1:4" x14ac:dyDescent="0.25">
      <c r="A187" t="s">
        <v>1254</v>
      </c>
      <c r="B187">
        <v>64192.976999999999</v>
      </c>
      <c r="C187">
        <v>0.22150554601296354</v>
      </c>
      <c r="D187" t="str">
        <f t="shared" si="2"/>
        <v>A</v>
      </c>
    </row>
    <row r="188" spans="1:4" x14ac:dyDescent="0.25">
      <c r="A188" t="s">
        <v>1261</v>
      </c>
      <c r="B188">
        <v>58526.83122</v>
      </c>
      <c r="C188">
        <v>0.25570987277960888</v>
      </c>
      <c r="D188" t="str">
        <f t="shared" si="2"/>
        <v>A</v>
      </c>
    </row>
    <row r="189" spans="1:4" x14ac:dyDescent="0.25">
      <c r="A189" t="s">
        <v>1164</v>
      </c>
      <c r="B189">
        <v>58057.65</v>
      </c>
      <c r="C189">
        <v>0.28964000004788515</v>
      </c>
      <c r="D189" t="str">
        <f t="shared" si="2"/>
        <v>A</v>
      </c>
    </row>
    <row r="190" spans="1:4" x14ac:dyDescent="0.25">
      <c r="A190" t="s">
        <v>1299</v>
      </c>
      <c r="B190">
        <v>44173.627960000005</v>
      </c>
      <c r="C190">
        <v>0.31545600911101962</v>
      </c>
      <c r="D190" t="str">
        <f t="shared" si="2"/>
        <v>A</v>
      </c>
    </row>
    <row r="191" spans="1:4" x14ac:dyDescent="0.25">
      <c r="A191" t="s">
        <v>1267</v>
      </c>
      <c r="B191">
        <v>42433.254400000005</v>
      </c>
      <c r="C191">
        <v>0.34025490679632281</v>
      </c>
      <c r="D191" t="str">
        <f t="shared" si="2"/>
        <v>A</v>
      </c>
    </row>
    <row r="192" spans="1:4" x14ac:dyDescent="0.25">
      <c r="A192" t="s">
        <v>1211</v>
      </c>
      <c r="B192">
        <v>41914.215840000004</v>
      </c>
      <c r="C192">
        <v>0.36475046729181654</v>
      </c>
      <c r="D192" t="str">
        <f t="shared" si="2"/>
        <v>A</v>
      </c>
    </row>
    <row r="193" spans="1:4" x14ac:dyDescent="0.25">
      <c r="A193" t="s">
        <v>1315</v>
      </c>
      <c r="B193">
        <v>40563.321749999996</v>
      </c>
      <c r="C193">
        <v>0.38845653650752782</v>
      </c>
      <c r="D193" t="str">
        <f t="shared" si="2"/>
        <v>A</v>
      </c>
    </row>
    <row r="194" spans="1:4" x14ac:dyDescent="0.25">
      <c r="A194" t="s">
        <v>998</v>
      </c>
      <c r="B194">
        <v>40139.874619999995</v>
      </c>
      <c r="C194">
        <v>0.41191513420118669</v>
      </c>
      <c r="D194" t="str">
        <f t="shared" si="2"/>
        <v>A</v>
      </c>
    </row>
    <row r="195" spans="1:4" x14ac:dyDescent="0.25">
      <c r="A195" t="s">
        <v>753</v>
      </c>
      <c r="B195">
        <v>39263.702919999996</v>
      </c>
      <c r="C195">
        <v>0.43486167849120516</v>
      </c>
      <c r="D195" t="str">
        <f t="shared" ref="D195:D258" si="3">IF(C196&lt;=0.8,"A",IF(C196&lt;=0.95,"B","C"))</f>
        <v>A</v>
      </c>
    </row>
    <row r="196" spans="1:4" x14ac:dyDescent="0.25">
      <c r="A196" t="s">
        <v>1215</v>
      </c>
      <c r="B196">
        <v>36161.097000000002</v>
      </c>
      <c r="C196">
        <v>0.45599499379712061</v>
      </c>
      <c r="D196" t="str">
        <f t="shared" si="3"/>
        <v>A</v>
      </c>
    </row>
    <row r="197" spans="1:4" x14ac:dyDescent="0.25">
      <c r="A197" t="s">
        <v>976</v>
      </c>
      <c r="B197">
        <v>34082.864639999993</v>
      </c>
      <c r="C197">
        <v>0.47591374584620688</v>
      </c>
      <c r="D197" t="str">
        <f t="shared" si="3"/>
        <v>A</v>
      </c>
    </row>
    <row r="198" spans="1:4" x14ac:dyDescent="0.25">
      <c r="A198" t="s">
        <v>1332</v>
      </c>
      <c r="B198">
        <v>33938.142760000002</v>
      </c>
      <c r="C198">
        <v>0.49574791934609413</v>
      </c>
      <c r="D198" t="str">
        <f t="shared" si="3"/>
        <v>A</v>
      </c>
    </row>
    <row r="199" spans="1:4" x14ac:dyDescent="0.25">
      <c r="A199" t="s">
        <v>907</v>
      </c>
      <c r="B199">
        <v>31556.187599999997</v>
      </c>
      <c r="C199">
        <v>0.51419002751563936</v>
      </c>
      <c r="D199" t="str">
        <f t="shared" si="3"/>
        <v>A</v>
      </c>
    </row>
    <row r="200" spans="1:4" x14ac:dyDescent="0.25">
      <c r="A200" t="s">
        <v>1159</v>
      </c>
      <c r="B200">
        <v>30435.614999999998</v>
      </c>
      <c r="C200">
        <v>0.53197724918992795</v>
      </c>
      <c r="D200" t="str">
        <f t="shared" si="3"/>
        <v>A</v>
      </c>
    </row>
    <row r="201" spans="1:4" x14ac:dyDescent="0.25">
      <c r="A201" t="s">
        <v>845</v>
      </c>
      <c r="B201">
        <v>30151.675319999998</v>
      </c>
      <c r="C201">
        <v>0.54959853046740548</v>
      </c>
      <c r="D201" t="str">
        <f t="shared" si="3"/>
        <v>A</v>
      </c>
    </row>
    <row r="202" spans="1:4" x14ac:dyDescent="0.25">
      <c r="A202" t="s">
        <v>790</v>
      </c>
      <c r="B202">
        <v>29659.68995</v>
      </c>
      <c r="C202">
        <v>0.56693228501553339</v>
      </c>
      <c r="D202" t="str">
        <f t="shared" si="3"/>
        <v>A</v>
      </c>
    </row>
    <row r="203" spans="1:4" x14ac:dyDescent="0.25">
      <c r="A203" t="s">
        <v>1063</v>
      </c>
      <c r="B203">
        <v>27756.432000000001</v>
      </c>
      <c r="C203">
        <v>0.58315373507893176</v>
      </c>
      <c r="D203" t="str">
        <f t="shared" si="3"/>
        <v>A</v>
      </c>
    </row>
    <row r="204" spans="1:4" x14ac:dyDescent="0.25">
      <c r="A204" t="s">
        <v>798</v>
      </c>
      <c r="B204">
        <v>26304.275999999998</v>
      </c>
      <c r="C204">
        <v>0.59852651424549919</v>
      </c>
      <c r="D204" t="str">
        <f t="shared" si="3"/>
        <v>A</v>
      </c>
    </row>
    <row r="205" spans="1:4" x14ac:dyDescent="0.25">
      <c r="A205" t="s">
        <v>833</v>
      </c>
      <c r="B205">
        <v>25502.910479999999</v>
      </c>
      <c r="C205">
        <v>0.61343095833336458</v>
      </c>
      <c r="D205" t="str">
        <f t="shared" si="3"/>
        <v>A</v>
      </c>
    </row>
    <row r="206" spans="1:4" x14ac:dyDescent="0.25">
      <c r="A206" t="s">
        <v>926</v>
      </c>
      <c r="B206">
        <v>24374.594880000001</v>
      </c>
      <c r="C206">
        <v>0.62767599075184988</v>
      </c>
      <c r="D206" t="str">
        <f t="shared" si="3"/>
        <v>A</v>
      </c>
    </row>
    <row r="207" spans="1:4" x14ac:dyDescent="0.25">
      <c r="A207" t="s">
        <v>989</v>
      </c>
      <c r="B207">
        <v>24161.205600000001</v>
      </c>
      <c r="C207">
        <v>0.64179631392998382</v>
      </c>
      <c r="D207" t="str">
        <f t="shared" si="3"/>
        <v>A</v>
      </c>
    </row>
    <row r="208" spans="1:4" x14ac:dyDescent="0.25">
      <c r="A208" t="s">
        <v>754</v>
      </c>
      <c r="B208">
        <v>23782.310720000001</v>
      </c>
      <c r="C208">
        <v>0.65569520286991323</v>
      </c>
      <c r="D208" t="str">
        <f t="shared" si="3"/>
        <v>A</v>
      </c>
    </row>
    <row r="209" spans="1:4" x14ac:dyDescent="0.25">
      <c r="A209" t="s">
        <v>1118</v>
      </c>
      <c r="B209">
        <v>22064.910300000003</v>
      </c>
      <c r="C209">
        <v>0.66859040642434753</v>
      </c>
      <c r="D209" t="str">
        <f t="shared" si="3"/>
        <v>A</v>
      </c>
    </row>
    <row r="210" spans="1:4" x14ac:dyDescent="0.25">
      <c r="A210" t="s">
        <v>885</v>
      </c>
      <c r="B210">
        <v>21572.590500000002</v>
      </c>
      <c r="C210">
        <v>0.68119788780141677</v>
      </c>
      <c r="D210" t="str">
        <f t="shared" si="3"/>
        <v>A</v>
      </c>
    </row>
    <row r="211" spans="1:4" x14ac:dyDescent="0.25">
      <c r="A211" t="s">
        <v>1029</v>
      </c>
      <c r="B211">
        <v>20455.985130000001</v>
      </c>
      <c r="C211">
        <v>0.693152801216942</v>
      </c>
      <c r="D211" t="str">
        <f t="shared" si="3"/>
        <v>A</v>
      </c>
    </row>
    <row r="212" spans="1:4" x14ac:dyDescent="0.25">
      <c r="A212" t="s">
        <v>757</v>
      </c>
      <c r="B212">
        <v>20225.2248</v>
      </c>
      <c r="C212">
        <v>0.70497285338049831</v>
      </c>
      <c r="D212" t="str">
        <f t="shared" si="3"/>
        <v>A</v>
      </c>
    </row>
    <row r="213" spans="1:4" x14ac:dyDescent="0.25">
      <c r="A213" t="s">
        <v>806</v>
      </c>
      <c r="B213">
        <v>20171.63305</v>
      </c>
      <c r="C213">
        <v>0.71676158538386858</v>
      </c>
      <c r="D213" t="str">
        <f t="shared" si="3"/>
        <v>A</v>
      </c>
    </row>
    <row r="214" spans="1:4" x14ac:dyDescent="0.25">
      <c r="A214" t="s">
        <v>1120</v>
      </c>
      <c r="B214">
        <v>19773.362699999998</v>
      </c>
      <c r="C214">
        <v>0.72831755971167533</v>
      </c>
      <c r="D214" t="str">
        <f t="shared" si="3"/>
        <v>A</v>
      </c>
    </row>
    <row r="215" spans="1:4" x14ac:dyDescent="0.25">
      <c r="A215" t="s">
        <v>1273</v>
      </c>
      <c r="B215">
        <v>19581.87</v>
      </c>
      <c r="C215">
        <v>0.73976162162687242</v>
      </c>
      <c r="D215" t="str">
        <f t="shared" si="3"/>
        <v>A</v>
      </c>
    </row>
    <row r="216" spans="1:4" x14ac:dyDescent="0.25">
      <c r="A216" t="s">
        <v>924</v>
      </c>
      <c r="B216">
        <v>19542.975350000001</v>
      </c>
      <c r="C216">
        <v>0.75118295268016655</v>
      </c>
      <c r="D216" t="str">
        <f t="shared" si="3"/>
        <v>A</v>
      </c>
    </row>
    <row r="217" spans="1:4" x14ac:dyDescent="0.25">
      <c r="A217" t="s">
        <v>1305</v>
      </c>
      <c r="B217">
        <v>19139.594240000002</v>
      </c>
      <c r="C217">
        <v>0.76236853922089587</v>
      </c>
      <c r="D217" t="str">
        <f t="shared" si="3"/>
        <v>A</v>
      </c>
    </row>
    <row r="218" spans="1:4" x14ac:dyDescent="0.25">
      <c r="A218" t="s">
        <v>1130</v>
      </c>
      <c r="B218">
        <v>18641.222160000001</v>
      </c>
      <c r="C218">
        <v>0.77326286650291653</v>
      </c>
      <c r="D218" t="str">
        <f t="shared" si="3"/>
        <v>A</v>
      </c>
    </row>
    <row r="219" spans="1:4" x14ac:dyDescent="0.25">
      <c r="A219" t="s">
        <v>985</v>
      </c>
      <c r="B219">
        <v>17453.3436</v>
      </c>
      <c r="C219">
        <v>0.78346297225306238</v>
      </c>
      <c r="D219" t="str">
        <f t="shared" si="3"/>
        <v>A</v>
      </c>
    </row>
    <row r="220" spans="1:4" x14ac:dyDescent="0.25">
      <c r="A220" t="s">
        <v>1018</v>
      </c>
      <c r="B220">
        <v>15505.479600000001</v>
      </c>
      <c r="C220">
        <v>0.79252470479276493</v>
      </c>
      <c r="D220" t="str">
        <f t="shared" si="3"/>
        <v>B</v>
      </c>
    </row>
    <row r="221" spans="1:4" x14ac:dyDescent="0.25">
      <c r="A221" t="s">
        <v>958</v>
      </c>
      <c r="B221">
        <v>15490.527</v>
      </c>
      <c r="C221">
        <v>0.8015776987145421</v>
      </c>
      <c r="D221" t="str">
        <f t="shared" si="3"/>
        <v>B</v>
      </c>
    </row>
    <row r="222" spans="1:4" x14ac:dyDescent="0.25">
      <c r="A222" t="s">
        <v>1158</v>
      </c>
      <c r="B222">
        <v>15366.983199999999</v>
      </c>
      <c r="C222">
        <v>0.81055849100815824</v>
      </c>
      <c r="D222" t="str">
        <f t="shared" si="3"/>
        <v>B</v>
      </c>
    </row>
    <row r="223" spans="1:4" x14ac:dyDescent="0.25">
      <c r="A223" t="s">
        <v>1268</v>
      </c>
      <c r="B223">
        <v>15155.326800000001</v>
      </c>
      <c r="C223">
        <v>0.81941558679340476</v>
      </c>
      <c r="D223" t="str">
        <f t="shared" si="3"/>
        <v>B</v>
      </c>
    </row>
    <row r="224" spans="1:4" x14ac:dyDescent="0.25">
      <c r="A224" t="s">
        <v>1327</v>
      </c>
      <c r="B224">
        <v>14910.609600000002</v>
      </c>
      <c r="C224">
        <v>0.82812966463457782</v>
      </c>
      <c r="D224" t="str">
        <f t="shared" si="3"/>
        <v>B</v>
      </c>
    </row>
    <row r="225" spans="1:4" x14ac:dyDescent="0.25">
      <c r="A225" t="s">
        <v>900</v>
      </c>
      <c r="B225">
        <v>14448.298699999998</v>
      </c>
      <c r="C225">
        <v>0.83657355813872536</v>
      </c>
      <c r="D225" t="str">
        <f t="shared" si="3"/>
        <v>B</v>
      </c>
    </row>
    <row r="226" spans="1:4" x14ac:dyDescent="0.25">
      <c r="A226" t="s">
        <v>1276</v>
      </c>
      <c r="B226">
        <v>14114.068500000001</v>
      </c>
      <c r="C226">
        <v>0.84482212039500282</v>
      </c>
      <c r="D226" t="str">
        <f t="shared" si="3"/>
        <v>B</v>
      </c>
    </row>
    <row r="227" spans="1:4" x14ac:dyDescent="0.25">
      <c r="A227" t="s">
        <v>1102</v>
      </c>
      <c r="B227">
        <v>13784.586000000001</v>
      </c>
      <c r="C227">
        <v>0.85287812606041469</v>
      </c>
      <c r="D227" t="str">
        <f t="shared" si="3"/>
        <v>B</v>
      </c>
    </row>
    <row r="228" spans="1:4" x14ac:dyDescent="0.25">
      <c r="A228" t="s">
        <v>836</v>
      </c>
      <c r="B228">
        <v>13669.81</v>
      </c>
      <c r="C228">
        <v>0.8608670541867367</v>
      </c>
      <c r="D228" t="str">
        <f t="shared" si="3"/>
        <v>B</v>
      </c>
    </row>
    <row r="229" spans="1:4" x14ac:dyDescent="0.25">
      <c r="A229" t="s">
        <v>1079</v>
      </c>
      <c r="B229">
        <v>13637.287999999999</v>
      </c>
      <c r="C229">
        <v>0.86883697576355101</v>
      </c>
      <c r="D229" t="str">
        <f t="shared" si="3"/>
        <v>B</v>
      </c>
    </row>
    <row r="230" spans="1:4" x14ac:dyDescent="0.25">
      <c r="A230" t="s">
        <v>767</v>
      </c>
      <c r="B230">
        <v>13218.5</v>
      </c>
      <c r="C230">
        <v>0.87656214871312288</v>
      </c>
      <c r="D230" t="str">
        <f t="shared" si="3"/>
        <v>B</v>
      </c>
    </row>
    <row r="231" spans="1:4" x14ac:dyDescent="0.25">
      <c r="A231" t="s">
        <v>879</v>
      </c>
      <c r="B231">
        <v>12954.358080000002</v>
      </c>
      <c r="C231">
        <v>0.88413295149851323</v>
      </c>
      <c r="D231" t="str">
        <f t="shared" si="3"/>
        <v>B</v>
      </c>
    </row>
    <row r="232" spans="1:4" x14ac:dyDescent="0.25">
      <c r="A232" t="s">
        <v>838</v>
      </c>
      <c r="B232">
        <v>12335.654849999999</v>
      </c>
      <c r="C232">
        <v>0.89134217093812251</v>
      </c>
      <c r="D232" t="str">
        <f t="shared" si="3"/>
        <v>B</v>
      </c>
    </row>
    <row r="233" spans="1:4" x14ac:dyDescent="0.25">
      <c r="A233" t="s">
        <v>1083</v>
      </c>
      <c r="B233">
        <v>12236.874600000001</v>
      </c>
      <c r="C233">
        <v>0.89849366109564588</v>
      </c>
      <c r="D233" t="str">
        <f t="shared" si="3"/>
        <v>B</v>
      </c>
    </row>
    <row r="234" spans="1:4" x14ac:dyDescent="0.25">
      <c r="A234" t="s">
        <v>1017</v>
      </c>
      <c r="B234">
        <v>11696.156879999999</v>
      </c>
      <c r="C234">
        <v>0.90532914430049694</v>
      </c>
      <c r="D234" t="str">
        <f t="shared" si="3"/>
        <v>B</v>
      </c>
    </row>
    <row r="235" spans="1:4" x14ac:dyDescent="0.25">
      <c r="A235" t="s">
        <v>1248</v>
      </c>
      <c r="B235">
        <v>10859.64</v>
      </c>
      <c r="C235">
        <v>0.91167574922314987</v>
      </c>
      <c r="D235" t="str">
        <f t="shared" si="3"/>
        <v>B</v>
      </c>
    </row>
    <row r="236" spans="1:4" x14ac:dyDescent="0.25">
      <c r="A236" t="s">
        <v>1043</v>
      </c>
      <c r="B236">
        <v>9847.2358600000007</v>
      </c>
      <c r="C236">
        <v>0.91743068360252156</v>
      </c>
      <c r="D236" t="str">
        <f t="shared" si="3"/>
        <v>B</v>
      </c>
    </row>
    <row r="237" spans="1:4" x14ac:dyDescent="0.25">
      <c r="A237" t="s">
        <v>980</v>
      </c>
      <c r="B237">
        <v>9774.3888000000006</v>
      </c>
      <c r="C237">
        <v>0.92314304460841168</v>
      </c>
      <c r="D237" t="str">
        <f t="shared" si="3"/>
        <v>B</v>
      </c>
    </row>
    <row r="238" spans="1:4" x14ac:dyDescent="0.25">
      <c r="A238" t="s">
        <v>1179</v>
      </c>
      <c r="B238">
        <v>9771.4483199999995</v>
      </c>
      <c r="C238">
        <v>0.92885368713515859</v>
      </c>
      <c r="D238" t="str">
        <f t="shared" si="3"/>
        <v>B</v>
      </c>
    </row>
    <row r="239" spans="1:4" x14ac:dyDescent="0.25">
      <c r="A239" t="s">
        <v>1013</v>
      </c>
      <c r="B239">
        <v>8907.6924999999992</v>
      </c>
      <c r="C239">
        <v>0.934059532362991</v>
      </c>
      <c r="D239" t="str">
        <f t="shared" si="3"/>
        <v>B</v>
      </c>
    </row>
    <row r="240" spans="1:4" x14ac:dyDescent="0.25">
      <c r="A240" t="s">
        <v>1009</v>
      </c>
      <c r="B240">
        <v>8567.3924999999999</v>
      </c>
      <c r="C240">
        <v>0.9390664990225488</v>
      </c>
      <c r="D240" t="str">
        <f t="shared" si="3"/>
        <v>B</v>
      </c>
    </row>
    <row r="241" spans="1:4" x14ac:dyDescent="0.25">
      <c r="A241" t="s">
        <v>866</v>
      </c>
      <c r="B241">
        <v>8336.8896000000004</v>
      </c>
      <c r="C241">
        <v>0.94393875487771306</v>
      </c>
      <c r="D241" t="str">
        <f t="shared" si="3"/>
        <v>B</v>
      </c>
    </row>
    <row r="242" spans="1:4" x14ac:dyDescent="0.25">
      <c r="A242" t="s">
        <v>1242</v>
      </c>
      <c r="B242">
        <v>8297.4286000000011</v>
      </c>
      <c r="C242">
        <v>0.94878794888397122</v>
      </c>
      <c r="D242" t="str">
        <f t="shared" si="3"/>
        <v>C</v>
      </c>
    </row>
    <row r="243" spans="1:4" x14ac:dyDescent="0.25">
      <c r="A243" t="s">
        <v>1191</v>
      </c>
      <c r="B243">
        <v>7643.2649999999994</v>
      </c>
      <c r="C243">
        <v>0.95325483574892622</v>
      </c>
      <c r="D243" t="str">
        <f t="shared" si="3"/>
        <v>C</v>
      </c>
    </row>
    <row r="244" spans="1:4" x14ac:dyDescent="0.25">
      <c r="A244" t="s">
        <v>749</v>
      </c>
      <c r="B244">
        <v>7090.5672000000004</v>
      </c>
      <c r="C244">
        <v>0.95739871424728551</v>
      </c>
      <c r="D244" t="str">
        <f t="shared" si="3"/>
        <v>C</v>
      </c>
    </row>
    <row r="245" spans="1:4" x14ac:dyDescent="0.25">
      <c r="A245" t="s">
        <v>1337</v>
      </c>
      <c r="B245">
        <v>7071.6331400000008</v>
      </c>
      <c r="C245">
        <v>0.96153152727769164</v>
      </c>
      <c r="D245" t="str">
        <f t="shared" si="3"/>
        <v>C</v>
      </c>
    </row>
    <row r="246" spans="1:4" x14ac:dyDescent="0.25">
      <c r="A246" t="s">
        <v>805</v>
      </c>
      <c r="B246">
        <v>6393.0952799999995</v>
      </c>
      <c r="C246">
        <v>0.96526778833008731</v>
      </c>
      <c r="D246" t="str">
        <f t="shared" si="3"/>
        <v>C</v>
      </c>
    </row>
    <row r="247" spans="1:4" x14ac:dyDescent="0.25">
      <c r="A247" t="s">
        <v>1038</v>
      </c>
      <c r="B247">
        <v>5932.7856000000002</v>
      </c>
      <c r="C247">
        <v>0.9687350346010507</v>
      </c>
      <c r="D247" t="str">
        <f t="shared" si="3"/>
        <v>C</v>
      </c>
    </row>
    <row r="248" spans="1:4" x14ac:dyDescent="0.25">
      <c r="A248" t="s">
        <v>786</v>
      </c>
      <c r="B248">
        <v>5785.8</v>
      </c>
      <c r="C248">
        <v>0.97211637935663064</v>
      </c>
      <c r="D248" t="str">
        <f t="shared" si="3"/>
        <v>C</v>
      </c>
    </row>
    <row r="249" spans="1:4" x14ac:dyDescent="0.25">
      <c r="A249" t="s">
        <v>1143</v>
      </c>
      <c r="B249">
        <v>5323.9903199999999</v>
      </c>
      <c r="C249">
        <v>0.97522783269882884</v>
      </c>
      <c r="D249" t="str">
        <f t="shared" si="3"/>
        <v>C</v>
      </c>
    </row>
    <row r="250" spans="1:4" x14ac:dyDescent="0.25">
      <c r="A250" t="s">
        <v>1136</v>
      </c>
      <c r="B250">
        <v>5250.4239000000007</v>
      </c>
      <c r="C250">
        <v>0.97829629225823922</v>
      </c>
      <c r="D250" t="str">
        <f t="shared" si="3"/>
        <v>C</v>
      </c>
    </row>
    <row r="251" spans="1:4" x14ac:dyDescent="0.25">
      <c r="A251" t="s">
        <v>1141</v>
      </c>
      <c r="B251">
        <v>4679.7141600000004</v>
      </c>
      <c r="C251">
        <v>0.98103121688966943</v>
      </c>
      <c r="D251" t="str">
        <f t="shared" si="3"/>
        <v>C</v>
      </c>
    </row>
    <row r="252" spans="1:4" x14ac:dyDescent="0.25">
      <c r="A252" t="s">
        <v>1297</v>
      </c>
      <c r="B252">
        <v>4229.4321199999995</v>
      </c>
      <c r="C252">
        <v>0.98350298710606876</v>
      </c>
      <c r="D252" t="str">
        <f t="shared" si="3"/>
        <v>C</v>
      </c>
    </row>
    <row r="253" spans="1:4" x14ac:dyDescent="0.25">
      <c r="A253" t="s">
        <v>739</v>
      </c>
      <c r="B253">
        <v>4141.7599999999993</v>
      </c>
      <c r="C253">
        <v>0.98592351986815352</v>
      </c>
      <c r="D253" t="str">
        <f t="shared" si="3"/>
        <v>C</v>
      </c>
    </row>
    <row r="254" spans="1:4" x14ac:dyDescent="0.25">
      <c r="A254" t="s">
        <v>1104</v>
      </c>
      <c r="B254">
        <v>4133.25108</v>
      </c>
      <c r="C254">
        <v>0.98833907983615332</v>
      </c>
      <c r="D254" t="str">
        <f t="shared" si="3"/>
        <v>C</v>
      </c>
    </row>
    <row r="255" spans="1:4" x14ac:dyDescent="0.25">
      <c r="A255" t="s">
        <v>1241</v>
      </c>
      <c r="B255">
        <v>3921.1744000000008</v>
      </c>
      <c r="C255">
        <v>0.99063069767519962</v>
      </c>
      <c r="D255" t="str">
        <f t="shared" si="3"/>
        <v>C</v>
      </c>
    </row>
    <row r="256" spans="1:4" x14ac:dyDescent="0.25">
      <c r="A256" t="s">
        <v>1316</v>
      </c>
      <c r="B256">
        <v>3823.6151599999998</v>
      </c>
      <c r="C256">
        <v>0.99286529981641114</v>
      </c>
      <c r="D256" t="str">
        <f t="shared" si="3"/>
        <v>C</v>
      </c>
    </row>
    <row r="257" spans="1:4" x14ac:dyDescent="0.25">
      <c r="A257" t="s">
        <v>973</v>
      </c>
      <c r="B257">
        <v>3823.5108</v>
      </c>
      <c r="C257">
        <v>0.99509984096741588</v>
      </c>
      <c r="D257" t="str">
        <f t="shared" si="3"/>
        <v>C</v>
      </c>
    </row>
    <row r="258" spans="1:4" x14ac:dyDescent="0.25">
      <c r="A258" t="s">
        <v>880</v>
      </c>
      <c r="B258">
        <v>3562.9028999999996</v>
      </c>
      <c r="C258">
        <v>0.99718207731080077</v>
      </c>
      <c r="D258" t="str">
        <f t="shared" si="3"/>
        <v>C</v>
      </c>
    </row>
    <row r="259" spans="1:4" x14ac:dyDescent="0.25">
      <c r="A259" t="s">
        <v>787</v>
      </c>
      <c r="B259">
        <v>2518.8755800000004</v>
      </c>
      <c r="C259">
        <v>0.99865416185094924</v>
      </c>
      <c r="D259" t="str">
        <f t="shared" ref="D259:D322" si="4">IF(C260&lt;=0.8,"A",IF(C260&lt;=0.95,"B","C"))</f>
        <v>C</v>
      </c>
    </row>
    <row r="260" spans="1:4" x14ac:dyDescent="0.25">
      <c r="A260" t="s">
        <v>1209</v>
      </c>
      <c r="B260">
        <v>1009.2969000000002</v>
      </c>
      <c r="C260">
        <v>0.99924401645699124</v>
      </c>
      <c r="D260" t="str">
        <f t="shared" si="4"/>
        <v>C</v>
      </c>
    </row>
    <row r="261" spans="1:4" x14ac:dyDescent="0.25">
      <c r="A261" t="s">
        <v>853</v>
      </c>
      <c r="B261">
        <v>592.92849000000001</v>
      </c>
      <c r="C261">
        <v>0.99959053649572327</v>
      </c>
      <c r="D261" t="str">
        <f t="shared" si="4"/>
        <v>C</v>
      </c>
    </row>
    <row r="262" spans="1:4" x14ac:dyDescent="0.25">
      <c r="A262" t="s">
        <v>1122</v>
      </c>
      <c r="B262">
        <v>434.45248000000004</v>
      </c>
      <c r="C262">
        <v>0.99984443977872584</v>
      </c>
      <c r="D262" t="str">
        <f t="shared" si="4"/>
        <v>C</v>
      </c>
    </row>
    <row r="263" spans="1:4" x14ac:dyDescent="0.25">
      <c r="A263" t="s">
        <v>1363</v>
      </c>
      <c r="B263">
        <v>266.17821999999995</v>
      </c>
      <c r="C263">
        <v>0.99999999999999978</v>
      </c>
      <c r="D263" t="str">
        <f t="shared" si="4"/>
        <v>A</v>
      </c>
    </row>
    <row r="264" spans="1:4" x14ac:dyDescent="0.25">
      <c r="A264" t="s">
        <v>732</v>
      </c>
      <c r="B264">
        <v>1550744.5324299994</v>
      </c>
      <c r="D264" t="str">
        <f t="shared" si="4"/>
        <v>A</v>
      </c>
    </row>
    <row r="265" spans="1:4" x14ac:dyDescent="0.25">
      <c r="A265" t="s">
        <v>909</v>
      </c>
      <c r="B265">
        <v>92715.25</v>
      </c>
      <c r="C265">
        <v>5.9787571750916466E-2</v>
      </c>
      <c r="D265" t="str">
        <f t="shared" si="4"/>
        <v>A</v>
      </c>
    </row>
    <row r="266" spans="1:4" x14ac:dyDescent="0.25">
      <c r="A266" t="s">
        <v>874</v>
      </c>
      <c r="B266">
        <v>87404.929919999995</v>
      </c>
      <c r="C266">
        <v>0.116150775419955</v>
      </c>
      <c r="D266" t="str">
        <f t="shared" si="4"/>
        <v>A</v>
      </c>
    </row>
    <row r="267" spans="1:4" x14ac:dyDescent="0.25">
      <c r="A267" t="s">
        <v>899</v>
      </c>
      <c r="B267">
        <v>85637.740319999997</v>
      </c>
      <c r="C267">
        <v>0.17137440415382946</v>
      </c>
      <c r="D267" t="str">
        <f t="shared" si="4"/>
        <v>A</v>
      </c>
    </row>
    <row r="268" spans="1:4" x14ac:dyDescent="0.25">
      <c r="A268" t="s">
        <v>797</v>
      </c>
      <c r="B268">
        <v>72665.817450000002</v>
      </c>
      <c r="C268">
        <v>0.21823306844725338</v>
      </c>
      <c r="D268" t="str">
        <f t="shared" si="4"/>
        <v>A</v>
      </c>
    </row>
    <row r="269" spans="1:4" x14ac:dyDescent="0.25">
      <c r="A269" t="s">
        <v>1129</v>
      </c>
      <c r="B269">
        <v>56176.777799999996</v>
      </c>
      <c r="C269">
        <v>0.25445875012802099</v>
      </c>
      <c r="D269" t="str">
        <f t="shared" si="4"/>
        <v>A</v>
      </c>
    </row>
    <row r="270" spans="1:4" x14ac:dyDescent="0.25">
      <c r="A270" t="s">
        <v>1181</v>
      </c>
      <c r="B270">
        <v>45547.183360000003</v>
      </c>
      <c r="C270">
        <v>0.2838299214637845</v>
      </c>
      <c r="D270" t="str">
        <f t="shared" si="4"/>
        <v>A</v>
      </c>
    </row>
    <row r="271" spans="1:4" x14ac:dyDescent="0.25">
      <c r="A271" t="s">
        <v>774</v>
      </c>
      <c r="B271">
        <v>41106.800970000004</v>
      </c>
      <c r="C271">
        <v>0.31033770537683569</v>
      </c>
      <c r="D271" t="str">
        <f t="shared" si="4"/>
        <v>A</v>
      </c>
    </row>
    <row r="272" spans="1:4" x14ac:dyDescent="0.25">
      <c r="A272" t="s">
        <v>1000</v>
      </c>
      <c r="B272">
        <v>38818.760160000005</v>
      </c>
      <c r="C272">
        <v>0.33537004264980447</v>
      </c>
      <c r="D272" t="str">
        <f t="shared" si="4"/>
        <v>A</v>
      </c>
    </row>
    <row r="273" spans="1:4" x14ac:dyDescent="0.25">
      <c r="A273" t="s">
        <v>1006</v>
      </c>
      <c r="B273">
        <v>34632.106319999999</v>
      </c>
      <c r="C273">
        <v>0.35770260974628931</v>
      </c>
      <c r="D273" t="str">
        <f t="shared" si="4"/>
        <v>A</v>
      </c>
    </row>
    <row r="274" spans="1:4" x14ac:dyDescent="0.25">
      <c r="A274" t="s">
        <v>1106</v>
      </c>
      <c r="B274">
        <v>32280.32474</v>
      </c>
      <c r="C274">
        <v>0.37851862686899168</v>
      </c>
      <c r="D274" t="str">
        <f t="shared" si="4"/>
        <v>A</v>
      </c>
    </row>
    <row r="275" spans="1:4" x14ac:dyDescent="0.25">
      <c r="A275" t="s">
        <v>789</v>
      </c>
      <c r="B275">
        <v>31680.795320000001</v>
      </c>
      <c r="C275">
        <v>0.39894803652188698</v>
      </c>
      <c r="D275" t="str">
        <f t="shared" si="4"/>
        <v>A</v>
      </c>
    </row>
    <row r="276" spans="1:4" x14ac:dyDescent="0.25">
      <c r="A276" t="s">
        <v>929</v>
      </c>
      <c r="B276">
        <v>31191.64716</v>
      </c>
      <c r="C276">
        <v>0.41906201823048156</v>
      </c>
      <c r="D276" t="str">
        <f t="shared" si="4"/>
        <v>A</v>
      </c>
    </row>
    <row r="277" spans="1:4" x14ac:dyDescent="0.25">
      <c r="A277" t="s">
        <v>1044</v>
      </c>
      <c r="B277">
        <v>30799.273800000003</v>
      </c>
      <c r="C277">
        <v>0.43892297737359576</v>
      </c>
      <c r="D277" t="str">
        <f t="shared" si="4"/>
        <v>A</v>
      </c>
    </row>
    <row r="278" spans="1:4" x14ac:dyDescent="0.25">
      <c r="A278" t="s">
        <v>1274</v>
      </c>
      <c r="B278">
        <v>30652.403519999996</v>
      </c>
      <c r="C278">
        <v>0.45868922699046083</v>
      </c>
      <c r="D278" t="str">
        <f t="shared" si="4"/>
        <v>A</v>
      </c>
    </row>
    <row r="279" spans="1:4" x14ac:dyDescent="0.25">
      <c r="A279" t="s">
        <v>1007</v>
      </c>
      <c r="B279">
        <v>29536.716</v>
      </c>
      <c r="C279">
        <v>0.47773602379181168</v>
      </c>
      <c r="D279" t="str">
        <f t="shared" si="4"/>
        <v>A</v>
      </c>
    </row>
    <row r="280" spans="1:4" x14ac:dyDescent="0.25">
      <c r="A280" t="s">
        <v>922</v>
      </c>
      <c r="B280">
        <v>28072.190160000002</v>
      </c>
      <c r="C280">
        <v>0.49583841884975921</v>
      </c>
      <c r="D280" t="str">
        <f t="shared" si="4"/>
        <v>A</v>
      </c>
    </row>
    <row r="281" spans="1:4" x14ac:dyDescent="0.25">
      <c r="A281" t="s">
        <v>869</v>
      </c>
      <c r="B281">
        <v>27370.540859999997</v>
      </c>
      <c r="C281">
        <v>0.51348835427600936</v>
      </c>
      <c r="D281" t="str">
        <f t="shared" si="4"/>
        <v>A</v>
      </c>
    </row>
    <row r="282" spans="1:4" x14ac:dyDescent="0.25">
      <c r="A282" t="s">
        <v>918</v>
      </c>
      <c r="B282">
        <v>26408.63841</v>
      </c>
      <c r="C282">
        <v>0.53051800542597538</v>
      </c>
      <c r="D282" t="str">
        <f t="shared" si="4"/>
        <v>A</v>
      </c>
    </row>
    <row r="283" spans="1:4" x14ac:dyDescent="0.25">
      <c r="A283" t="s">
        <v>939</v>
      </c>
      <c r="B283">
        <v>26131.70736</v>
      </c>
      <c r="C283">
        <v>0.54736907716185434</v>
      </c>
      <c r="D283" t="str">
        <f t="shared" si="4"/>
        <v>A</v>
      </c>
    </row>
    <row r="284" spans="1:4" x14ac:dyDescent="0.25">
      <c r="A284" t="s">
        <v>1073</v>
      </c>
      <c r="B284">
        <v>26106.613960000002</v>
      </c>
      <c r="C284">
        <v>0.56420396738009759</v>
      </c>
      <c r="D284" t="str">
        <f t="shared" si="4"/>
        <v>A</v>
      </c>
    </row>
    <row r="285" spans="1:4" x14ac:dyDescent="0.25">
      <c r="A285" t="s">
        <v>938</v>
      </c>
      <c r="B285">
        <v>25553.782800000001</v>
      </c>
      <c r="C285">
        <v>0.58068236357341352</v>
      </c>
      <c r="D285" t="str">
        <f t="shared" si="4"/>
        <v>A</v>
      </c>
    </row>
    <row r="286" spans="1:4" x14ac:dyDescent="0.25">
      <c r="A286" t="s">
        <v>1300</v>
      </c>
      <c r="B286">
        <v>25079.480689999997</v>
      </c>
      <c r="C286">
        <v>0.59685490532063523</v>
      </c>
      <c r="D286" t="str">
        <f t="shared" si="4"/>
        <v>A</v>
      </c>
    </row>
    <row r="287" spans="1:4" x14ac:dyDescent="0.25">
      <c r="A287" t="s">
        <v>849</v>
      </c>
      <c r="B287">
        <v>24523.006720000001</v>
      </c>
      <c r="C287">
        <v>0.61266860397129086</v>
      </c>
      <c r="D287" t="str">
        <f t="shared" si="4"/>
        <v>A</v>
      </c>
    </row>
    <row r="288" spans="1:4" x14ac:dyDescent="0.25">
      <c r="A288" t="s">
        <v>1187</v>
      </c>
      <c r="B288">
        <v>23132.398349999996</v>
      </c>
      <c r="C288">
        <v>0.62758556667291132</v>
      </c>
      <c r="D288" t="str">
        <f t="shared" si="4"/>
        <v>A</v>
      </c>
    </row>
    <row r="289" spans="1:4" x14ac:dyDescent="0.25">
      <c r="A289" t="s">
        <v>855</v>
      </c>
      <c r="B289">
        <v>22983.34563</v>
      </c>
      <c r="C289">
        <v>0.64240641249848729</v>
      </c>
      <c r="D289" t="str">
        <f t="shared" si="4"/>
        <v>A</v>
      </c>
    </row>
    <row r="290" spans="1:4" x14ac:dyDescent="0.25">
      <c r="A290" t="s">
        <v>894</v>
      </c>
      <c r="B290">
        <v>22044.871499999997</v>
      </c>
      <c r="C290">
        <v>0.65662208183601245</v>
      </c>
      <c r="D290" t="str">
        <f t="shared" si="4"/>
        <v>A</v>
      </c>
    </row>
    <row r="291" spans="1:4" x14ac:dyDescent="0.25">
      <c r="A291" t="s">
        <v>1233</v>
      </c>
      <c r="B291">
        <v>20332.775539999999</v>
      </c>
      <c r="C291">
        <v>0.66973370345697592</v>
      </c>
      <c r="D291" t="str">
        <f t="shared" si="4"/>
        <v>A</v>
      </c>
    </row>
    <row r="292" spans="1:4" x14ac:dyDescent="0.25">
      <c r="A292" t="s">
        <v>986</v>
      </c>
      <c r="B292">
        <v>17689.623</v>
      </c>
      <c r="C292">
        <v>0.68114088409186779</v>
      </c>
      <c r="D292" t="str">
        <f t="shared" si="4"/>
        <v>A</v>
      </c>
    </row>
    <row r="293" spans="1:4" x14ac:dyDescent="0.25">
      <c r="A293" t="s">
        <v>1014</v>
      </c>
      <c r="B293">
        <v>17441.021520000002</v>
      </c>
      <c r="C293">
        <v>0.69238775367951677</v>
      </c>
      <c r="D293" t="str">
        <f t="shared" si="4"/>
        <v>A</v>
      </c>
    </row>
    <row r="294" spans="1:4" x14ac:dyDescent="0.25">
      <c r="A294" t="s">
        <v>1232</v>
      </c>
      <c r="B294">
        <v>16574.544740000001</v>
      </c>
      <c r="C294">
        <v>0.70307587438114383</v>
      </c>
      <c r="D294" t="str">
        <f t="shared" si="4"/>
        <v>A</v>
      </c>
    </row>
    <row r="295" spans="1:4" x14ac:dyDescent="0.25">
      <c r="A295" t="s">
        <v>1085</v>
      </c>
      <c r="B295">
        <v>16487.22781</v>
      </c>
      <c r="C295">
        <v>0.71370768862598577</v>
      </c>
      <c r="D295" t="str">
        <f t="shared" si="4"/>
        <v>A</v>
      </c>
    </row>
    <row r="296" spans="1:4" x14ac:dyDescent="0.25">
      <c r="A296" t="s">
        <v>1123</v>
      </c>
      <c r="B296">
        <v>16142.527829999999</v>
      </c>
      <c r="C296">
        <v>0.72411722255786104</v>
      </c>
      <c r="D296" t="str">
        <f t="shared" si="4"/>
        <v>A</v>
      </c>
    </row>
    <row r="297" spans="1:4" x14ac:dyDescent="0.25">
      <c r="A297" t="s">
        <v>1256</v>
      </c>
      <c r="B297">
        <v>16121.273400000002</v>
      </c>
      <c r="C297">
        <v>0.73451305053781735</v>
      </c>
      <c r="D297" t="str">
        <f t="shared" si="4"/>
        <v>A</v>
      </c>
    </row>
    <row r="298" spans="1:4" x14ac:dyDescent="0.25">
      <c r="A298" t="s">
        <v>1117</v>
      </c>
      <c r="B298">
        <v>15257.51748</v>
      </c>
      <c r="C298">
        <v>0.74435188418251286</v>
      </c>
      <c r="D298" t="str">
        <f t="shared" si="4"/>
        <v>A</v>
      </c>
    </row>
    <row r="299" spans="1:4" x14ac:dyDescent="0.25">
      <c r="A299" t="s">
        <v>742</v>
      </c>
      <c r="B299">
        <v>14714.12934</v>
      </c>
      <c r="C299">
        <v>0.75384031314827105</v>
      </c>
      <c r="D299" t="str">
        <f t="shared" si="4"/>
        <v>A</v>
      </c>
    </row>
    <row r="300" spans="1:4" x14ac:dyDescent="0.25">
      <c r="A300" t="s">
        <v>1306</v>
      </c>
      <c r="B300">
        <v>14466.95104</v>
      </c>
      <c r="C300">
        <v>0.76316934880660114</v>
      </c>
      <c r="D300" t="str">
        <f t="shared" si="4"/>
        <v>A</v>
      </c>
    </row>
    <row r="301" spans="1:4" x14ac:dyDescent="0.25">
      <c r="A301" t="s">
        <v>801</v>
      </c>
      <c r="B301">
        <v>14287.896349999999</v>
      </c>
      <c r="C301">
        <v>0.77238292077232729</v>
      </c>
      <c r="D301" t="str">
        <f t="shared" si="4"/>
        <v>A</v>
      </c>
    </row>
    <row r="302" spans="1:4" x14ac:dyDescent="0.25">
      <c r="A302" t="s">
        <v>1161</v>
      </c>
      <c r="B302">
        <v>13450.74</v>
      </c>
      <c r="C302">
        <v>0.78105665117647249</v>
      </c>
      <c r="D302" t="str">
        <f t="shared" si="4"/>
        <v>A</v>
      </c>
    </row>
    <row r="303" spans="1:4" x14ac:dyDescent="0.25">
      <c r="A303" t="s">
        <v>1138</v>
      </c>
      <c r="B303">
        <v>13437.300239999999</v>
      </c>
      <c r="C303">
        <v>0.78972171493068344</v>
      </c>
      <c r="D303" t="str">
        <f t="shared" si="4"/>
        <v>A</v>
      </c>
    </row>
    <row r="304" spans="1:4" x14ac:dyDescent="0.25">
      <c r="A304" t="s">
        <v>1132</v>
      </c>
      <c r="B304">
        <v>12972.00222</v>
      </c>
      <c r="C304">
        <v>0.79808673054010359</v>
      </c>
      <c r="D304" t="str">
        <f t="shared" si="4"/>
        <v>B</v>
      </c>
    </row>
    <row r="305" spans="1:4" x14ac:dyDescent="0.25">
      <c r="A305" t="s">
        <v>1166</v>
      </c>
      <c r="B305">
        <v>12967.958640000001</v>
      </c>
      <c r="C305">
        <v>0.80644913864073342</v>
      </c>
      <c r="D305" t="str">
        <f t="shared" si="4"/>
        <v>B</v>
      </c>
    </row>
    <row r="306" spans="1:4" x14ac:dyDescent="0.25">
      <c r="A306" t="s">
        <v>901</v>
      </c>
      <c r="B306">
        <v>12413.98458</v>
      </c>
      <c r="C306">
        <v>0.81445431571561067</v>
      </c>
      <c r="D306" t="str">
        <f t="shared" si="4"/>
        <v>B</v>
      </c>
    </row>
    <row r="307" spans="1:4" x14ac:dyDescent="0.25">
      <c r="A307" t="s">
        <v>897</v>
      </c>
      <c r="B307">
        <v>12194.714</v>
      </c>
      <c r="C307">
        <v>0.82231809581928195</v>
      </c>
      <c r="D307" t="str">
        <f t="shared" si="4"/>
        <v>B</v>
      </c>
    </row>
    <row r="308" spans="1:4" x14ac:dyDescent="0.25">
      <c r="A308" t="s">
        <v>822</v>
      </c>
      <c r="B308">
        <v>11842.8464</v>
      </c>
      <c r="C308">
        <v>0.82995497355919068</v>
      </c>
      <c r="D308" t="str">
        <f t="shared" si="4"/>
        <v>B</v>
      </c>
    </row>
    <row r="309" spans="1:4" x14ac:dyDescent="0.25">
      <c r="A309" t="s">
        <v>983</v>
      </c>
      <c r="B309">
        <v>11813.604160000001</v>
      </c>
      <c r="C309">
        <v>0.8375729943956004</v>
      </c>
      <c r="D309" t="str">
        <f t="shared" si="4"/>
        <v>B</v>
      </c>
    </row>
    <row r="310" spans="1:4" x14ac:dyDescent="0.25">
      <c r="A310" t="s">
        <v>1281</v>
      </c>
      <c r="B310">
        <v>10937.519999999999</v>
      </c>
      <c r="C310">
        <v>0.84462607101219889</v>
      </c>
      <c r="D310" t="str">
        <f t="shared" si="4"/>
        <v>B</v>
      </c>
    </row>
    <row r="311" spans="1:4" x14ac:dyDescent="0.25">
      <c r="A311" t="s">
        <v>1290</v>
      </c>
      <c r="B311">
        <v>10519.776450000001</v>
      </c>
      <c r="C311">
        <v>0.85140976505722354</v>
      </c>
      <c r="D311" t="str">
        <f t="shared" si="4"/>
        <v>B</v>
      </c>
    </row>
    <row r="312" spans="1:4" x14ac:dyDescent="0.25">
      <c r="A312" t="s">
        <v>1152</v>
      </c>
      <c r="B312">
        <v>9509.2865999999995</v>
      </c>
      <c r="C312">
        <v>0.85754184316624582</v>
      </c>
      <c r="D312" t="str">
        <f t="shared" si="4"/>
        <v>B</v>
      </c>
    </row>
    <row r="313" spans="1:4" x14ac:dyDescent="0.25">
      <c r="A313" t="s">
        <v>1344</v>
      </c>
      <c r="B313">
        <v>9256.14</v>
      </c>
      <c r="C313">
        <v>0.86351067930039338</v>
      </c>
      <c r="D313" t="str">
        <f t="shared" si="4"/>
        <v>B</v>
      </c>
    </row>
    <row r="314" spans="1:4" x14ac:dyDescent="0.25">
      <c r="A314" t="s">
        <v>1243</v>
      </c>
      <c r="B314">
        <v>9232.2830599999998</v>
      </c>
      <c r="C314">
        <v>0.86946413125004052</v>
      </c>
      <c r="D314" t="str">
        <f t="shared" si="4"/>
        <v>B</v>
      </c>
    </row>
    <row r="315" spans="1:4" x14ac:dyDescent="0.25">
      <c r="A315" t="s">
        <v>925</v>
      </c>
      <c r="B315">
        <v>8763.2849999999999</v>
      </c>
      <c r="C315">
        <v>0.8751151490784046</v>
      </c>
      <c r="D315" t="str">
        <f t="shared" si="4"/>
        <v>B</v>
      </c>
    </row>
    <row r="316" spans="1:4" x14ac:dyDescent="0.25">
      <c r="A316" t="s">
        <v>917</v>
      </c>
      <c r="B316">
        <v>8698.8768300000011</v>
      </c>
      <c r="C316">
        <v>0.88072463319915073</v>
      </c>
      <c r="D316" t="str">
        <f t="shared" si="4"/>
        <v>B</v>
      </c>
    </row>
    <row r="317" spans="1:4" x14ac:dyDescent="0.25">
      <c r="A317" t="s">
        <v>802</v>
      </c>
      <c r="B317">
        <v>8671.7354400000004</v>
      </c>
      <c r="C317">
        <v>0.8863166151527555</v>
      </c>
      <c r="D317" t="str">
        <f t="shared" si="4"/>
        <v>B</v>
      </c>
    </row>
    <row r="318" spans="1:4" x14ac:dyDescent="0.25">
      <c r="A318" t="s">
        <v>923</v>
      </c>
      <c r="B318">
        <v>8590.7094000000016</v>
      </c>
      <c r="C318">
        <v>0.89185634733968033</v>
      </c>
      <c r="D318" t="str">
        <f t="shared" si="4"/>
        <v>B</v>
      </c>
    </row>
    <row r="319" spans="1:4" x14ac:dyDescent="0.25">
      <c r="A319" t="s">
        <v>1295</v>
      </c>
      <c r="B319">
        <v>8520.2954399999999</v>
      </c>
      <c r="C319">
        <v>0.89735067297605631</v>
      </c>
      <c r="D319" t="str">
        <f t="shared" si="4"/>
        <v>B</v>
      </c>
    </row>
    <row r="320" spans="1:4" x14ac:dyDescent="0.25">
      <c r="A320" t="s">
        <v>1206</v>
      </c>
      <c r="B320">
        <v>8330.2513199999994</v>
      </c>
      <c r="C320">
        <v>0.90272244836896809</v>
      </c>
      <c r="D320" t="str">
        <f t="shared" si="4"/>
        <v>B</v>
      </c>
    </row>
    <row r="321" spans="1:4" x14ac:dyDescent="0.25">
      <c r="A321" t="s">
        <v>1190</v>
      </c>
      <c r="B321">
        <v>7854.6931199999999</v>
      </c>
      <c r="C321">
        <v>0.90778755932421473</v>
      </c>
      <c r="D321" t="str">
        <f t="shared" si="4"/>
        <v>B</v>
      </c>
    </row>
    <row r="322" spans="1:4" x14ac:dyDescent="0.25">
      <c r="A322" t="s">
        <v>950</v>
      </c>
      <c r="B322">
        <v>7738.9596900000006</v>
      </c>
      <c r="C322">
        <v>0.91277803939888769</v>
      </c>
      <c r="D322" t="str">
        <f t="shared" si="4"/>
        <v>B</v>
      </c>
    </row>
    <row r="323" spans="1:4" x14ac:dyDescent="0.25">
      <c r="A323" t="s">
        <v>864</v>
      </c>
      <c r="B323">
        <v>7703.8640800000003</v>
      </c>
      <c r="C323">
        <v>0.91774588801540224</v>
      </c>
      <c r="D323" t="str">
        <f t="shared" ref="D323:D386" si="5">IF(C324&lt;=0.8,"A",IF(C324&lt;=0.95,"B","C"))</f>
        <v>B</v>
      </c>
    </row>
    <row r="324" spans="1:4" x14ac:dyDescent="0.25">
      <c r="A324" t="s">
        <v>1097</v>
      </c>
      <c r="B324">
        <v>7327.9533600000004</v>
      </c>
      <c r="C324">
        <v>0.92247133002519421</v>
      </c>
      <c r="D324" t="str">
        <f t="shared" si="5"/>
        <v>B</v>
      </c>
    </row>
    <row r="325" spans="1:4" x14ac:dyDescent="0.25">
      <c r="A325" t="s">
        <v>1005</v>
      </c>
      <c r="B325">
        <v>7120.6486400000003</v>
      </c>
      <c r="C325">
        <v>0.92706309126702946</v>
      </c>
      <c r="D325" t="str">
        <f t="shared" si="5"/>
        <v>B</v>
      </c>
    </row>
    <row r="326" spans="1:4" x14ac:dyDescent="0.25">
      <c r="A326" t="s">
        <v>912</v>
      </c>
      <c r="B326">
        <v>7098.5495999999994</v>
      </c>
      <c r="C326">
        <v>0.93164060190888665</v>
      </c>
      <c r="D326" t="str">
        <f t="shared" si="5"/>
        <v>B</v>
      </c>
    </row>
    <row r="327" spans="1:4" x14ac:dyDescent="0.25">
      <c r="A327" t="s">
        <v>902</v>
      </c>
      <c r="B327">
        <v>6824.2884000000004</v>
      </c>
      <c r="C327">
        <v>0.93604125479354094</v>
      </c>
      <c r="D327" t="str">
        <f t="shared" si="5"/>
        <v>B</v>
      </c>
    </row>
    <row r="328" spans="1:4" x14ac:dyDescent="0.25">
      <c r="A328" t="s">
        <v>1062</v>
      </c>
      <c r="B328">
        <v>6667.9199999999983</v>
      </c>
      <c r="C328">
        <v>0.94034107327463612</v>
      </c>
      <c r="D328" t="str">
        <f t="shared" si="5"/>
        <v>B</v>
      </c>
    </row>
    <row r="329" spans="1:4" x14ac:dyDescent="0.25">
      <c r="A329" t="s">
        <v>988</v>
      </c>
      <c r="B329">
        <v>6468.2751599999992</v>
      </c>
      <c r="C329">
        <v>0.94451215047318948</v>
      </c>
      <c r="D329" t="str">
        <f t="shared" si="5"/>
        <v>B</v>
      </c>
    </row>
    <row r="330" spans="1:4" x14ac:dyDescent="0.25">
      <c r="A330" t="s">
        <v>1331</v>
      </c>
      <c r="B330">
        <v>5962.1422499999999</v>
      </c>
      <c r="C330">
        <v>0.94835684708524681</v>
      </c>
      <c r="D330" t="str">
        <f t="shared" si="5"/>
        <v>C</v>
      </c>
    </row>
    <row r="331" spans="1:4" x14ac:dyDescent="0.25">
      <c r="A331" t="s">
        <v>852</v>
      </c>
      <c r="B331">
        <v>5769.2758000000003</v>
      </c>
      <c r="C331">
        <v>0.95207717346999277</v>
      </c>
      <c r="D331" t="str">
        <f t="shared" si="5"/>
        <v>C</v>
      </c>
    </row>
    <row r="332" spans="1:4" x14ac:dyDescent="0.25">
      <c r="A332" t="s">
        <v>1325</v>
      </c>
      <c r="B332">
        <v>5725.6496000000006</v>
      </c>
      <c r="C332">
        <v>0.95576936743248109</v>
      </c>
      <c r="D332" t="str">
        <f t="shared" si="5"/>
        <v>C</v>
      </c>
    </row>
    <row r="333" spans="1:4" x14ac:dyDescent="0.25">
      <c r="A333" t="s">
        <v>1180</v>
      </c>
      <c r="B333">
        <v>5565.3272500000003</v>
      </c>
      <c r="C333">
        <v>0.95935817728066375</v>
      </c>
      <c r="D333" t="str">
        <f t="shared" si="5"/>
        <v>C</v>
      </c>
    </row>
    <row r="334" spans="1:4" x14ac:dyDescent="0.25">
      <c r="A334" t="s">
        <v>967</v>
      </c>
      <c r="B334">
        <v>5280.8577599999999</v>
      </c>
      <c r="C334">
        <v>0.96276354654011553</v>
      </c>
      <c r="D334" t="str">
        <f t="shared" si="5"/>
        <v>C</v>
      </c>
    </row>
    <row r="335" spans="1:4" x14ac:dyDescent="0.25">
      <c r="A335" t="s">
        <v>1359</v>
      </c>
      <c r="B335">
        <v>5096.4790800000001</v>
      </c>
      <c r="C335">
        <v>0.96605001892381226</v>
      </c>
      <c r="D335" t="str">
        <f t="shared" si="5"/>
        <v>C</v>
      </c>
    </row>
    <row r="336" spans="1:4" x14ac:dyDescent="0.25">
      <c r="A336" t="s">
        <v>1048</v>
      </c>
      <c r="B336">
        <v>5032.4433599999993</v>
      </c>
      <c r="C336">
        <v>0.96929519777484718</v>
      </c>
      <c r="D336" t="str">
        <f t="shared" si="5"/>
        <v>C</v>
      </c>
    </row>
    <row r="337" spans="1:4" x14ac:dyDescent="0.25">
      <c r="A337" t="s">
        <v>813</v>
      </c>
      <c r="B337">
        <v>4877.1379800000004</v>
      </c>
      <c r="C337">
        <v>0.97244022771240746</v>
      </c>
      <c r="D337" t="str">
        <f t="shared" si="5"/>
        <v>C</v>
      </c>
    </row>
    <row r="338" spans="1:4" x14ac:dyDescent="0.25">
      <c r="A338" t="s">
        <v>920</v>
      </c>
      <c r="B338">
        <v>4831.9464600000001</v>
      </c>
      <c r="C338">
        <v>0.97555611582869717</v>
      </c>
      <c r="D338" t="str">
        <f t="shared" si="5"/>
        <v>C</v>
      </c>
    </row>
    <row r="339" spans="1:4" x14ac:dyDescent="0.25">
      <c r="A339" t="s">
        <v>1278</v>
      </c>
      <c r="B339">
        <v>4826.5396199999996</v>
      </c>
      <c r="C339">
        <v>0.978668517335886</v>
      </c>
      <c r="D339" t="str">
        <f t="shared" si="5"/>
        <v>C</v>
      </c>
    </row>
    <row r="340" spans="1:4" x14ac:dyDescent="0.25">
      <c r="A340" t="s">
        <v>1228</v>
      </c>
      <c r="B340">
        <v>4682.9519799999998</v>
      </c>
      <c r="C340">
        <v>0.98168832613228507</v>
      </c>
      <c r="D340" t="str">
        <f t="shared" si="5"/>
        <v>C</v>
      </c>
    </row>
    <row r="341" spans="1:4" x14ac:dyDescent="0.25">
      <c r="A341" t="s">
        <v>992</v>
      </c>
      <c r="B341">
        <v>4375.3620000000001</v>
      </c>
      <c r="C341">
        <v>0.98450978505636966</v>
      </c>
      <c r="D341" t="str">
        <f t="shared" si="5"/>
        <v>C</v>
      </c>
    </row>
    <row r="342" spans="1:4" x14ac:dyDescent="0.25">
      <c r="A342" t="s">
        <v>1031</v>
      </c>
      <c r="B342">
        <v>3190.8713200000002</v>
      </c>
      <c r="C342">
        <v>0.98656742334125203</v>
      </c>
      <c r="D342" t="str">
        <f t="shared" si="5"/>
        <v>C</v>
      </c>
    </row>
    <row r="343" spans="1:4" x14ac:dyDescent="0.25">
      <c r="A343" t="s">
        <v>1052</v>
      </c>
      <c r="B343">
        <v>2915.4540999999999</v>
      </c>
      <c r="C343">
        <v>0.98844745840765424</v>
      </c>
      <c r="D343" t="str">
        <f t="shared" si="5"/>
        <v>C</v>
      </c>
    </row>
    <row r="344" spans="1:4" x14ac:dyDescent="0.25">
      <c r="A344" t="s">
        <v>740</v>
      </c>
      <c r="B344">
        <v>2886.4496399999998</v>
      </c>
      <c r="C344">
        <v>0.99030878990335647</v>
      </c>
      <c r="D344" t="str">
        <f t="shared" si="5"/>
        <v>C</v>
      </c>
    </row>
    <row r="345" spans="1:4" x14ac:dyDescent="0.25">
      <c r="A345" t="s">
        <v>1165</v>
      </c>
      <c r="B345">
        <v>2627.6239999999998</v>
      </c>
      <c r="C345">
        <v>0.99200321728649399</v>
      </c>
      <c r="D345" t="str">
        <f t="shared" si="5"/>
        <v>C</v>
      </c>
    </row>
    <row r="346" spans="1:4" x14ac:dyDescent="0.25">
      <c r="A346" t="s">
        <v>951</v>
      </c>
      <c r="B346">
        <v>2231.6467200000002</v>
      </c>
      <c r="C346">
        <v>0.99344229811078877</v>
      </c>
      <c r="D346" t="str">
        <f t="shared" si="5"/>
        <v>C</v>
      </c>
    </row>
    <row r="347" spans="1:4" x14ac:dyDescent="0.25">
      <c r="A347" t="s">
        <v>1283</v>
      </c>
      <c r="B347">
        <v>1846.8040799999999</v>
      </c>
      <c r="C347">
        <v>0.99463321256599313</v>
      </c>
      <c r="D347" t="str">
        <f t="shared" si="5"/>
        <v>C</v>
      </c>
    </row>
    <row r="348" spans="1:4" x14ac:dyDescent="0.25">
      <c r="A348" t="s">
        <v>1314</v>
      </c>
      <c r="B348">
        <v>1801.4076000000002</v>
      </c>
      <c r="C348">
        <v>0.99579485303115545</v>
      </c>
      <c r="D348" t="str">
        <f t="shared" si="5"/>
        <v>C</v>
      </c>
    </row>
    <row r="349" spans="1:4" x14ac:dyDescent="0.25">
      <c r="A349" t="s">
        <v>945</v>
      </c>
      <c r="B349">
        <v>1774.8072</v>
      </c>
      <c r="C349">
        <v>0.99693934018741126</v>
      </c>
      <c r="D349" t="str">
        <f t="shared" si="5"/>
        <v>C</v>
      </c>
    </row>
    <row r="350" spans="1:4" x14ac:dyDescent="0.25">
      <c r="A350" t="s">
        <v>1039</v>
      </c>
      <c r="B350">
        <v>1641.7107199999998</v>
      </c>
      <c r="C350">
        <v>0.99799799987356053</v>
      </c>
      <c r="D350" t="str">
        <f t="shared" si="5"/>
        <v>C</v>
      </c>
    </row>
    <row r="351" spans="1:4" x14ac:dyDescent="0.25">
      <c r="A351" t="s">
        <v>823</v>
      </c>
      <c r="B351">
        <v>624.43503999999996</v>
      </c>
      <c r="C351">
        <v>0.99840066777078107</v>
      </c>
      <c r="D351" t="str">
        <f t="shared" si="5"/>
        <v>C</v>
      </c>
    </row>
    <row r="352" spans="1:4" x14ac:dyDescent="0.25">
      <c r="A352" t="s">
        <v>981</v>
      </c>
      <c r="B352">
        <v>607.30668000000003</v>
      </c>
      <c r="C352">
        <v>0.99879229041867668</v>
      </c>
      <c r="D352" t="str">
        <f t="shared" si="5"/>
        <v>C</v>
      </c>
    </row>
    <row r="353" spans="1:4" x14ac:dyDescent="0.25">
      <c r="A353" t="s">
        <v>785</v>
      </c>
      <c r="B353">
        <v>599.53200000000004</v>
      </c>
      <c r="C353">
        <v>0.99917889955220074</v>
      </c>
      <c r="D353" t="str">
        <f t="shared" si="5"/>
        <v>C</v>
      </c>
    </row>
    <row r="354" spans="1:4" x14ac:dyDescent="0.25">
      <c r="A354" t="s">
        <v>1265</v>
      </c>
      <c r="B354">
        <v>534.57695999999999</v>
      </c>
      <c r="C354">
        <v>0.99952362232814518</v>
      </c>
      <c r="D354" t="str">
        <f t="shared" si="5"/>
        <v>C</v>
      </c>
    </row>
    <row r="355" spans="1:4" x14ac:dyDescent="0.25">
      <c r="A355" t="s">
        <v>817</v>
      </c>
      <c r="B355">
        <v>524.81174999999996</v>
      </c>
      <c r="C355">
        <v>0.99986204799338207</v>
      </c>
      <c r="D355" t="str">
        <f t="shared" si="5"/>
        <v>C</v>
      </c>
    </row>
    <row r="356" spans="1:4" x14ac:dyDescent="0.25">
      <c r="A356" t="s">
        <v>830</v>
      </c>
      <c r="B356">
        <v>147.00756000000001</v>
      </c>
      <c r="C356">
        <v>0.9999568460448508</v>
      </c>
      <c r="D356" t="str">
        <f t="shared" si="5"/>
        <v>C</v>
      </c>
    </row>
    <row r="357" spans="1:4" x14ac:dyDescent="0.25">
      <c r="A357" t="s">
        <v>1032</v>
      </c>
      <c r="B357">
        <v>66.920760000000001</v>
      </c>
      <c r="C357">
        <v>0.99999999999999967</v>
      </c>
      <c r="D357" t="str">
        <f t="shared" si="5"/>
        <v>C</v>
      </c>
    </row>
    <row r="358" spans="1:4" x14ac:dyDescent="0.25">
      <c r="A358" t="s">
        <v>1349</v>
      </c>
      <c r="B358">
        <v>0</v>
      </c>
      <c r="C358">
        <v>0.99999999999999967</v>
      </c>
      <c r="D358" t="str">
        <f t="shared" si="5"/>
        <v>A</v>
      </c>
    </row>
    <row r="359" spans="1:4" x14ac:dyDescent="0.25">
      <c r="A359" t="s">
        <v>729</v>
      </c>
      <c r="B359">
        <v>1774363.3607200005</v>
      </c>
      <c r="D359" t="str">
        <f t="shared" si="5"/>
        <v>A</v>
      </c>
    </row>
    <row r="360" spans="1:4" x14ac:dyDescent="0.25">
      <c r="A360" t="s">
        <v>781</v>
      </c>
      <c r="B360">
        <v>109244</v>
      </c>
      <c r="C360">
        <v>6.1567998087872493E-2</v>
      </c>
      <c r="D360" t="str">
        <f t="shared" si="5"/>
        <v>A</v>
      </c>
    </row>
    <row r="361" spans="1:4" x14ac:dyDescent="0.25">
      <c r="A361" t="s">
        <v>1345</v>
      </c>
      <c r="B361">
        <v>82141.339799999987</v>
      </c>
      <c r="C361">
        <v>0.10786141330281962</v>
      </c>
      <c r="D361" t="str">
        <f t="shared" si="5"/>
        <v>A</v>
      </c>
    </row>
    <row r="362" spans="1:4" x14ac:dyDescent="0.25">
      <c r="A362" t="s">
        <v>1010</v>
      </c>
      <c r="B362">
        <v>79548.755999999994</v>
      </c>
      <c r="C362">
        <v>0.15269369386102544</v>
      </c>
      <c r="D362" t="str">
        <f t="shared" si="5"/>
        <v>A</v>
      </c>
    </row>
    <row r="363" spans="1:4" x14ac:dyDescent="0.25">
      <c r="A363" t="s">
        <v>957</v>
      </c>
      <c r="B363">
        <v>66988.771199999988</v>
      </c>
      <c r="C363">
        <v>0.19044738776778944</v>
      </c>
      <c r="D363" t="str">
        <f t="shared" si="5"/>
        <v>A</v>
      </c>
    </row>
    <row r="364" spans="1:4" x14ac:dyDescent="0.25">
      <c r="A364" t="s">
        <v>814</v>
      </c>
      <c r="B364">
        <v>60292.805299999993</v>
      </c>
      <c r="C364">
        <v>0.22442735299629507</v>
      </c>
      <c r="D364" t="str">
        <f t="shared" si="5"/>
        <v>A</v>
      </c>
    </row>
    <row r="365" spans="1:4" x14ac:dyDescent="0.25">
      <c r="A365" t="s">
        <v>1324</v>
      </c>
      <c r="B365">
        <v>51768.181920000003</v>
      </c>
      <c r="C365">
        <v>0.25360299033530859</v>
      </c>
      <c r="D365" t="str">
        <f t="shared" si="5"/>
        <v>A</v>
      </c>
    </row>
    <row r="366" spans="1:4" x14ac:dyDescent="0.25">
      <c r="A366" t="s">
        <v>1356</v>
      </c>
      <c r="B366">
        <v>50090.397499999999</v>
      </c>
      <c r="C366">
        <v>0.28183305786762869</v>
      </c>
      <c r="D366" t="str">
        <f t="shared" si="5"/>
        <v>A</v>
      </c>
    </row>
    <row r="367" spans="1:4" x14ac:dyDescent="0.25">
      <c r="A367" t="s">
        <v>1091</v>
      </c>
      <c r="B367">
        <v>49336.511399999996</v>
      </c>
      <c r="C367">
        <v>0.30963824844594423</v>
      </c>
      <c r="D367" t="str">
        <f t="shared" si="5"/>
        <v>A</v>
      </c>
    </row>
    <row r="368" spans="1:4" x14ac:dyDescent="0.25">
      <c r="A368" t="s">
        <v>937</v>
      </c>
      <c r="B368">
        <v>47962.717579999997</v>
      </c>
      <c r="C368">
        <v>0.33666919297612075</v>
      </c>
      <c r="D368" t="str">
        <f t="shared" si="5"/>
        <v>A</v>
      </c>
    </row>
    <row r="369" spans="1:4" x14ac:dyDescent="0.25">
      <c r="A369" t="s">
        <v>1116</v>
      </c>
      <c r="B369">
        <v>47693.373</v>
      </c>
      <c r="C369">
        <v>0.36354833963560035</v>
      </c>
      <c r="D369" t="str">
        <f t="shared" si="5"/>
        <v>A</v>
      </c>
    </row>
    <row r="370" spans="1:4" x14ac:dyDescent="0.25">
      <c r="A370" t="s">
        <v>1110</v>
      </c>
      <c r="B370">
        <v>43553.493060000001</v>
      </c>
      <c r="C370">
        <v>0.38809432273250499</v>
      </c>
      <c r="D370" t="str">
        <f t="shared" si="5"/>
        <v>A</v>
      </c>
    </row>
    <row r="371" spans="1:4" x14ac:dyDescent="0.25">
      <c r="A371" t="s">
        <v>1213</v>
      </c>
      <c r="B371">
        <v>40488.792960000006</v>
      </c>
      <c r="C371">
        <v>0.41091309472493975</v>
      </c>
      <c r="D371" t="str">
        <f t="shared" si="5"/>
        <v>A</v>
      </c>
    </row>
    <row r="372" spans="1:4" x14ac:dyDescent="0.25">
      <c r="A372" t="s">
        <v>1036</v>
      </c>
      <c r="B372">
        <v>39686.4182</v>
      </c>
      <c r="C372">
        <v>0.43327966240693699</v>
      </c>
      <c r="D372" t="str">
        <f t="shared" si="5"/>
        <v>A</v>
      </c>
    </row>
    <row r="373" spans="1:4" x14ac:dyDescent="0.25">
      <c r="A373" t="s">
        <v>1056</v>
      </c>
      <c r="B373">
        <v>39546.774539999999</v>
      </c>
      <c r="C373">
        <v>0.45556752937684147</v>
      </c>
      <c r="D373" t="str">
        <f t="shared" si="5"/>
        <v>A</v>
      </c>
    </row>
    <row r="374" spans="1:4" x14ac:dyDescent="0.25">
      <c r="A374" t="s">
        <v>854</v>
      </c>
      <c r="B374">
        <v>39516.804389999998</v>
      </c>
      <c r="C374">
        <v>0.47783850569702696</v>
      </c>
      <c r="D374" t="str">
        <f t="shared" si="5"/>
        <v>A</v>
      </c>
    </row>
    <row r="375" spans="1:4" x14ac:dyDescent="0.25">
      <c r="A375" t="s">
        <v>782</v>
      </c>
      <c r="B375">
        <v>35621.302319999995</v>
      </c>
      <c r="C375">
        <v>0.49791404552644819</v>
      </c>
      <c r="D375" t="str">
        <f t="shared" si="5"/>
        <v>A</v>
      </c>
    </row>
    <row r="376" spans="1:4" x14ac:dyDescent="0.25">
      <c r="A376" t="s">
        <v>1087</v>
      </c>
      <c r="B376">
        <v>34816.968000000001</v>
      </c>
      <c r="C376">
        <v>0.51753627667186142</v>
      </c>
      <c r="D376" t="str">
        <f t="shared" si="5"/>
        <v>A</v>
      </c>
    </row>
    <row r="377" spans="1:4" x14ac:dyDescent="0.25">
      <c r="A377" t="s">
        <v>1301</v>
      </c>
      <c r="B377">
        <v>34307.159999999996</v>
      </c>
      <c r="C377">
        <v>0.53687118898997799</v>
      </c>
      <c r="D377" t="str">
        <f t="shared" si="5"/>
        <v>A</v>
      </c>
    </row>
    <row r="378" spans="1:4" x14ac:dyDescent="0.25">
      <c r="A378" t="s">
        <v>1113</v>
      </c>
      <c r="B378">
        <v>33200.038079999998</v>
      </c>
      <c r="C378">
        <v>0.55558214685518559</v>
      </c>
      <c r="D378" t="str">
        <f t="shared" si="5"/>
        <v>A</v>
      </c>
    </row>
    <row r="379" spans="1:4" x14ac:dyDescent="0.25">
      <c r="A379" t="s">
        <v>1357</v>
      </c>
      <c r="B379">
        <v>32704.386400000003</v>
      </c>
      <c r="C379">
        <v>0.57401376414620608</v>
      </c>
      <c r="D379" t="str">
        <f t="shared" si="5"/>
        <v>A</v>
      </c>
    </row>
    <row r="380" spans="1:4" x14ac:dyDescent="0.25">
      <c r="A380" t="s">
        <v>779</v>
      </c>
      <c r="B380">
        <v>32506.559399999998</v>
      </c>
      <c r="C380">
        <v>0.5923338896174678</v>
      </c>
      <c r="D380" t="str">
        <f t="shared" si="5"/>
        <v>A</v>
      </c>
    </row>
    <row r="381" spans="1:4" x14ac:dyDescent="0.25">
      <c r="A381" t="s">
        <v>1147</v>
      </c>
      <c r="B381">
        <v>31513.423040000001</v>
      </c>
      <c r="C381">
        <v>0.61009430089377614</v>
      </c>
      <c r="D381" t="str">
        <f t="shared" si="5"/>
        <v>A</v>
      </c>
    </row>
    <row r="382" spans="1:4" x14ac:dyDescent="0.25">
      <c r="A382" t="s">
        <v>1229</v>
      </c>
      <c r="B382">
        <v>30692.47896</v>
      </c>
      <c r="C382">
        <v>0.62739204251731018</v>
      </c>
      <c r="D382" t="str">
        <f t="shared" si="5"/>
        <v>A</v>
      </c>
    </row>
    <row r="383" spans="1:4" x14ac:dyDescent="0.25">
      <c r="A383" t="s">
        <v>960</v>
      </c>
      <c r="B383">
        <v>30479.418970000002</v>
      </c>
      <c r="C383">
        <v>0.64456970727568985</v>
      </c>
      <c r="D383" t="str">
        <f t="shared" si="5"/>
        <v>A</v>
      </c>
    </row>
    <row r="384" spans="1:4" x14ac:dyDescent="0.25">
      <c r="A384" t="s">
        <v>1354</v>
      </c>
      <c r="B384">
        <v>30229.994880000002</v>
      </c>
      <c r="C384">
        <v>0.66160680100137015</v>
      </c>
      <c r="D384" t="str">
        <f t="shared" si="5"/>
        <v>A</v>
      </c>
    </row>
    <row r="385" spans="1:4" x14ac:dyDescent="0.25">
      <c r="A385" t="s">
        <v>1282</v>
      </c>
      <c r="B385">
        <v>29673.454499999993</v>
      </c>
      <c r="C385">
        <v>0.67833023835185691</v>
      </c>
      <c r="D385" t="str">
        <f t="shared" si="5"/>
        <v>A</v>
      </c>
    </row>
    <row r="386" spans="1:4" x14ac:dyDescent="0.25">
      <c r="A386" t="s">
        <v>878</v>
      </c>
      <c r="B386">
        <v>25672.127039999999</v>
      </c>
      <c r="C386">
        <v>0.69279859788199438</v>
      </c>
      <c r="D386" t="str">
        <f t="shared" si="5"/>
        <v>A</v>
      </c>
    </row>
    <row r="387" spans="1:4" x14ac:dyDescent="0.25">
      <c r="A387" t="s">
        <v>1230</v>
      </c>
      <c r="B387">
        <v>25249.613219999999</v>
      </c>
      <c r="C387">
        <v>0.70702883605020939</v>
      </c>
      <c r="D387" t="str">
        <f t="shared" ref="D387:D450" si="6">IF(C388&lt;=0.8,"A",IF(C388&lt;=0.95,"B","C"))</f>
        <v>A</v>
      </c>
    </row>
    <row r="388" spans="1:4" x14ac:dyDescent="0.25">
      <c r="A388" t="s">
        <v>1217</v>
      </c>
      <c r="B388">
        <v>21908.731650000002</v>
      </c>
      <c r="C388">
        <v>0.71937621209223368</v>
      </c>
      <c r="D388" t="str">
        <f t="shared" si="6"/>
        <v>A</v>
      </c>
    </row>
    <row r="389" spans="1:4" x14ac:dyDescent="0.25">
      <c r="A389" t="s">
        <v>818</v>
      </c>
      <c r="B389">
        <v>21062.61248</v>
      </c>
      <c r="C389">
        <v>0.73124673024329223</v>
      </c>
      <c r="D389" t="str">
        <f t="shared" si="6"/>
        <v>A</v>
      </c>
    </row>
    <row r="390" spans="1:4" x14ac:dyDescent="0.25">
      <c r="A390" t="s">
        <v>763</v>
      </c>
      <c r="B390">
        <v>20084.133720000002</v>
      </c>
      <c r="C390">
        <v>0.74256579496510333</v>
      </c>
      <c r="D390" t="str">
        <f t="shared" si="6"/>
        <v>A</v>
      </c>
    </row>
    <row r="391" spans="1:4" x14ac:dyDescent="0.25">
      <c r="A391" t="s">
        <v>1021</v>
      </c>
      <c r="B391">
        <v>20028.787380000002</v>
      </c>
      <c r="C391">
        <v>0.7538536674625792</v>
      </c>
      <c r="D391" t="str">
        <f t="shared" si="6"/>
        <v>A</v>
      </c>
    </row>
    <row r="392" spans="1:4" x14ac:dyDescent="0.25">
      <c r="A392" t="s">
        <v>755</v>
      </c>
      <c r="B392">
        <v>19903.585040000002</v>
      </c>
      <c r="C392">
        <v>0.76507097812206193</v>
      </c>
      <c r="D392" t="str">
        <f t="shared" si="6"/>
        <v>A</v>
      </c>
    </row>
    <row r="393" spans="1:4" x14ac:dyDescent="0.25">
      <c r="A393" t="s">
        <v>1284</v>
      </c>
      <c r="B393">
        <v>18830.12472</v>
      </c>
      <c r="C393">
        <v>0.77568330541468533</v>
      </c>
      <c r="D393" t="str">
        <f t="shared" si="6"/>
        <v>A</v>
      </c>
    </row>
    <row r="394" spans="1:4" x14ac:dyDescent="0.25">
      <c r="A394" t="s">
        <v>1346</v>
      </c>
      <c r="B394">
        <v>18500.693520000001</v>
      </c>
      <c r="C394">
        <v>0.7861099710737941</v>
      </c>
      <c r="D394" t="str">
        <f t="shared" si="6"/>
        <v>A</v>
      </c>
    </row>
    <row r="395" spans="1:4" x14ac:dyDescent="0.25">
      <c r="A395" t="s">
        <v>1133</v>
      </c>
      <c r="B395">
        <v>17731.623</v>
      </c>
      <c r="C395">
        <v>0.79610320210670094</v>
      </c>
      <c r="D395" t="str">
        <f t="shared" si="6"/>
        <v>B</v>
      </c>
    </row>
    <row r="396" spans="1:4" x14ac:dyDescent="0.25">
      <c r="A396" t="s">
        <v>1051</v>
      </c>
      <c r="B396">
        <v>16306.59375</v>
      </c>
      <c r="C396">
        <v>0.80529331170374707</v>
      </c>
      <c r="D396" t="str">
        <f t="shared" si="6"/>
        <v>B</v>
      </c>
    </row>
    <row r="397" spans="1:4" x14ac:dyDescent="0.25">
      <c r="A397" t="s">
        <v>863</v>
      </c>
      <c r="B397">
        <v>16071.44868</v>
      </c>
      <c r="C397">
        <v>0.81435089767276669</v>
      </c>
      <c r="D397" t="str">
        <f t="shared" si="6"/>
        <v>B</v>
      </c>
    </row>
    <row r="398" spans="1:4" x14ac:dyDescent="0.25">
      <c r="A398" t="s">
        <v>1240</v>
      </c>
      <c r="B398">
        <v>15323.926799999999</v>
      </c>
      <c r="C398">
        <v>0.82298719345030225</v>
      </c>
      <c r="D398" t="str">
        <f t="shared" si="6"/>
        <v>B</v>
      </c>
    </row>
    <row r="399" spans="1:4" x14ac:dyDescent="0.25">
      <c r="A399" t="s">
        <v>949</v>
      </c>
      <c r="B399">
        <v>15253.069799999999</v>
      </c>
      <c r="C399">
        <v>0.83158355546817586</v>
      </c>
      <c r="D399" t="str">
        <f t="shared" si="6"/>
        <v>B</v>
      </c>
    </row>
    <row r="400" spans="1:4" x14ac:dyDescent="0.25">
      <c r="A400" t="s">
        <v>1200</v>
      </c>
      <c r="B400">
        <v>14261.92439</v>
      </c>
      <c r="C400">
        <v>0.83962132535551892</v>
      </c>
      <c r="D400" t="str">
        <f t="shared" si="6"/>
        <v>B</v>
      </c>
    </row>
    <row r="401" spans="1:4" x14ac:dyDescent="0.25">
      <c r="A401" t="s">
        <v>1309</v>
      </c>
      <c r="B401">
        <v>13882.6016</v>
      </c>
      <c r="C401">
        <v>0.84744531558622715</v>
      </c>
      <c r="D401" t="str">
        <f t="shared" si="6"/>
        <v>B</v>
      </c>
    </row>
    <row r="402" spans="1:4" x14ac:dyDescent="0.25">
      <c r="A402" t="s">
        <v>1015</v>
      </c>
      <c r="B402">
        <v>13360.438</v>
      </c>
      <c r="C402">
        <v>0.85497502359066813</v>
      </c>
      <c r="D402" t="str">
        <f t="shared" si="6"/>
        <v>B</v>
      </c>
    </row>
    <row r="403" spans="1:4" x14ac:dyDescent="0.25">
      <c r="A403" t="s">
        <v>1114</v>
      </c>
      <c r="B403">
        <v>12881.097599999999</v>
      </c>
      <c r="C403">
        <v>0.86223458377160711</v>
      </c>
      <c r="D403" t="str">
        <f t="shared" si="6"/>
        <v>B</v>
      </c>
    </row>
    <row r="404" spans="1:4" x14ac:dyDescent="0.25">
      <c r="A404" t="s">
        <v>1308</v>
      </c>
      <c r="B404">
        <v>12091.190399999999</v>
      </c>
      <c r="C404">
        <v>0.86904896613976734</v>
      </c>
      <c r="D404" t="str">
        <f t="shared" si="6"/>
        <v>B</v>
      </c>
    </row>
    <row r="405" spans="1:4" x14ac:dyDescent="0.25">
      <c r="A405" t="s">
        <v>857</v>
      </c>
      <c r="B405">
        <v>10817.3416</v>
      </c>
      <c r="C405">
        <v>0.87514542971620779</v>
      </c>
      <c r="D405" t="str">
        <f t="shared" si="6"/>
        <v>B</v>
      </c>
    </row>
    <row r="406" spans="1:4" x14ac:dyDescent="0.25">
      <c r="A406" t="s">
        <v>1277</v>
      </c>
      <c r="B406">
        <v>10792.637119999999</v>
      </c>
      <c r="C406">
        <v>0.88122797028198041</v>
      </c>
      <c r="D406" t="str">
        <f t="shared" si="6"/>
        <v>B</v>
      </c>
    </row>
    <row r="407" spans="1:4" x14ac:dyDescent="0.25">
      <c r="A407" t="s">
        <v>1348</v>
      </c>
      <c r="B407">
        <v>10786.32144</v>
      </c>
      <c r="C407">
        <v>0.88730695144152327</v>
      </c>
      <c r="D407" t="str">
        <f t="shared" si="6"/>
        <v>B</v>
      </c>
    </row>
    <row r="408" spans="1:4" x14ac:dyDescent="0.25">
      <c r="A408" t="s">
        <v>775</v>
      </c>
      <c r="B408">
        <v>10558.74</v>
      </c>
      <c r="C408">
        <v>0.89325767170195258</v>
      </c>
      <c r="D408" t="str">
        <f t="shared" si="6"/>
        <v>B</v>
      </c>
    </row>
    <row r="409" spans="1:4" x14ac:dyDescent="0.25">
      <c r="A409" t="s">
        <v>1237</v>
      </c>
      <c r="B409">
        <v>10189.8891</v>
      </c>
      <c r="C409">
        <v>0.89900051407887438</v>
      </c>
      <c r="D409" t="str">
        <f t="shared" si="6"/>
        <v>B</v>
      </c>
    </row>
    <row r="410" spans="1:4" x14ac:dyDescent="0.25">
      <c r="A410" t="s">
        <v>1296</v>
      </c>
      <c r="B410">
        <v>10166.535600000001</v>
      </c>
      <c r="C410">
        <v>0.90473019483370842</v>
      </c>
      <c r="D410" t="str">
        <f t="shared" si="6"/>
        <v>B</v>
      </c>
    </row>
    <row r="411" spans="1:4" x14ac:dyDescent="0.25">
      <c r="A411" t="s">
        <v>1251</v>
      </c>
      <c r="B411">
        <v>9807.7842799999999</v>
      </c>
      <c r="C411">
        <v>0.91025768965079035</v>
      </c>
      <c r="D411" t="str">
        <f t="shared" si="6"/>
        <v>B</v>
      </c>
    </row>
    <row r="412" spans="1:4" x14ac:dyDescent="0.25">
      <c r="A412" t="s">
        <v>766</v>
      </c>
      <c r="B412">
        <v>9647.3852800000004</v>
      </c>
      <c r="C412">
        <v>0.915694786410997</v>
      </c>
      <c r="D412" t="str">
        <f t="shared" si="6"/>
        <v>B</v>
      </c>
    </row>
    <row r="413" spans="1:4" x14ac:dyDescent="0.25">
      <c r="A413" t="s">
        <v>807</v>
      </c>
      <c r="B413">
        <v>9373.460219999999</v>
      </c>
      <c r="C413">
        <v>0.92097750382249521</v>
      </c>
      <c r="D413" t="str">
        <f t="shared" si="6"/>
        <v>B</v>
      </c>
    </row>
    <row r="414" spans="1:4" x14ac:dyDescent="0.25">
      <c r="A414" t="s">
        <v>1263</v>
      </c>
      <c r="B414">
        <v>9262.0686600000008</v>
      </c>
      <c r="C414">
        <v>0.92619744290883987</v>
      </c>
      <c r="D414" t="str">
        <f t="shared" si="6"/>
        <v>B</v>
      </c>
    </row>
    <row r="415" spans="1:4" x14ac:dyDescent="0.25">
      <c r="A415" t="s">
        <v>889</v>
      </c>
      <c r="B415">
        <v>8909.6646800000017</v>
      </c>
      <c r="C415">
        <v>0.93121877330668157</v>
      </c>
      <c r="D415" t="str">
        <f t="shared" si="6"/>
        <v>B</v>
      </c>
    </row>
    <row r="416" spans="1:4" x14ac:dyDescent="0.25">
      <c r="A416" t="s">
        <v>1065</v>
      </c>
      <c r="B416">
        <v>8764.4065599999994</v>
      </c>
      <c r="C416">
        <v>0.93615823878146665</v>
      </c>
      <c r="D416" t="str">
        <f t="shared" si="6"/>
        <v>B</v>
      </c>
    </row>
    <row r="417" spans="1:4" x14ac:dyDescent="0.25">
      <c r="A417" t="s">
        <v>1236</v>
      </c>
      <c r="B417">
        <v>8637.1874499999994</v>
      </c>
      <c r="C417">
        <v>0.9410260058021378</v>
      </c>
      <c r="D417" t="str">
        <f t="shared" si="6"/>
        <v>B</v>
      </c>
    </row>
    <row r="418" spans="1:4" x14ac:dyDescent="0.25">
      <c r="A418" t="s">
        <v>932</v>
      </c>
      <c r="B418">
        <v>8349.2224200000001</v>
      </c>
      <c r="C418">
        <v>0.94573148079380587</v>
      </c>
      <c r="D418" t="str">
        <f t="shared" si="6"/>
        <v>C</v>
      </c>
    </row>
    <row r="419" spans="1:4" x14ac:dyDescent="0.25">
      <c r="A419" t="s">
        <v>824</v>
      </c>
      <c r="B419">
        <v>8324.8326000000015</v>
      </c>
      <c r="C419">
        <v>0.95042321011165087</v>
      </c>
      <c r="D419" t="str">
        <f t="shared" si="6"/>
        <v>C</v>
      </c>
    </row>
    <row r="420" spans="1:4" x14ac:dyDescent="0.25">
      <c r="A420" t="s">
        <v>996</v>
      </c>
      <c r="B420">
        <v>8186.057600000001</v>
      </c>
      <c r="C420">
        <v>0.95503672827890962</v>
      </c>
      <c r="D420" t="str">
        <f t="shared" si="6"/>
        <v>C</v>
      </c>
    </row>
    <row r="421" spans="1:4" x14ac:dyDescent="0.25">
      <c r="A421" t="s">
        <v>1269</v>
      </c>
      <c r="B421">
        <v>7823.4472399999995</v>
      </c>
      <c r="C421">
        <v>0.95944588562130717</v>
      </c>
      <c r="D421" t="str">
        <f t="shared" si="6"/>
        <v>C</v>
      </c>
    </row>
    <row r="422" spans="1:4" x14ac:dyDescent="0.25">
      <c r="A422" t="s">
        <v>1055</v>
      </c>
      <c r="B422">
        <v>7493.1076000000012</v>
      </c>
      <c r="C422">
        <v>0.96366886934937479</v>
      </c>
      <c r="D422" t="str">
        <f t="shared" si="6"/>
        <v>C</v>
      </c>
    </row>
    <row r="423" spans="1:4" x14ac:dyDescent="0.25">
      <c r="A423" t="s">
        <v>890</v>
      </c>
      <c r="B423">
        <v>7203.8047000000006</v>
      </c>
      <c r="C423">
        <v>0.96772880704842468</v>
      </c>
      <c r="D423" t="str">
        <f t="shared" si="6"/>
        <v>C</v>
      </c>
    </row>
    <row r="424" spans="1:4" x14ac:dyDescent="0.25">
      <c r="A424" t="s">
        <v>1112</v>
      </c>
      <c r="B424">
        <v>6576.298960000001</v>
      </c>
      <c r="C424">
        <v>0.97143509354282775</v>
      </c>
      <c r="D424" t="str">
        <f t="shared" si="6"/>
        <v>C</v>
      </c>
    </row>
    <row r="425" spans="1:4" x14ac:dyDescent="0.25">
      <c r="A425" t="s">
        <v>1169</v>
      </c>
      <c r="B425">
        <v>5546.4642200000008</v>
      </c>
      <c r="C425">
        <v>0.97456098328040053</v>
      </c>
      <c r="D425" t="str">
        <f t="shared" si="6"/>
        <v>C</v>
      </c>
    </row>
    <row r="426" spans="1:4" x14ac:dyDescent="0.25">
      <c r="A426" t="s">
        <v>832</v>
      </c>
      <c r="B426">
        <v>5328.4890400000004</v>
      </c>
      <c r="C426">
        <v>0.97756402603813519</v>
      </c>
      <c r="D426" t="str">
        <f t="shared" si="6"/>
        <v>C</v>
      </c>
    </row>
    <row r="427" spans="1:4" x14ac:dyDescent="0.25">
      <c r="A427" t="s">
        <v>1311</v>
      </c>
      <c r="B427">
        <v>4280.6786400000001</v>
      </c>
      <c r="C427">
        <v>0.97997654127304346</v>
      </c>
      <c r="D427" t="str">
        <f t="shared" si="6"/>
        <v>C</v>
      </c>
    </row>
    <row r="428" spans="1:4" x14ac:dyDescent="0.25">
      <c r="A428" t="s">
        <v>928</v>
      </c>
      <c r="B428">
        <v>3928.3797600000003</v>
      </c>
      <c r="C428">
        <v>0.98219050705196143</v>
      </c>
      <c r="D428" t="str">
        <f t="shared" si="6"/>
        <v>C</v>
      </c>
    </row>
    <row r="429" spans="1:4" x14ac:dyDescent="0.25">
      <c r="A429" t="s">
        <v>1041</v>
      </c>
      <c r="B429">
        <v>3644.3212800000006</v>
      </c>
      <c r="C429">
        <v>0.98424438246478629</v>
      </c>
      <c r="D429" t="str">
        <f t="shared" si="6"/>
        <v>C</v>
      </c>
    </row>
    <row r="430" spans="1:4" x14ac:dyDescent="0.25">
      <c r="A430" t="s">
        <v>982</v>
      </c>
      <c r="B430">
        <v>3592.04</v>
      </c>
      <c r="C430">
        <v>0.98626879306721349</v>
      </c>
      <c r="D430" t="str">
        <f t="shared" si="6"/>
        <v>C</v>
      </c>
    </row>
    <row r="431" spans="1:4" x14ac:dyDescent="0.25">
      <c r="A431" t="s">
        <v>1272</v>
      </c>
      <c r="B431">
        <v>3340.6370000000002</v>
      </c>
      <c r="C431">
        <v>0.98815151735805129</v>
      </c>
      <c r="D431" t="str">
        <f t="shared" si="6"/>
        <v>C</v>
      </c>
    </row>
    <row r="432" spans="1:4" x14ac:dyDescent="0.25">
      <c r="A432" t="s">
        <v>1078</v>
      </c>
      <c r="B432">
        <v>3175.1547799999998</v>
      </c>
      <c r="C432">
        <v>0.98994097877857545</v>
      </c>
      <c r="D432" t="str">
        <f t="shared" si="6"/>
        <v>C</v>
      </c>
    </row>
    <row r="433" spans="1:4" x14ac:dyDescent="0.25">
      <c r="A433" t="s">
        <v>1172</v>
      </c>
      <c r="B433">
        <v>2795.6384399999997</v>
      </c>
      <c r="C433">
        <v>0.99151655146108708</v>
      </c>
      <c r="D433" t="str">
        <f t="shared" si="6"/>
        <v>C</v>
      </c>
    </row>
    <row r="434" spans="1:4" x14ac:dyDescent="0.25">
      <c r="A434" t="s">
        <v>991</v>
      </c>
      <c r="B434">
        <v>2394.1605599999998</v>
      </c>
      <c r="C434">
        <v>0.99286585826768636</v>
      </c>
      <c r="D434" t="str">
        <f t="shared" si="6"/>
        <v>C</v>
      </c>
    </row>
    <row r="435" spans="1:4" x14ac:dyDescent="0.25">
      <c r="A435" t="s">
        <v>1353</v>
      </c>
      <c r="B435">
        <v>2355.2113199999999</v>
      </c>
      <c r="C435">
        <v>0.994193213967279</v>
      </c>
      <c r="D435" t="str">
        <f t="shared" si="6"/>
        <v>C</v>
      </c>
    </row>
    <row r="436" spans="1:4" x14ac:dyDescent="0.25">
      <c r="A436" t="s">
        <v>1167</v>
      </c>
      <c r="B436">
        <v>1950.0031200000001</v>
      </c>
      <c r="C436">
        <v>0.99529220144817965</v>
      </c>
      <c r="D436" t="str">
        <f t="shared" si="6"/>
        <v>C</v>
      </c>
    </row>
    <row r="437" spans="1:4" x14ac:dyDescent="0.25">
      <c r="A437" t="s">
        <v>1196</v>
      </c>
      <c r="B437">
        <v>1886.9915999999998</v>
      </c>
      <c r="C437">
        <v>0.99635567674403691</v>
      </c>
      <c r="D437" t="str">
        <f t="shared" si="6"/>
        <v>C</v>
      </c>
    </row>
    <row r="438" spans="1:4" x14ac:dyDescent="0.25">
      <c r="A438" t="s">
        <v>842</v>
      </c>
      <c r="B438">
        <v>1660.3999999999999</v>
      </c>
      <c r="C438">
        <v>0.99729144899720501</v>
      </c>
      <c r="D438" t="str">
        <f t="shared" si="6"/>
        <v>C</v>
      </c>
    </row>
    <row r="439" spans="1:4" x14ac:dyDescent="0.25">
      <c r="A439" t="s">
        <v>848</v>
      </c>
      <c r="B439">
        <v>1499.22</v>
      </c>
      <c r="C439">
        <v>0.99813638303562635</v>
      </c>
      <c r="D439" t="str">
        <f t="shared" si="6"/>
        <v>C</v>
      </c>
    </row>
    <row r="440" spans="1:4" x14ac:dyDescent="0.25">
      <c r="A440" t="s">
        <v>1075</v>
      </c>
      <c r="B440">
        <v>1115.1975999999997</v>
      </c>
      <c r="C440">
        <v>0.99876488879982761</v>
      </c>
      <c r="D440" t="str">
        <f t="shared" si="6"/>
        <v>C</v>
      </c>
    </row>
    <row r="441" spans="1:4" x14ac:dyDescent="0.25">
      <c r="A441" t="s">
        <v>1334</v>
      </c>
      <c r="B441">
        <v>1062.5902000000001</v>
      </c>
      <c r="C441">
        <v>0.99936374595813193</v>
      </c>
      <c r="D441" t="str">
        <f t="shared" si="6"/>
        <v>C</v>
      </c>
    </row>
    <row r="442" spans="1:4" x14ac:dyDescent="0.25">
      <c r="A442" t="s">
        <v>1045</v>
      </c>
      <c r="B442">
        <v>879.05840000000001</v>
      </c>
      <c r="C442">
        <v>0.99985916782011353</v>
      </c>
      <c r="D442" t="str">
        <f t="shared" si="6"/>
        <v>C</v>
      </c>
    </row>
    <row r="443" spans="1:4" x14ac:dyDescent="0.25">
      <c r="A443" t="s">
        <v>788</v>
      </c>
      <c r="B443">
        <v>215.19839999999996</v>
      </c>
      <c r="C443">
        <v>0.99998044985555457</v>
      </c>
      <c r="D443" t="str">
        <f t="shared" si="6"/>
        <v>C</v>
      </c>
    </row>
    <row r="444" spans="1:4" x14ac:dyDescent="0.25">
      <c r="A444" t="s">
        <v>846</v>
      </c>
      <c r="B444">
        <v>34.689059999999998</v>
      </c>
      <c r="C444">
        <v>0.99999999999999956</v>
      </c>
      <c r="D444" t="str">
        <f t="shared" si="6"/>
        <v>C</v>
      </c>
    </row>
    <row r="445" spans="1:4" x14ac:dyDescent="0.25">
      <c r="A445" t="s">
        <v>736</v>
      </c>
      <c r="B445">
        <v>0</v>
      </c>
      <c r="C445">
        <v>0.99999999999999956</v>
      </c>
      <c r="D445" t="str">
        <f t="shared" si="6"/>
        <v>A</v>
      </c>
    </row>
    <row r="446" spans="1:4" x14ac:dyDescent="0.25">
      <c r="A446" t="s">
        <v>730</v>
      </c>
      <c r="B446">
        <v>1399242.2240200001</v>
      </c>
      <c r="D446" t="str">
        <f t="shared" si="6"/>
        <v>A</v>
      </c>
    </row>
    <row r="447" spans="1:4" x14ac:dyDescent="0.25">
      <c r="A447" t="s">
        <v>1320</v>
      </c>
      <c r="B447">
        <v>68665.574250000005</v>
      </c>
      <c r="C447">
        <v>4.9073400638757834E-2</v>
      </c>
      <c r="D447" t="str">
        <f t="shared" si="6"/>
        <v>A</v>
      </c>
    </row>
    <row r="448" spans="1:4" x14ac:dyDescent="0.25">
      <c r="A448" t="s">
        <v>834</v>
      </c>
      <c r="B448">
        <v>52780.07</v>
      </c>
      <c r="C448">
        <v>8.6793867541453018E-2</v>
      </c>
      <c r="D448" t="str">
        <f t="shared" si="6"/>
        <v>A</v>
      </c>
    </row>
    <row r="449" spans="1:4" x14ac:dyDescent="0.25">
      <c r="A449" t="s">
        <v>883</v>
      </c>
      <c r="B449">
        <v>42495.805439999996</v>
      </c>
      <c r="C449">
        <v>0.11716445292724151</v>
      </c>
      <c r="D449" t="str">
        <f t="shared" si="6"/>
        <v>A</v>
      </c>
    </row>
    <row r="450" spans="1:4" x14ac:dyDescent="0.25">
      <c r="A450" t="s">
        <v>915</v>
      </c>
      <c r="B450">
        <v>41352.246200000009</v>
      </c>
      <c r="C450">
        <v>0.14671776792169305</v>
      </c>
      <c r="D450" t="str">
        <f t="shared" si="6"/>
        <v>A</v>
      </c>
    </row>
    <row r="451" spans="1:4" x14ac:dyDescent="0.25">
      <c r="A451" t="s">
        <v>1162</v>
      </c>
      <c r="B451">
        <v>41138.261999999995</v>
      </c>
      <c r="C451">
        <v>0.17611815428354144</v>
      </c>
      <c r="D451" t="str">
        <f t="shared" ref="D451:D514" si="7">IF(C452&lt;=0.8,"A",IF(C452&lt;=0.95,"B","C"))</f>
        <v>A</v>
      </c>
    </row>
    <row r="452" spans="1:4" x14ac:dyDescent="0.25">
      <c r="A452" t="s">
        <v>1109</v>
      </c>
      <c r="B452">
        <v>38422.022320000004</v>
      </c>
      <c r="C452">
        <v>0.20357731872300078</v>
      </c>
      <c r="D452" t="str">
        <f t="shared" si="7"/>
        <v>A</v>
      </c>
    </row>
    <row r="453" spans="1:4" x14ac:dyDescent="0.25">
      <c r="A453" t="s">
        <v>970</v>
      </c>
      <c r="B453">
        <v>37038.581760000001</v>
      </c>
      <c r="C453">
        <v>0.23004777617788574</v>
      </c>
      <c r="D453" t="str">
        <f t="shared" si="7"/>
        <v>A</v>
      </c>
    </row>
    <row r="454" spans="1:4" x14ac:dyDescent="0.25">
      <c r="A454" t="s">
        <v>751</v>
      </c>
      <c r="B454">
        <v>35367.211040000002</v>
      </c>
      <c r="C454">
        <v>0.25532375086823678</v>
      </c>
      <c r="D454" t="str">
        <f t="shared" si="7"/>
        <v>A</v>
      </c>
    </row>
    <row r="455" spans="1:4" x14ac:dyDescent="0.25">
      <c r="A455" t="s">
        <v>1012</v>
      </c>
      <c r="B455">
        <v>34840.344000000005</v>
      </c>
      <c r="C455">
        <v>0.28022318815072833</v>
      </c>
      <c r="D455" t="str">
        <f t="shared" si="7"/>
        <v>A</v>
      </c>
    </row>
    <row r="456" spans="1:4" x14ac:dyDescent="0.25">
      <c r="A456" t="s">
        <v>1239</v>
      </c>
      <c r="B456">
        <v>34800.431400000001</v>
      </c>
      <c r="C456">
        <v>0.30509410099383777</v>
      </c>
      <c r="D456" t="str">
        <f t="shared" si="7"/>
        <v>A</v>
      </c>
    </row>
    <row r="457" spans="1:4" x14ac:dyDescent="0.25">
      <c r="A457" t="s">
        <v>1287</v>
      </c>
      <c r="B457">
        <v>33551.927499999998</v>
      </c>
      <c r="C457">
        <v>0.32907274237846224</v>
      </c>
      <c r="D457" t="str">
        <f t="shared" si="7"/>
        <v>A</v>
      </c>
    </row>
    <row r="458" spans="1:4" x14ac:dyDescent="0.25">
      <c r="A458" t="s">
        <v>1294</v>
      </c>
      <c r="B458">
        <v>33071.3145</v>
      </c>
      <c r="C458">
        <v>0.35270790284766723</v>
      </c>
      <c r="D458" t="str">
        <f t="shared" si="7"/>
        <v>A</v>
      </c>
    </row>
    <row r="459" spans="1:4" x14ac:dyDescent="0.25">
      <c r="A459" t="s">
        <v>1360</v>
      </c>
      <c r="B459">
        <v>33017.42</v>
      </c>
      <c r="C459">
        <v>0.37630454639744632</v>
      </c>
      <c r="D459" t="str">
        <f t="shared" si="7"/>
        <v>A</v>
      </c>
    </row>
    <row r="460" spans="1:4" x14ac:dyDescent="0.25">
      <c r="A460" t="s">
        <v>1108</v>
      </c>
      <c r="B460">
        <v>31005.24768</v>
      </c>
      <c r="C460">
        <v>0.39846314563619889</v>
      </c>
      <c r="D460" t="str">
        <f t="shared" si="7"/>
        <v>A</v>
      </c>
    </row>
    <row r="461" spans="1:4" x14ac:dyDescent="0.25">
      <c r="A461" t="s">
        <v>1156</v>
      </c>
      <c r="B461">
        <v>29627.320319999999</v>
      </c>
      <c r="C461">
        <v>0.41963697802304689</v>
      </c>
      <c r="D461" t="str">
        <f t="shared" si="7"/>
        <v>A</v>
      </c>
    </row>
    <row r="462" spans="1:4" x14ac:dyDescent="0.25">
      <c r="A462" t="s">
        <v>893</v>
      </c>
      <c r="B462">
        <v>29263.754519999995</v>
      </c>
      <c r="C462">
        <v>0.44055097991467485</v>
      </c>
      <c r="D462" t="str">
        <f t="shared" si="7"/>
        <v>A</v>
      </c>
    </row>
    <row r="463" spans="1:4" x14ac:dyDescent="0.25">
      <c r="A463" t="s">
        <v>1339</v>
      </c>
      <c r="B463">
        <v>29175.036029999999</v>
      </c>
      <c r="C463">
        <v>0.46140157713734908</v>
      </c>
      <c r="D463" t="str">
        <f t="shared" si="7"/>
        <v>A</v>
      </c>
    </row>
    <row r="464" spans="1:4" x14ac:dyDescent="0.25">
      <c r="A464" t="s">
        <v>1070</v>
      </c>
      <c r="B464">
        <v>28247.74656</v>
      </c>
      <c r="C464">
        <v>0.48158946603541614</v>
      </c>
      <c r="D464" t="str">
        <f t="shared" si="7"/>
        <v>A</v>
      </c>
    </row>
    <row r="465" spans="1:4" x14ac:dyDescent="0.25">
      <c r="A465" t="s">
        <v>1168</v>
      </c>
      <c r="B465">
        <v>27249</v>
      </c>
      <c r="C465">
        <v>0.50106357818857428</v>
      </c>
      <c r="D465" t="str">
        <f t="shared" si="7"/>
        <v>A</v>
      </c>
    </row>
    <row r="466" spans="1:4" x14ac:dyDescent="0.25">
      <c r="A466" t="s">
        <v>765</v>
      </c>
      <c r="B466">
        <v>26150.364320000001</v>
      </c>
      <c r="C466">
        <v>0.51975252558530916</v>
      </c>
      <c r="D466" t="str">
        <f t="shared" si="7"/>
        <v>A</v>
      </c>
    </row>
    <row r="467" spans="1:4" x14ac:dyDescent="0.25">
      <c r="A467" t="s">
        <v>936</v>
      </c>
      <c r="B467">
        <v>25299.040000000001</v>
      </c>
      <c r="C467">
        <v>0.53783305486444732</v>
      </c>
      <c r="D467" t="str">
        <f t="shared" si="7"/>
        <v>A</v>
      </c>
    </row>
    <row r="468" spans="1:4" x14ac:dyDescent="0.25">
      <c r="A468" t="s">
        <v>947</v>
      </c>
      <c r="B468">
        <v>24223.05</v>
      </c>
      <c r="C468">
        <v>0.55514460363289975</v>
      </c>
      <c r="D468" t="str">
        <f t="shared" si="7"/>
        <v>A</v>
      </c>
    </row>
    <row r="469" spans="1:4" x14ac:dyDescent="0.25">
      <c r="A469" t="s">
        <v>841</v>
      </c>
      <c r="B469">
        <v>23687.524440000001</v>
      </c>
      <c r="C469">
        <v>0.57207342698697639</v>
      </c>
      <c r="D469" t="str">
        <f t="shared" si="7"/>
        <v>A</v>
      </c>
    </row>
    <row r="470" spans="1:4" x14ac:dyDescent="0.25">
      <c r="A470" t="s">
        <v>1317</v>
      </c>
      <c r="B470">
        <v>22676.312610000001</v>
      </c>
      <c r="C470">
        <v>0.58827956500992096</v>
      </c>
      <c r="D470" t="str">
        <f t="shared" si="7"/>
        <v>A</v>
      </c>
    </row>
    <row r="471" spans="1:4" x14ac:dyDescent="0.25">
      <c r="A471" t="s">
        <v>1054</v>
      </c>
      <c r="B471">
        <v>22380.204000000002</v>
      </c>
      <c r="C471">
        <v>0.60427408233923807</v>
      </c>
      <c r="D471" t="str">
        <f t="shared" si="7"/>
        <v>A</v>
      </c>
    </row>
    <row r="472" spans="1:4" x14ac:dyDescent="0.25">
      <c r="A472" t="s">
        <v>930</v>
      </c>
      <c r="B472">
        <v>21679.749799999998</v>
      </c>
      <c r="C472">
        <v>0.61976800428344181</v>
      </c>
      <c r="D472" t="str">
        <f t="shared" si="7"/>
        <v>A</v>
      </c>
    </row>
    <row r="473" spans="1:4" x14ac:dyDescent="0.25">
      <c r="A473" t="s">
        <v>959</v>
      </c>
      <c r="B473">
        <v>21573.6495</v>
      </c>
      <c r="C473">
        <v>0.63518609925631875</v>
      </c>
      <c r="D473" t="str">
        <f t="shared" si="7"/>
        <v>A</v>
      </c>
    </row>
    <row r="474" spans="1:4" x14ac:dyDescent="0.25">
      <c r="A474" t="s">
        <v>1140</v>
      </c>
      <c r="B474">
        <v>21541.017959999997</v>
      </c>
      <c r="C474">
        <v>0.65058087336348724</v>
      </c>
      <c r="D474" t="str">
        <f t="shared" si="7"/>
        <v>A</v>
      </c>
    </row>
    <row r="475" spans="1:4" x14ac:dyDescent="0.25">
      <c r="A475" t="s">
        <v>1189</v>
      </c>
      <c r="B475">
        <v>20797.98</v>
      </c>
      <c r="C475">
        <v>0.66544461864144766</v>
      </c>
      <c r="D475" t="str">
        <f t="shared" si="7"/>
        <v>A</v>
      </c>
    </row>
    <row r="476" spans="1:4" x14ac:dyDescent="0.25">
      <c r="A476" t="s">
        <v>1160</v>
      </c>
      <c r="B476">
        <v>20038.536</v>
      </c>
      <c r="C476">
        <v>0.67976561014385495</v>
      </c>
      <c r="D476" t="str">
        <f t="shared" si="7"/>
        <v>A</v>
      </c>
    </row>
    <row r="477" spans="1:4" x14ac:dyDescent="0.25">
      <c r="A477" t="s">
        <v>1100</v>
      </c>
      <c r="B477">
        <v>19547.329920000004</v>
      </c>
      <c r="C477">
        <v>0.69373555014740984</v>
      </c>
      <c r="D477" t="str">
        <f t="shared" si="7"/>
        <v>A</v>
      </c>
    </row>
    <row r="478" spans="1:4" x14ac:dyDescent="0.25">
      <c r="A478" t="s">
        <v>825</v>
      </c>
      <c r="B478">
        <v>19510.808000000001</v>
      </c>
      <c r="C478">
        <v>0.70767938893748417</v>
      </c>
      <c r="D478" t="str">
        <f t="shared" si="7"/>
        <v>A</v>
      </c>
    </row>
    <row r="479" spans="1:4" x14ac:dyDescent="0.25">
      <c r="A479" t="s">
        <v>1207</v>
      </c>
      <c r="B479">
        <v>19233.355499999998</v>
      </c>
      <c r="C479">
        <v>0.72142494004352697</v>
      </c>
      <c r="D479" t="str">
        <f t="shared" si="7"/>
        <v>A</v>
      </c>
    </row>
    <row r="480" spans="1:4" x14ac:dyDescent="0.25">
      <c r="A480" t="s">
        <v>1105</v>
      </c>
      <c r="B480">
        <v>16873.45</v>
      </c>
      <c r="C480">
        <v>0.73348393148213775</v>
      </c>
      <c r="D480" t="str">
        <f t="shared" si="7"/>
        <v>A</v>
      </c>
    </row>
    <row r="481" spans="1:4" x14ac:dyDescent="0.25">
      <c r="A481" t="s">
        <v>1146</v>
      </c>
      <c r="B481">
        <v>16134.22069</v>
      </c>
      <c r="C481">
        <v>0.74501461602912544</v>
      </c>
      <c r="D481" t="str">
        <f t="shared" si="7"/>
        <v>A</v>
      </c>
    </row>
    <row r="482" spans="1:4" x14ac:dyDescent="0.25">
      <c r="A482" t="s">
        <v>856</v>
      </c>
      <c r="B482">
        <v>16061.972879999999</v>
      </c>
      <c r="C482">
        <v>0.75649366704993726</v>
      </c>
      <c r="D482" t="str">
        <f t="shared" si="7"/>
        <v>A</v>
      </c>
    </row>
    <row r="483" spans="1:4" x14ac:dyDescent="0.25">
      <c r="A483" t="s">
        <v>934</v>
      </c>
      <c r="B483">
        <v>14963.769179999999</v>
      </c>
      <c r="C483">
        <v>0.76718786203857148</v>
      </c>
      <c r="D483" t="str">
        <f t="shared" si="7"/>
        <v>A</v>
      </c>
    </row>
    <row r="484" spans="1:4" x14ac:dyDescent="0.25">
      <c r="A484" t="s">
        <v>1153</v>
      </c>
      <c r="B484">
        <v>14527.748400000002</v>
      </c>
      <c r="C484">
        <v>0.77757044494709893</v>
      </c>
      <c r="D484" t="str">
        <f t="shared" si="7"/>
        <v>A</v>
      </c>
    </row>
    <row r="485" spans="1:4" x14ac:dyDescent="0.25">
      <c r="A485" t="s">
        <v>1362</v>
      </c>
      <c r="B485">
        <v>12769.38768</v>
      </c>
      <c r="C485">
        <v>0.78669637572648443</v>
      </c>
      <c r="D485" t="str">
        <f t="shared" si="7"/>
        <v>A</v>
      </c>
    </row>
    <row r="486" spans="1:4" x14ac:dyDescent="0.25">
      <c r="A486" t="s">
        <v>1174</v>
      </c>
      <c r="B486">
        <v>12668.50728</v>
      </c>
      <c r="C486">
        <v>0.7957502100537559</v>
      </c>
      <c r="D486" t="str">
        <f t="shared" si="7"/>
        <v>B</v>
      </c>
    </row>
    <row r="487" spans="1:4" x14ac:dyDescent="0.25">
      <c r="A487" t="s">
        <v>1182</v>
      </c>
      <c r="B487">
        <v>12289.2</v>
      </c>
      <c r="C487">
        <v>0.80453296388224838</v>
      </c>
      <c r="D487" t="str">
        <f t="shared" si="7"/>
        <v>B</v>
      </c>
    </row>
    <row r="488" spans="1:4" x14ac:dyDescent="0.25">
      <c r="A488" t="s">
        <v>978</v>
      </c>
      <c r="B488">
        <v>12248.675999999999</v>
      </c>
      <c r="C488">
        <v>0.81328675632056524</v>
      </c>
      <c r="D488" t="str">
        <f t="shared" si="7"/>
        <v>B</v>
      </c>
    </row>
    <row r="489" spans="1:4" x14ac:dyDescent="0.25">
      <c r="A489" t="s">
        <v>799</v>
      </c>
      <c r="B489">
        <v>12153.267360000002</v>
      </c>
      <c r="C489">
        <v>0.8219723628234078</v>
      </c>
      <c r="D489" t="str">
        <f t="shared" si="7"/>
        <v>B</v>
      </c>
    </row>
    <row r="490" spans="1:4" x14ac:dyDescent="0.25">
      <c r="A490" t="s">
        <v>1186</v>
      </c>
      <c r="B490">
        <v>11984.891250000001</v>
      </c>
      <c r="C490">
        <v>0.83053763554335736</v>
      </c>
      <c r="D490" t="str">
        <f t="shared" si="7"/>
        <v>B</v>
      </c>
    </row>
    <row r="491" spans="1:4" x14ac:dyDescent="0.25">
      <c r="A491" t="s">
        <v>1266</v>
      </c>
      <c r="B491">
        <v>11924.0978</v>
      </c>
      <c r="C491">
        <v>0.83905946085373317</v>
      </c>
      <c r="D491" t="str">
        <f t="shared" si="7"/>
        <v>B</v>
      </c>
    </row>
    <row r="492" spans="1:4" x14ac:dyDescent="0.25">
      <c r="A492" t="s">
        <v>931</v>
      </c>
      <c r="B492">
        <v>11326.846439999999</v>
      </c>
      <c r="C492">
        <v>0.84715444701521281</v>
      </c>
      <c r="D492" t="str">
        <f t="shared" si="7"/>
        <v>B</v>
      </c>
    </row>
    <row r="493" spans="1:4" x14ac:dyDescent="0.25">
      <c r="A493" t="s">
        <v>1126</v>
      </c>
      <c r="B493">
        <v>11285.764020000001</v>
      </c>
      <c r="C493">
        <v>0.85522007269907485</v>
      </c>
      <c r="D493" t="str">
        <f t="shared" si="7"/>
        <v>B</v>
      </c>
    </row>
    <row r="494" spans="1:4" x14ac:dyDescent="0.25">
      <c r="A494" t="s">
        <v>796</v>
      </c>
      <c r="B494">
        <v>10947.904</v>
      </c>
      <c r="C494">
        <v>0.86304423910290662</v>
      </c>
      <c r="D494" t="str">
        <f t="shared" si="7"/>
        <v>B</v>
      </c>
    </row>
    <row r="495" spans="1:4" x14ac:dyDescent="0.25">
      <c r="A495" t="s">
        <v>745</v>
      </c>
      <c r="B495">
        <v>10370.549999999999</v>
      </c>
      <c r="C495">
        <v>0.87045578645473365</v>
      </c>
      <c r="D495" t="str">
        <f t="shared" si="7"/>
        <v>B</v>
      </c>
    </row>
    <row r="496" spans="1:4" x14ac:dyDescent="0.25">
      <c r="A496" t="s">
        <v>1154</v>
      </c>
      <c r="B496">
        <v>9984.7160999999978</v>
      </c>
      <c r="C496">
        <v>0.87759158891166222</v>
      </c>
      <c r="D496" t="str">
        <f t="shared" si="7"/>
        <v>B</v>
      </c>
    </row>
    <row r="497" spans="1:4" x14ac:dyDescent="0.25">
      <c r="A497" t="s">
        <v>975</v>
      </c>
      <c r="B497">
        <v>9684.8756000000012</v>
      </c>
      <c r="C497">
        <v>0.88451310359564261</v>
      </c>
      <c r="D497" t="str">
        <f t="shared" si="7"/>
        <v>B</v>
      </c>
    </row>
    <row r="498" spans="1:4" x14ac:dyDescent="0.25">
      <c r="A498" t="s">
        <v>1222</v>
      </c>
      <c r="B498">
        <v>9614.4403999999995</v>
      </c>
      <c r="C498">
        <v>0.89138428017604765</v>
      </c>
      <c r="D498" t="str">
        <f t="shared" si="7"/>
        <v>B</v>
      </c>
    </row>
    <row r="499" spans="1:4" x14ac:dyDescent="0.25">
      <c r="A499" t="s">
        <v>1050</v>
      </c>
      <c r="B499">
        <v>9062.34692</v>
      </c>
      <c r="C499">
        <v>0.89786089070454067</v>
      </c>
      <c r="D499" t="str">
        <f t="shared" si="7"/>
        <v>B</v>
      </c>
    </row>
    <row r="500" spans="1:4" x14ac:dyDescent="0.25">
      <c r="A500" t="s">
        <v>1077</v>
      </c>
      <c r="B500">
        <v>8938.8996600000009</v>
      </c>
      <c r="C500">
        <v>0.90424927686567202</v>
      </c>
      <c r="D500" t="str">
        <f t="shared" si="7"/>
        <v>B</v>
      </c>
    </row>
    <row r="501" spans="1:4" x14ac:dyDescent="0.25">
      <c r="A501" t="s">
        <v>875</v>
      </c>
      <c r="B501">
        <v>8211.6342000000004</v>
      </c>
      <c r="C501">
        <v>0.91011790637029644</v>
      </c>
      <c r="D501" t="str">
        <f t="shared" si="7"/>
        <v>B</v>
      </c>
    </row>
    <row r="502" spans="1:4" x14ac:dyDescent="0.25">
      <c r="A502" t="s">
        <v>896</v>
      </c>
      <c r="B502">
        <v>8154.5511600000009</v>
      </c>
      <c r="C502">
        <v>0.91594574019350117</v>
      </c>
      <c r="D502" t="str">
        <f t="shared" si="7"/>
        <v>B</v>
      </c>
    </row>
    <row r="503" spans="1:4" x14ac:dyDescent="0.25">
      <c r="A503" t="s">
        <v>1037</v>
      </c>
      <c r="B503">
        <v>8093.4784</v>
      </c>
      <c r="C503">
        <v>0.92172992699194378</v>
      </c>
      <c r="D503" t="str">
        <f t="shared" si="7"/>
        <v>B</v>
      </c>
    </row>
    <row r="504" spans="1:4" x14ac:dyDescent="0.25">
      <c r="A504" t="s">
        <v>1234</v>
      </c>
      <c r="B504">
        <v>7428.1108999999988</v>
      </c>
      <c r="C504">
        <v>0.92703859390642485</v>
      </c>
      <c r="D504" t="str">
        <f t="shared" si="7"/>
        <v>B</v>
      </c>
    </row>
    <row r="505" spans="1:4" x14ac:dyDescent="0.25">
      <c r="A505" t="s">
        <v>1312</v>
      </c>
      <c r="B505">
        <v>7173.3342799999991</v>
      </c>
      <c r="C505">
        <v>0.93216517896572304</v>
      </c>
      <c r="D505" t="str">
        <f t="shared" si="7"/>
        <v>B</v>
      </c>
    </row>
    <row r="506" spans="1:4" x14ac:dyDescent="0.25">
      <c r="A506" t="s">
        <v>1002</v>
      </c>
      <c r="B506">
        <v>6946.8</v>
      </c>
      <c r="C506">
        <v>0.9371298661948162</v>
      </c>
      <c r="D506" t="str">
        <f t="shared" si="7"/>
        <v>B</v>
      </c>
    </row>
    <row r="507" spans="1:4" x14ac:dyDescent="0.25">
      <c r="A507" t="s">
        <v>972</v>
      </c>
      <c r="B507">
        <v>6684.1875</v>
      </c>
      <c r="C507">
        <v>0.94190687148043173</v>
      </c>
      <c r="D507" t="str">
        <f t="shared" si="7"/>
        <v>B</v>
      </c>
    </row>
    <row r="508" spans="1:4" x14ac:dyDescent="0.25">
      <c r="A508" t="s">
        <v>965</v>
      </c>
      <c r="B508">
        <v>5814.6927299999998</v>
      </c>
      <c r="C508">
        <v>0.94606247272672239</v>
      </c>
      <c r="D508" t="str">
        <f t="shared" si="7"/>
        <v>B</v>
      </c>
    </row>
    <row r="509" spans="1:4" x14ac:dyDescent="0.25">
      <c r="A509" t="s">
        <v>828</v>
      </c>
      <c r="B509">
        <v>5487.6023999999998</v>
      </c>
      <c r="C509">
        <v>0.94998431149473372</v>
      </c>
      <c r="D509" t="str">
        <f t="shared" si="7"/>
        <v>C</v>
      </c>
    </row>
    <row r="510" spans="1:4" x14ac:dyDescent="0.25">
      <c r="A510" t="s">
        <v>737</v>
      </c>
      <c r="B510">
        <v>5225.2710400000005</v>
      </c>
      <c r="C510">
        <v>0.95371866924230642</v>
      </c>
      <c r="D510" t="str">
        <f t="shared" si="7"/>
        <v>C</v>
      </c>
    </row>
    <row r="511" spans="1:4" x14ac:dyDescent="0.25">
      <c r="A511" t="s">
        <v>1246</v>
      </c>
      <c r="B511">
        <v>5189.8836000000001</v>
      </c>
      <c r="C511">
        <v>0.95742773655810653</v>
      </c>
      <c r="D511" t="str">
        <f t="shared" si="7"/>
        <v>C</v>
      </c>
    </row>
    <row r="512" spans="1:4" x14ac:dyDescent="0.25">
      <c r="A512" t="s">
        <v>1219</v>
      </c>
      <c r="B512">
        <v>5159.7893599999998</v>
      </c>
      <c r="C512">
        <v>0.96111529634684434</v>
      </c>
      <c r="D512" t="str">
        <f t="shared" si="7"/>
        <v>C</v>
      </c>
    </row>
    <row r="513" spans="1:4" x14ac:dyDescent="0.25">
      <c r="A513" t="s">
        <v>1216</v>
      </c>
      <c r="B513">
        <v>5127.0390600000001</v>
      </c>
      <c r="C513">
        <v>0.96477945039536217</v>
      </c>
      <c r="D513" t="str">
        <f t="shared" si="7"/>
        <v>C</v>
      </c>
    </row>
    <row r="514" spans="1:4" x14ac:dyDescent="0.25">
      <c r="A514" t="s">
        <v>1068</v>
      </c>
      <c r="B514">
        <v>4856.35725</v>
      </c>
      <c r="C514">
        <v>0.96825015558609584</v>
      </c>
      <c r="D514" t="str">
        <f t="shared" si="7"/>
        <v>C</v>
      </c>
    </row>
    <row r="515" spans="1:4" x14ac:dyDescent="0.25">
      <c r="A515" t="s">
        <v>1095</v>
      </c>
      <c r="B515">
        <v>4804.4682400000002</v>
      </c>
      <c r="C515">
        <v>0.97168377712604403</v>
      </c>
      <c r="D515" t="str">
        <f t="shared" ref="D515:D578" si="8">IF(C516&lt;=0.8,"A",IF(C516&lt;=0.95,"B","C"))</f>
        <v>C</v>
      </c>
    </row>
    <row r="516" spans="1:4" x14ac:dyDescent="0.25">
      <c r="A516" t="s">
        <v>871</v>
      </c>
      <c r="B516">
        <v>4336.2427499999994</v>
      </c>
      <c r="C516">
        <v>0.97478277076385889</v>
      </c>
      <c r="D516" t="str">
        <f t="shared" si="8"/>
        <v>C</v>
      </c>
    </row>
    <row r="517" spans="1:4" x14ac:dyDescent="0.25">
      <c r="A517" t="s">
        <v>761</v>
      </c>
      <c r="B517">
        <v>3980.7075</v>
      </c>
      <c r="C517">
        <v>0.9776276731200525</v>
      </c>
      <c r="D517" t="str">
        <f t="shared" si="8"/>
        <v>C</v>
      </c>
    </row>
    <row r="518" spans="1:4" x14ac:dyDescent="0.25">
      <c r="A518" t="s">
        <v>1019</v>
      </c>
      <c r="B518">
        <v>3978.6474000000003</v>
      </c>
      <c r="C518">
        <v>0.98047110317933794</v>
      </c>
      <c r="D518" t="str">
        <f t="shared" si="8"/>
        <v>C</v>
      </c>
    </row>
    <row r="519" spans="1:4" x14ac:dyDescent="0.25">
      <c r="A519" t="s">
        <v>762</v>
      </c>
      <c r="B519">
        <v>3913.2000000000003</v>
      </c>
      <c r="C519">
        <v>0.98326775977876313</v>
      </c>
      <c r="D519" t="str">
        <f t="shared" si="8"/>
        <v>C</v>
      </c>
    </row>
    <row r="520" spans="1:4" x14ac:dyDescent="0.25">
      <c r="A520" t="s">
        <v>1061</v>
      </c>
      <c r="B520">
        <v>3799.8031499999997</v>
      </c>
      <c r="C520">
        <v>0.98598337476291031</v>
      </c>
      <c r="D520" t="str">
        <f t="shared" si="8"/>
        <v>C</v>
      </c>
    </row>
    <row r="521" spans="1:4" x14ac:dyDescent="0.25">
      <c r="A521" t="s">
        <v>867</v>
      </c>
      <c r="B521">
        <v>3494.4040799999998</v>
      </c>
      <c r="C521">
        <v>0.98848072941674614</v>
      </c>
      <c r="D521" t="str">
        <f t="shared" si="8"/>
        <v>C</v>
      </c>
    </row>
    <row r="522" spans="1:4" x14ac:dyDescent="0.25">
      <c r="A522" t="s">
        <v>979</v>
      </c>
      <c r="B522">
        <v>2909.8689199999999</v>
      </c>
      <c r="C522">
        <v>0.99056033284069089</v>
      </c>
      <c r="D522" t="str">
        <f t="shared" si="8"/>
        <v>C</v>
      </c>
    </row>
    <row r="523" spans="1:4" x14ac:dyDescent="0.25">
      <c r="A523" t="s">
        <v>862</v>
      </c>
      <c r="B523">
        <v>2642.1686999999997</v>
      </c>
      <c r="C523">
        <v>0.99244861826736219</v>
      </c>
      <c r="D523" t="str">
        <f t="shared" si="8"/>
        <v>C</v>
      </c>
    </row>
    <row r="524" spans="1:4" x14ac:dyDescent="0.25">
      <c r="A524" t="s">
        <v>1064</v>
      </c>
      <c r="B524">
        <v>2537.2908000000002</v>
      </c>
      <c r="C524">
        <v>0.99426195033842446</v>
      </c>
      <c r="D524" t="str">
        <f t="shared" si="8"/>
        <v>C</v>
      </c>
    </row>
    <row r="525" spans="1:4" x14ac:dyDescent="0.25">
      <c r="A525" t="s">
        <v>1081</v>
      </c>
      <c r="B525">
        <v>2206.8000000000002</v>
      </c>
      <c r="C525">
        <v>0.99583908970866164</v>
      </c>
      <c r="D525" t="str">
        <f t="shared" si="8"/>
        <v>C</v>
      </c>
    </row>
    <row r="526" spans="1:4" x14ac:dyDescent="0.25">
      <c r="A526" t="s">
        <v>1145</v>
      </c>
      <c r="B526">
        <v>2059.0056</v>
      </c>
      <c r="C526">
        <v>0.99731060447905251</v>
      </c>
      <c r="D526" t="str">
        <f t="shared" si="8"/>
        <v>C</v>
      </c>
    </row>
    <row r="527" spans="1:4" x14ac:dyDescent="0.25">
      <c r="A527" t="s">
        <v>1304</v>
      </c>
      <c r="B527">
        <v>841.00536</v>
      </c>
      <c r="C527">
        <v>0.99791164791925391</v>
      </c>
      <c r="D527" t="str">
        <f t="shared" si="8"/>
        <v>C</v>
      </c>
    </row>
    <row r="528" spans="1:4" x14ac:dyDescent="0.25">
      <c r="A528" t="s">
        <v>1016</v>
      </c>
      <c r="B528">
        <v>667.74</v>
      </c>
      <c r="C528">
        <v>0.99838886336382615</v>
      </c>
      <c r="D528" t="str">
        <f t="shared" si="8"/>
        <v>C</v>
      </c>
    </row>
    <row r="529" spans="1:4" x14ac:dyDescent="0.25">
      <c r="A529" t="s">
        <v>1264</v>
      </c>
      <c r="B529">
        <v>618.19979999999987</v>
      </c>
      <c r="C529">
        <v>0.99883067378763113</v>
      </c>
      <c r="D529" t="str">
        <f t="shared" si="8"/>
        <v>C</v>
      </c>
    </row>
    <row r="530" spans="1:4" x14ac:dyDescent="0.25">
      <c r="A530" t="s">
        <v>997</v>
      </c>
      <c r="B530">
        <v>560.36831999999993</v>
      </c>
      <c r="C530">
        <v>0.99923115364049742</v>
      </c>
      <c r="D530" t="str">
        <f t="shared" si="8"/>
        <v>C</v>
      </c>
    </row>
    <row r="531" spans="1:4" x14ac:dyDescent="0.25">
      <c r="A531" t="s">
        <v>840</v>
      </c>
      <c r="B531">
        <v>518.65436999999997</v>
      </c>
      <c r="C531">
        <v>0.99960182167859435</v>
      </c>
      <c r="D531" t="str">
        <f t="shared" si="8"/>
        <v>C</v>
      </c>
    </row>
    <row r="532" spans="1:4" x14ac:dyDescent="0.25">
      <c r="A532" t="s">
        <v>1318</v>
      </c>
      <c r="B532">
        <v>370.86</v>
      </c>
      <c r="C532">
        <v>0.99986686513828549</v>
      </c>
      <c r="D532" t="str">
        <f t="shared" si="8"/>
        <v>C</v>
      </c>
    </row>
    <row r="533" spans="1:4" x14ac:dyDescent="0.25">
      <c r="A533" t="s">
        <v>1226</v>
      </c>
      <c r="B533">
        <v>110.14919999999999</v>
      </c>
      <c r="C533">
        <v>0.99994558574727599</v>
      </c>
      <c r="D533" t="str">
        <f t="shared" si="8"/>
        <v>C</v>
      </c>
    </row>
    <row r="534" spans="1:4" x14ac:dyDescent="0.25">
      <c r="A534" t="s">
        <v>1020</v>
      </c>
      <c r="B534">
        <v>76.138720000000006</v>
      </c>
      <c r="C534">
        <v>1</v>
      </c>
      <c r="D534" t="str">
        <f t="shared" si="8"/>
        <v>A</v>
      </c>
    </row>
    <row r="535" spans="1:4" x14ac:dyDescent="0.25">
      <c r="A535" t="s">
        <v>728</v>
      </c>
      <c r="B535">
        <v>1616910.1886599993</v>
      </c>
      <c r="D535" t="str">
        <f t="shared" si="8"/>
        <v>A</v>
      </c>
    </row>
    <row r="536" spans="1:4" x14ac:dyDescent="0.25">
      <c r="A536" t="s">
        <v>1271</v>
      </c>
      <c r="B536">
        <v>66260.314239999992</v>
      </c>
      <c r="C536">
        <v>4.0979588541595294E-2</v>
      </c>
      <c r="D536" t="str">
        <f t="shared" si="8"/>
        <v>A</v>
      </c>
    </row>
    <row r="537" spans="1:4" x14ac:dyDescent="0.25">
      <c r="A537" t="s">
        <v>1157</v>
      </c>
      <c r="B537">
        <v>58091.634960000003</v>
      </c>
      <c r="C537">
        <v>7.690714677421609E-2</v>
      </c>
      <c r="D537" t="str">
        <f t="shared" si="8"/>
        <v>A</v>
      </c>
    </row>
    <row r="538" spans="1:4" x14ac:dyDescent="0.25">
      <c r="A538" t="s">
        <v>933</v>
      </c>
      <c r="B538">
        <v>55880.483749999999</v>
      </c>
      <c r="C538">
        <v>0.11146718860084993</v>
      </c>
      <c r="D538" t="str">
        <f t="shared" si="8"/>
        <v>A</v>
      </c>
    </row>
    <row r="539" spans="1:4" x14ac:dyDescent="0.25">
      <c r="A539" t="s">
        <v>1289</v>
      </c>
      <c r="B539">
        <v>50545.319219999998</v>
      </c>
      <c r="C539">
        <v>0.14272762568294231</v>
      </c>
      <c r="D539" t="str">
        <f t="shared" si="8"/>
        <v>A</v>
      </c>
    </row>
    <row r="540" spans="1:4" x14ac:dyDescent="0.25">
      <c r="A540" t="s">
        <v>1090</v>
      </c>
      <c r="B540">
        <v>43907.94</v>
      </c>
      <c r="C540">
        <v>0.16988308571278374</v>
      </c>
      <c r="D540" t="str">
        <f t="shared" si="8"/>
        <v>A</v>
      </c>
    </row>
    <row r="541" spans="1:4" x14ac:dyDescent="0.25">
      <c r="A541" t="s">
        <v>829</v>
      </c>
      <c r="B541">
        <v>43209.006119999991</v>
      </c>
      <c r="C541">
        <v>0.19660628062060301</v>
      </c>
      <c r="D541" t="str">
        <f t="shared" si="8"/>
        <v>A</v>
      </c>
    </row>
    <row r="542" spans="1:4" x14ac:dyDescent="0.25">
      <c r="A542" t="s">
        <v>1047</v>
      </c>
      <c r="B542">
        <v>40325.31</v>
      </c>
      <c r="C542">
        <v>0.22154601461623036</v>
      </c>
      <c r="D542" t="str">
        <f t="shared" si="8"/>
        <v>A</v>
      </c>
    </row>
    <row r="543" spans="1:4" x14ac:dyDescent="0.25">
      <c r="A543" t="s">
        <v>1335</v>
      </c>
      <c r="B543">
        <v>39810.328000000001</v>
      </c>
      <c r="C543">
        <v>0.24616725102082773</v>
      </c>
      <c r="D543" t="str">
        <f t="shared" si="8"/>
        <v>A</v>
      </c>
    </row>
    <row r="544" spans="1:4" x14ac:dyDescent="0.25">
      <c r="A544" t="s">
        <v>1071</v>
      </c>
      <c r="B544">
        <v>38535.955099999999</v>
      </c>
      <c r="C544">
        <v>0.2700003342497338</v>
      </c>
      <c r="D544" t="str">
        <f t="shared" si="8"/>
        <v>A</v>
      </c>
    </row>
    <row r="545" spans="1:4" x14ac:dyDescent="0.25">
      <c r="A545" t="s">
        <v>1115</v>
      </c>
      <c r="B545">
        <v>37562.28</v>
      </c>
      <c r="C545">
        <v>0.29323123492896658</v>
      </c>
      <c r="D545" t="str">
        <f t="shared" si="8"/>
        <v>A</v>
      </c>
    </row>
    <row r="546" spans="1:4" x14ac:dyDescent="0.25">
      <c r="A546" t="s">
        <v>1204</v>
      </c>
      <c r="B546">
        <v>36549.429260000004</v>
      </c>
      <c r="C546">
        <v>0.3158357243535091</v>
      </c>
      <c r="D546" t="str">
        <f t="shared" si="8"/>
        <v>A</v>
      </c>
    </row>
    <row r="547" spans="1:4" x14ac:dyDescent="0.25">
      <c r="A547" t="s">
        <v>872</v>
      </c>
      <c r="B547">
        <v>35567.737920000007</v>
      </c>
      <c r="C547">
        <v>0.33783307347620617</v>
      </c>
      <c r="D547" t="str">
        <f t="shared" si="8"/>
        <v>A</v>
      </c>
    </row>
    <row r="548" spans="1:4" x14ac:dyDescent="0.25">
      <c r="A548" t="s">
        <v>783</v>
      </c>
      <c r="B548">
        <v>34444.462359999998</v>
      </c>
      <c r="C548">
        <v>0.35913571761907326</v>
      </c>
      <c r="D548" t="str">
        <f t="shared" si="8"/>
        <v>A</v>
      </c>
    </row>
    <row r="549" spans="1:4" x14ac:dyDescent="0.25">
      <c r="A549" t="s">
        <v>1262</v>
      </c>
      <c r="B549">
        <v>33421.1</v>
      </c>
      <c r="C549">
        <v>0.37980544945352807</v>
      </c>
      <c r="D549" t="str">
        <f t="shared" si="8"/>
        <v>A</v>
      </c>
    </row>
    <row r="550" spans="1:4" x14ac:dyDescent="0.25">
      <c r="A550" t="s">
        <v>1280</v>
      </c>
      <c r="B550">
        <v>31822.023930000003</v>
      </c>
      <c r="C550">
        <v>0.3994862110401517</v>
      </c>
      <c r="D550" t="str">
        <f t="shared" si="8"/>
        <v>A</v>
      </c>
    </row>
    <row r="551" spans="1:4" x14ac:dyDescent="0.25">
      <c r="A551" t="s">
        <v>776</v>
      </c>
      <c r="B551">
        <v>31404.1</v>
      </c>
      <c r="C551">
        <v>0.41890850191335466</v>
      </c>
      <c r="D551" t="str">
        <f t="shared" si="8"/>
        <v>A</v>
      </c>
    </row>
    <row r="552" spans="1:4" x14ac:dyDescent="0.25">
      <c r="A552" t="s">
        <v>887</v>
      </c>
      <c r="B552">
        <v>29654.83008</v>
      </c>
      <c r="C552">
        <v>0.43724893311848928</v>
      </c>
      <c r="D552" t="str">
        <f t="shared" si="8"/>
        <v>A</v>
      </c>
    </row>
    <row r="553" spans="1:4" x14ac:dyDescent="0.25">
      <c r="A553" t="s">
        <v>1220</v>
      </c>
      <c r="B553">
        <v>28856.475000000002</v>
      </c>
      <c r="C553">
        <v>0.45509561081424588</v>
      </c>
      <c r="D553" t="str">
        <f t="shared" si="8"/>
        <v>A</v>
      </c>
    </row>
    <row r="554" spans="1:4" x14ac:dyDescent="0.25">
      <c r="A554" t="s">
        <v>953</v>
      </c>
      <c r="B554">
        <v>28211.92124</v>
      </c>
      <c r="C554">
        <v>0.47254365550953004</v>
      </c>
      <c r="D554" t="str">
        <f t="shared" si="8"/>
        <v>A</v>
      </c>
    </row>
    <row r="555" spans="1:4" x14ac:dyDescent="0.25">
      <c r="A555" t="s">
        <v>1208</v>
      </c>
      <c r="B555">
        <v>27194.152039999997</v>
      </c>
      <c r="C555">
        <v>0.48936224706193832</v>
      </c>
      <c r="D555" t="str">
        <f t="shared" si="8"/>
        <v>A</v>
      </c>
    </row>
    <row r="556" spans="1:4" x14ac:dyDescent="0.25">
      <c r="A556" t="s">
        <v>750</v>
      </c>
      <c r="B556">
        <v>25948.414799999995</v>
      </c>
      <c r="C556">
        <v>0.50541039555032441</v>
      </c>
      <c r="D556" t="str">
        <f t="shared" si="8"/>
        <v>A</v>
      </c>
    </row>
    <row r="557" spans="1:4" x14ac:dyDescent="0.25">
      <c r="A557" t="s">
        <v>987</v>
      </c>
      <c r="B557">
        <v>25483.91488</v>
      </c>
      <c r="C557">
        <v>0.52117126777361078</v>
      </c>
      <c r="D557" t="str">
        <f t="shared" si="8"/>
        <v>A</v>
      </c>
    </row>
    <row r="558" spans="1:4" x14ac:dyDescent="0.25">
      <c r="A558" t="s">
        <v>1350</v>
      </c>
      <c r="B558">
        <v>25174.028880000002</v>
      </c>
      <c r="C558">
        <v>0.53674048680417596</v>
      </c>
      <c r="D558" t="str">
        <f t="shared" si="8"/>
        <v>A</v>
      </c>
    </row>
    <row r="559" spans="1:4" x14ac:dyDescent="0.25">
      <c r="A559" t="s">
        <v>1139</v>
      </c>
      <c r="B559">
        <v>22457.143800000002</v>
      </c>
      <c r="C559">
        <v>0.55062941146894728</v>
      </c>
      <c r="D559" t="str">
        <f t="shared" si="8"/>
        <v>A</v>
      </c>
    </row>
    <row r="560" spans="1:4" x14ac:dyDescent="0.25">
      <c r="A560" t="s">
        <v>1249</v>
      </c>
      <c r="B560">
        <v>22201.762229999997</v>
      </c>
      <c r="C560">
        <v>0.56436039194374998</v>
      </c>
      <c r="D560" t="str">
        <f t="shared" si="8"/>
        <v>A</v>
      </c>
    </row>
    <row r="561" spans="1:4" x14ac:dyDescent="0.25">
      <c r="A561" t="s">
        <v>1177</v>
      </c>
      <c r="B561">
        <v>21664.440000000002</v>
      </c>
      <c r="C561">
        <v>0.57775905820978057</v>
      </c>
      <c r="D561" t="str">
        <f t="shared" si="8"/>
        <v>A</v>
      </c>
    </row>
    <row r="562" spans="1:4" x14ac:dyDescent="0.25">
      <c r="A562" t="s">
        <v>747</v>
      </c>
      <c r="B562">
        <v>21585.15</v>
      </c>
      <c r="C562">
        <v>0.59110868650168258</v>
      </c>
      <c r="D562" t="str">
        <f t="shared" si="8"/>
        <v>A</v>
      </c>
    </row>
    <row r="563" spans="1:4" x14ac:dyDescent="0.25">
      <c r="A563" t="s">
        <v>1173</v>
      </c>
      <c r="B563">
        <v>20672.289000000001</v>
      </c>
      <c r="C563">
        <v>0.60389374354751135</v>
      </c>
      <c r="D563" t="str">
        <f t="shared" si="8"/>
        <v>A</v>
      </c>
    </row>
    <row r="564" spans="1:4" x14ac:dyDescent="0.25">
      <c r="A564" t="s">
        <v>1076</v>
      </c>
      <c r="B564">
        <v>20053.439999999999</v>
      </c>
      <c r="C564">
        <v>0.61629606504974588</v>
      </c>
      <c r="D564" t="str">
        <f t="shared" si="8"/>
        <v>A</v>
      </c>
    </row>
    <row r="565" spans="1:4" x14ac:dyDescent="0.25">
      <c r="A565" t="s">
        <v>1148</v>
      </c>
      <c r="B565">
        <v>18411.4084</v>
      </c>
      <c r="C565">
        <v>0.62768284987497991</v>
      </c>
      <c r="D565" t="str">
        <f t="shared" si="8"/>
        <v>A</v>
      </c>
    </row>
    <row r="566" spans="1:4" x14ac:dyDescent="0.25">
      <c r="A566" t="s">
        <v>815</v>
      </c>
      <c r="B566">
        <v>18258.868320000001</v>
      </c>
      <c r="C566">
        <v>0.63897529422226418</v>
      </c>
      <c r="D566" t="str">
        <f t="shared" si="8"/>
        <v>A</v>
      </c>
    </row>
    <row r="567" spans="1:4" x14ac:dyDescent="0.25">
      <c r="A567" t="s">
        <v>1343</v>
      </c>
      <c r="B567">
        <v>18003.847679999999</v>
      </c>
      <c r="C567">
        <v>0.65011001760162546</v>
      </c>
      <c r="D567" t="str">
        <f t="shared" si="8"/>
        <v>A</v>
      </c>
    </row>
    <row r="568" spans="1:4" x14ac:dyDescent="0.25">
      <c r="A568" t="s">
        <v>735</v>
      </c>
      <c r="B568">
        <v>17960.432489999999</v>
      </c>
      <c r="C568">
        <v>0.66121789026886657</v>
      </c>
      <c r="D568" t="str">
        <f t="shared" si="8"/>
        <v>A</v>
      </c>
    </row>
    <row r="569" spans="1:4" x14ac:dyDescent="0.25">
      <c r="A569" t="s">
        <v>1134</v>
      </c>
      <c r="B569">
        <v>17427.164800000002</v>
      </c>
      <c r="C569">
        <v>0.67199595631249909</v>
      </c>
      <c r="D569" t="str">
        <f t="shared" si="8"/>
        <v>A</v>
      </c>
    </row>
    <row r="570" spans="1:4" x14ac:dyDescent="0.25">
      <c r="A570" t="s">
        <v>969</v>
      </c>
      <c r="B570">
        <v>17359.804799999998</v>
      </c>
      <c r="C570">
        <v>0.68273236265204162</v>
      </c>
      <c r="D570" t="str">
        <f t="shared" si="8"/>
        <v>A</v>
      </c>
    </row>
    <row r="571" spans="1:4" x14ac:dyDescent="0.25">
      <c r="A571" t="s">
        <v>962</v>
      </c>
      <c r="B571">
        <v>16609.090809999998</v>
      </c>
      <c r="C571">
        <v>0.69300447975940216</v>
      </c>
      <c r="D571" t="str">
        <f t="shared" si="8"/>
        <v>A</v>
      </c>
    </row>
    <row r="572" spans="1:4" x14ac:dyDescent="0.25">
      <c r="A572" t="s">
        <v>1202</v>
      </c>
      <c r="B572">
        <v>16252.219979999998</v>
      </c>
      <c r="C572">
        <v>0.70305588526972862</v>
      </c>
      <c r="D572" t="str">
        <f t="shared" si="8"/>
        <v>A</v>
      </c>
    </row>
    <row r="573" spans="1:4" x14ac:dyDescent="0.25">
      <c r="A573" t="s">
        <v>1069</v>
      </c>
      <c r="B573">
        <v>16219.34496</v>
      </c>
      <c r="C573">
        <v>0.71308695877879069</v>
      </c>
      <c r="D573" t="str">
        <f t="shared" si="8"/>
        <v>A</v>
      </c>
    </row>
    <row r="574" spans="1:4" x14ac:dyDescent="0.25">
      <c r="A574" t="s">
        <v>942</v>
      </c>
      <c r="B574">
        <v>15825.399369999997</v>
      </c>
      <c r="C574">
        <v>0.72287439130348474</v>
      </c>
      <c r="D574" t="str">
        <f t="shared" si="8"/>
        <v>A</v>
      </c>
    </row>
    <row r="575" spans="1:4" x14ac:dyDescent="0.25">
      <c r="A575" t="s">
        <v>910</v>
      </c>
      <c r="B575">
        <v>15656.47056</v>
      </c>
      <c r="C575">
        <v>0.73255734751824841</v>
      </c>
      <c r="D575" t="str">
        <f t="shared" si="8"/>
        <v>A</v>
      </c>
    </row>
    <row r="576" spans="1:4" x14ac:dyDescent="0.25">
      <c r="A576" t="s">
        <v>772</v>
      </c>
      <c r="B576">
        <v>14968.239</v>
      </c>
      <c r="C576">
        <v>0.74181465760570897</v>
      </c>
      <c r="D576" t="str">
        <f t="shared" si="8"/>
        <v>A</v>
      </c>
    </row>
    <row r="577" spans="1:4" x14ac:dyDescent="0.25">
      <c r="A577" t="s">
        <v>882</v>
      </c>
      <c r="B577">
        <v>14877.464000000002</v>
      </c>
      <c r="C577">
        <v>0.75101582666527777</v>
      </c>
      <c r="D577" t="str">
        <f t="shared" si="8"/>
        <v>A</v>
      </c>
    </row>
    <row r="578" spans="1:4" x14ac:dyDescent="0.25">
      <c r="A578" t="s">
        <v>1093</v>
      </c>
      <c r="B578">
        <v>14813.731920000002</v>
      </c>
      <c r="C578">
        <v>0.76017757975700428</v>
      </c>
      <c r="D578" t="str">
        <f t="shared" si="8"/>
        <v>A</v>
      </c>
    </row>
    <row r="579" spans="1:4" x14ac:dyDescent="0.25">
      <c r="A579" t="s">
        <v>1292</v>
      </c>
      <c r="B579">
        <v>13251.48</v>
      </c>
      <c r="C579">
        <v>0.76837313699508569</v>
      </c>
      <c r="D579" t="str">
        <f t="shared" ref="D579:D639" si="9">IF(C580&lt;=0.8,"A",IF(C580&lt;=0.95,"B","C"))</f>
        <v>A</v>
      </c>
    </row>
    <row r="580" spans="1:4" x14ac:dyDescent="0.25">
      <c r="A580" t="s">
        <v>1163</v>
      </c>
      <c r="B580">
        <v>12955.824749999998</v>
      </c>
      <c r="C580">
        <v>0.77638584224047535</v>
      </c>
      <c r="D580" t="str">
        <f t="shared" si="9"/>
        <v>A</v>
      </c>
    </row>
    <row r="581" spans="1:4" x14ac:dyDescent="0.25">
      <c r="A581" t="s">
        <v>1098</v>
      </c>
      <c r="B581">
        <v>12717.311040000001</v>
      </c>
      <c r="C581">
        <v>0.78425103545231323</v>
      </c>
      <c r="D581" t="str">
        <f t="shared" si="9"/>
        <v>A</v>
      </c>
    </row>
    <row r="582" spans="1:4" x14ac:dyDescent="0.25">
      <c r="A582" t="s">
        <v>999</v>
      </c>
      <c r="B582">
        <v>12597.52224</v>
      </c>
      <c r="C582">
        <v>0.792042143658787</v>
      </c>
      <c r="D582" t="str">
        <f t="shared" si="9"/>
        <v>A</v>
      </c>
    </row>
    <row r="583" spans="1:4" x14ac:dyDescent="0.25">
      <c r="A583" t="s">
        <v>1183</v>
      </c>
      <c r="B583">
        <v>12462.65055</v>
      </c>
      <c r="C583">
        <v>0.79974983864234583</v>
      </c>
      <c r="D583" t="str">
        <f t="shared" si="9"/>
        <v>B</v>
      </c>
    </row>
    <row r="584" spans="1:4" x14ac:dyDescent="0.25">
      <c r="A584" t="s">
        <v>868</v>
      </c>
      <c r="B584">
        <v>12031.491680000001</v>
      </c>
      <c r="C584">
        <v>0.80719087758463304</v>
      </c>
      <c r="D584" t="str">
        <f t="shared" si="9"/>
        <v>B</v>
      </c>
    </row>
    <row r="585" spans="1:4" x14ac:dyDescent="0.25">
      <c r="A585" t="s">
        <v>898</v>
      </c>
      <c r="B585">
        <v>11851.806399999999</v>
      </c>
      <c r="C585">
        <v>0.81452078773247005</v>
      </c>
      <c r="D585" t="str">
        <f t="shared" si="9"/>
        <v>B</v>
      </c>
    </row>
    <row r="586" spans="1:4" x14ac:dyDescent="0.25">
      <c r="A586" t="s">
        <v>1008</v>
      </c>
      <c r="B586">
        <v>11417.429099999999</v>
      </c>
      <c r="C586">
        <v>0.82158205135742257</v>
      </c>
      <c r="D586" t="str">
        <f t="shared" si="9"/>
        <v>B</v>
      </c>
    </row>
    <row r="587" spans="1:4" x14ac:dyDescent="0.25">
      <c r="A587" t="s">
        <v>1260</v>
      </c>
      <c r="B587">
        <v>11406.96</v>
      </c>
      <c r="C587">
        <v>0.82863684022572293</v>
      </c>
      <c r="D587" t="str">
        <f t="shared" si="9"/>
        <v>B</v>
      </c>
    </row>
    <row r="588" spans="1:4" x14ac:dyDescent="0.25">
      <c r="A588" t="s">
        <v>738</v>
      </c>
      <c r="B588">
        <v>10957.9797</v>
      </c>
      <c r="C588">
        <v>0.8354139511480565</v>
      </c>
      <c r="D588" t="str">
        <f t="shared" si="9"/>
        <v>B</v>
      </c>
    </row>
    <row r="589" spans="1:4" x14ac:dyDescent="0.25">
      <c r="A589" t="s">
        <v>1235</v>
      </c>
      <c r="B589">
        <v>10869.182940000001</v>
      </c>
      <c r="C589">
        <v>0.84213614451181262</v>
      </c>
      <c r="D589" t="str">
        <f t="shared" si="9"/>
        <v>B</v>
      </c>
    </row>
    <row r="590" spans="1:4" x14ac:dyDescent="0.25">
      <c r="A590" t="s">
        <v>777</v>
      </c>
      <c r="B590">
        <v>10666.229420000001</v>
      </c>
      <c r="C590">
        <v>0.84873281852302629</v>
      </c>
      <c r="D590" t="str">
        <f t="shared" si="9"/>
        <v>B</v>
      </c>
    </row>
    <row r="591" spans="1:4" x14ac:dyDescent="0.25">
      <c r="A591" t="s">
        <v>1347</v>
      </c>
      <c r="B591">
        <v>10464.138360000001</v>
      </c>
      <c r="C591">
        <v>0.85520450658176261</v>
      </c>
      <c r="D591" t="str">
        <f t="shared" si="9"/>
        <v>B</v>
      </c>
    </row>
    <row r="592" spans="1:4" x14ac:dyDescent="0.25">
      <c r="A592" t="s">
        <v>1203</v>
      </c>
      <c r="B592">
        <v>10428.057360000001</v>
      </c>
      <c r="C592">
        <v>0.86165387985749298</v>
      </c>
      <c r="D592" t="str">
        <f t="shared" si="9"/>
        <v>B</v>
      </c>
    </row>
    <row r="593" spans="1:4" x14ac:dyDescent="0.25">
      <c r="A593" t="s">
        <v>1342</v>
      </c>
      <c r="B593">
        <v>10260.060159999999</v>
      </c>
      <c r="C593">
        <v>0.86799935299011211</v>
      </c>
      <c r="D593" t="str">
        <f t="shared" si="9"/>
        <v>B</v>
      </c>
    </row>
    <row r="594" spans="1:4" x14ac:dyDescent="0.25">
      <c r="A594" t="s">
        <v>826</v>
      </c>
      <c r="B594">
        <v>10161.46624</v>
      </c>
      <c r="C594">
        <v>0.87428384937789305</v>
      </c>
      <c r="D594" t="str">
        <f t="shared" si="9"/>
        <v>B</v>
      </c>
    </row>
    <row r="595" spans="1:4" x14ac:dyDescent="0.25">
      <c r="A595" t="s">
        <v>877</v>
      </c>
      <c r="B595">
        <v>9969.4201499999999</v>
      </c>
      <c r="C595">
        <v>0.88044957226090725</v>
      </c>
      <c r="D595" t="str">
        <f t="shared" si="9"/>
        <v>B</v>
      </c>
    </row>
    <row r="596" spans="1:4" x14ac:dyDescent="0.25">
      <c r="A596" t="s">
        <v>1035</v>
      </c>
      <c r="B596">
        <v>9866.3104799999983</v>
      </c>
      <c r="C596">
        <v>0.8865515255723504</v>
      </c>
      <c r="D596" t="str">
        <f t="shared" si="9"/>
        <v>B</v>
      </c>
    </row>
    <row r="597" spans="1:4" x14ac:dyDescent="0.25">
      <c r="A597" t="s">
        <v>1119</v>
      </c>
      <c r="B597">
        <v>9586.8057599999993</v>
      </c>
      <c r="C597">
        <v>0.89248061540506707</v>
      </c>
      <c r="D597" t="str">
        <f t="shared" si="9"/>
        <v>B</v>
      </c>
    </row>
    <row r="598" spans="1:4" x14ac:dyDescent="0.25">
      <c r="A598" t="s">
        <v>1258</v>
      </c>
      <c r="B598">
        <v>8326.6852500000005</v>
      </c>
      <c r="C598">
        <v>0.89763036664567286</v>
      </c>
      <c r="D598" t="str">
        <f t="shared" si="9"/>
        <v>B</v>
      </c>
    </row>
    <row r="599" spans="1:4" x14ac:dyDescent="0.25">
      <c r="A599" t="s">
        <v>884</v>
      </c>
      <c r="B599">
        <v>7901.5041599999995</v>
      </c>
      <c r="C599">
        <v>0.90251715888399031</v>
      </c>
      <c r="D599" t="str">
        <f t="shared" si="9"/>
        <v>B</v>
      </c>
    </row>
    <row r="600" spans="1:4" x14ac:dyDescent="0.25">
      <c r="A600" t="s">
        <v>1003</v>
      </c>
      <c r="B600">
        <v>7678.2113999999992</v>
      </c>
      <c r="C600">
        <v>0.90726585269138305</v>
      </c>
      <c r="D600" t="str">
        <f t="shared" si="9"/>
        <v>B</v>
      </c>
    </row>
    <row r="601" spans="1:4" x14ac:dyDescent="0.25">
      <c r="A601" t="s">
        <v>1333</v>
      </c>
      <c r="B601">
        <v>7466.3063999999986</v>
      </c>
      <c r="C601">
        <v>0.91188349098221932</v>
      </c>
      <c r="D601" t="str">
        <f t="shared" si="9"/>
        <v>B</v>
      </c>
    </row>
    <row r="602" spans="1:4" x14ac:dyDescent="0.25">
      <c r="A602" t="s">
        <v>963</v>
      </c>
      <c r="B602">
        <v>7446.5209000000004</v>
      </c>
      <c r="C602">
        <v>0.91648889266267453</v>
      </c>
      <c r="D602" t="str">
        <f t="shared" si="9"/>
        <v>B</v>
      </c>
    </row>
    <row r="603" spans="1:4" x14ac:dyDescent="0.25">
      <c r="A603" t="s">
        <v>780</v>
      </c>
      <c r="B603">
        <v>7135.57</v>
      </c>
      <c r="C603">
        <v>0.92090198254858446</v>
      </c>
      <c r="D603" t="str">
        <f t="shared" si="9"/>
        <v>B</v>
      </c>
    </row>
    <row r="604" spans="1:4" x14ac:dyDescent="0.25">
      <c r="A604" t="s">
        <v>946</v>
      </c>
      <c r="B604">
        <v>6984.8246399999998</v>
      </c>
      <c r="C604">
        <v>0.92522184192543</v>
      </c>
      <c r="D604" t="str">
        <f t="shared" si="9"/>
        <v>B</v>
      </c>
    </row>
    <row r="605" spans="1:4" x14ac:dyDescent="0.25">
      <c r="A605" t="s">
        <v>1144</v>
      </c>
      <c r="B605">
        <v>6899.8804600000003</v>
      </c>
      <c r="C605">
        <v>0.92948916642396517</v>
      </c>
      <c r="D605" t="str">
        <f t="shared" si="9"/>
        <v>B</v>
      </c>
    </row>
    <row r="606" spans="1:4" x14ac:dyDescent="0.25">
      <c r="A606" t="s">
        <v>769</v>
      </c>
      <c r="B606">
        <v>6631.6443100000006</v>
      </c>
      <c r="C606">
        <v>0.93359059664347277</v>
      </c>
      <c r="D606" t="str">
        <f t="shared" si="9"/>
        <v>B</v>
      </c>
    </row>
    <row r="607" spans="1:4" x14ac:dyDescent="0.25">
      <c r="A607" t="s">
        <v>952</v>
      </c>
      <c r="B607">
        <v>6535.6324800000002</v>
      </c>
      <c r="C607">
        <v>0.93763264704666571</v>
      </c>
      <c r="D607" t="str">
        <f t="shared" si="9"/>
        <v>B</v>
      </c>
    </row>
    <row r="608" spans="1:4" x14ac:dyDescent="0.25">
      <c r="A608" t="s">
        <v>1176</v>
      </c>
      <c r="B608">
        <v>5960.04288</v>
      </c>
      <c r="C608">
        <v>0.94131871626794972</v>
      </c>
      <c r="D608" t="str">
        <f t="shared" si="9"/>
        <v>B</v>
      </c>
    </row>
    <row r="609" spans="1:4" x14ac:dyDescent="0.25">
      <c r="A609" t="s">
        <v>1336</v>
      </c>
      <c r="B609">
        <v>5457.4317000000001</v>
      </c>
      <c r="C609">
        <v>0.94469393879934016</v>
      </c>
      <c r="D609" t="str">
        <f t="shared" si="9"/>
        <v>B</v>
      </c>
    </row>
    <row r="610" spans="1:4" x14ac:dyDescent="0.25">
      <c r="A610" t="s">
        <v>1042</v>
      </c>
      <c r="B610">
        <v>5334.9141999999993</v>
      </c>
      <c r="C610">
        <v>0.94799338872390349</v>
      </c>
      <c r="D610" t="str">
        <f t="shared" si="9"/>
        <v>C</v>
      </c>
    </row>
    <row r="611" spans="1:4" x14ac:dyDescent="0.25">
      <c r="A611" t="s">
        <v>1214</v>
      </c>
      <c r="B611">
        <v>4738.5261</v>
      </c>
      <c r="C611">
        <v>0.95092399435260999</v>
      </c>
      <c r="D611" t="str">
        <f t="shared" si="9"/>
        <v>C</v>
      </c>
    </row>
    <row r="612" spans="1:4" x14ac:dyDescent="0.25">
      <c r="A612" t="s">
        <v>935</v>
      </c>
      <c r="B612">
        <v>4637.7968000000001</v>
      </c>
      <c r="C612">
        <v>0.95379230258180325</v>
      </c>
      <c r="D612" t="str">
        <f t="shared" si="9"/>
        <v>C</v>
      </c>
    </row>
    <row r="613" spans="1:4" x14ac:dyDescent="0.25">
      <c r="A613" t="s">
        <v>1103</v>
      </c>
      <c r="B613">
        <v>4569.5735999999997</v>
      </c>
      <c r="C613">
        <v>0.95661841724917829</v>
      </c>
      <c r="D613" t="str">
        <f t="shared" si="9"/>
        <v>C</v>
      </c>
    </row>
    <row r="614" spans="1:4" x14ac:dyDescent="0.25">
      <c r="A614" t="s">
        <v>974</v>
      </c>
      <c r="B614">
        <v>4436.6291200000005</v>
      </c>
      <c r="C614">
        <v>0.95936231060275823</v>
      </c>
      <c r="D614" t="str">
        <f t="shared" si="9"/>
        <v>C</v>
      </c>
    </row>
    <row r="615" spans="1:4" x14ac:dyDescent="0.25">
      <c r="A615" t="s">
        <v>913</v>
      </c>
      <c r="B615">
        <v>4420.5961799999995</v>
      </c>
      <c r="C615">
        <v>0.96209628816750081</v>
      </c>
      <c r="D615" t="str">
        <f t="shared" si="9"/>
        <v>C</v>
      </c>
    </row>
    <row r="616" spans="1:4" x14ac:dyDescent="0.25">
      <c r="A616" t="s">
        <v>1330</v>
      </c>
      <c r="B616">
        <v>4409.5168800000001</v>
      </c>
      <c r="C616">
        <v>0.9648234135891387</v>
      </c>
      <c r="D616" t="str">
        <f t="shared" si="9"/>
        <v>C</v>
      </c>
    </row>
    <row r="617" spans="1:4" x14ac:dyDescent="0.25">
      <c r="A617" t="s">
        <v>927</v>
      </c>
      <c r="B617">
        <v>4402.1164799999997</v>
      </c>
      <c r="C617">
        <v>0.96754596213319133</v>
      </c>
      <c r="D617" t="str">
        <f t="shared" si="9"/>
        <v>C</v>
      </c>
    </row>
    <row r="618" spans="1:4" x14ac:dyDescent="0.25">
      <c r="A618" t="s">
        <v>1030</v>
      </c>
      <c r="B618">
        <v>4241.88105</v>
      </c>
      <c r="C618">
        <v>0.97016941090588749</v>
      </c>
      <c r="D618" t="str">
        <f t="shared" si="9"/>
        <v>C</v>
      </c>
    </row>
    <row r="619" spans="1:4" x14ac:dyDescent="0.25">
      <c r="A619" t="s">
        <v>886</v>
      </c>
      <c r="B619">
        <v>4139.8127999999997</v>
      </c>
      <c r="C619">
        <v>0.97272973418731268</v>
      </c>
      <c r="D619" t="str">
        <f t="shared" si="9"/>
        <v>C</v>
      </c>
    </row>
    <row r="620" spans="1:4" x14ac:dyDescent="0.25">
      <c r="A620" t="s">
        <v>1084</v>
      </c>
      <c r="B620">
        <v>4132.0325200000007</v>
      </c>
      <c r="C620">
        <v>0.97528524564922281</v>
      </c>
      <c r="D620" t="str">
        <f t="shared" si="9"/>
        <v>C</v>
      </c>
    </row>
    <row r="621" spans="1:4" x14ac:dyDescent="0.25">
      <c r="A621" t="s">
        <v>1107</v>
      </c>
      <c r="B621">
        <v>4117.4880599999997</v>
      </c>
      <c r="C621">
        <v>0.97783176189290621</v>
      </c>
      <c r="D621" t="str">
        <f t="shared" si="9"/>
        <v>C</v>
      </c>
    </row>
    <row r="622" spans="1:4" x14ac:dyDescent="0.25">
      <c r="A622" t="s">
        <v>1195</v>
      </c>
      <c r="B622">
        <v>4055.5175999999997</v>
      </c>
      <c r="C622">
        <v>0.98033995166648968</v>
      </c>
      <c r="D622" t="str">
        <f t="shared" si="9"/>
        <v>C</v>
      </c>
    </row>
    <row r="623" spans="1:4" x14ac:dyDescent="0.25">
      <c r="A623" t="s">
        <v>1221</v>
      </c>
      <c r="B623">
        <v>4025.8565599999993</v>
      </c>
      <c r="C623">
        <v>0.98282979716825902</v>
      </c>
      <c r="D623" t="str">
        <f t="shared" si="9"/>
        <v>C</v>
      </c>
    </row>
    <row r="624" spans="1:4" x14ac:dyDescent="0.25">
      <c r="A624" t="s">
        <v>773</v>
      </c>
      <c r="B624">
        <v>3562.1983800000003</v>
      </c>
      <c r="C624">
        <v>0.98503288699042901</v>
      </c>
      <c r="D624" t="str">
        <f t="shared" si="9"/>
        <v>C</v>
      </c>
    </row>
    <row r="625" spans="1:4" x14ac:dyDescent="0.25">
      <c r="A625" t="s">
        <v>1329</v>
      </c>
      <c r="B625">
        <v>3116.21</v>
      </c>
      <c r="C625">
        <v>0.98696014926006848</v>
      </c>
      <c r="D625" t="str">
        <f t="shared" si="9"/>
        <v>C</v>
      </c>
    </row>
    <row r="626" spans="1:4" x14ac:dyDescent="0.25">
      <c r="A626" t="s">
        <v>966</v>
      </c>
      <c r="B626">
        <v>2879.9836</v>
      </c>
      <c r="C626">
        <v>0.98874131411399691</v>
      </c>
      <c r="D626" t="str">
        <f t="shared" si="9"/>
        <v>C</v>
      </c>
    </row>
    <row r="627" spans="1:4" x14ac:dyDescent="0.25">
      <c r="A627" t="s">
        <v>1340</v>
      </c>
      <c r="B627">
        <v>2736.27018</v>
      </c>
      <c r="C627">
        <v>0.99043359745737025</v>
      </c>
      <c r="D627" t="str">
        <f t="shared" si="9"/>
        <v>C</v>
      </c>
    </row>
    <row r="628" spans="1:4" x14ac:dyDescent="0.25">
      <c r="A628" t="s">
        <v>1124</v>
      </c>
      <c r="B628">
        <v>2525.0635000000002</v>
      </c>
      <c r="C628">
        <v>0.99199525716964687</v>
      </c>
      <c r="D628" t="str">
        <f t="shared" si="9"/>
        <v>C</v>
      </c>
    </row>
    <row r="629" spans="1:4" x14ac:dyDescent="0.25">
      <c r="A629" t="s">
        <v>1259</v>
      </c>
      <c r="B629">
        <v>2146.5580500000001</v>
      </c>
      <c r="C629">
        <v>0.99332282506120617</v>
      </c>
      <c r="D629" t="str">
        <f t="shared" si="9"/>
        <v>C</v>
      </c>
    </row>
    <row r="630" spans="1:4" x14ac:dyDescent="0.25">
      <c r="A630" t="s">
        <v>908</v>
      </c>
      <c r="B630">
        <v>1952.6356799999999</v>
      </c>
      <c r="C630">
        <v>0.99453045903722703</v>
      </c>
      <c r="D630" t="str">
        <f t="shared" si="9"/>
        <v>C</v>
      </c>
    </row>
    <row r="631" spans="1:4" x14ac:dyDescent="0.25">
      <c r="A631" t="s">
        <v>1178</v>
      </c>
      <c r="B631">
        <v>1925.29872</v>
      </c>
      <c r="C631">
        <v>0.9957211861001789</v>
      </c>
      <c r="D631" t="str">
        <f t="shared" si="9"/>
        <v>C</v>
      </c>
    </row>
    <row r="632" spans="1:4" x14ac:dyDescent="0.25">
      <c r="A632" t="s">
        <v>760</v>
      </c>
      <c r="B632">
        <v>1756.6999999999998</v>
      </c>
      <c r="C632">
        <v>0.99680764100183039</v>
      </c>
      <c r="D632" t="str">
        <f t="shared" si="9"/>
        <v>C</v>
      </c>
    </row>
    <row r="633" spans="1:4" x14ac:dyDescent="0.25">
      <c r="A633" t="s">
        <v>1088</v>
      </c>
      <c r="B633">
        <v>1122.0896000000002</v>
      </c>
      <c r="C633">
        <v>0.99750161250863989</v>
      </c>
      <c r="D633" t="str">
        <f t="shared" si="9"/>
        <v>C</v>
      </c>
    </row>
    <row r="634" spans="1:4" x14ac:dyDescent="0.25">
      <c r="A634" t="s">
        <v>1025</v>
      </c>
      <c r="B634">
        <v>1098.9470800000001</v>
      </c>
      <c r="C634">
        <v>0.99818127121059341</v>
      </c>
      <c r="D634" t="str">
        <f t="shared" si="9"/>
        <v>C</v>
      </c>
    </row>
    <row r="635" spans="1:4" x14ac:dyDescent="0.25">
      <c r="A635" t="s">
        <v>850</v>
      </c>
      <c r="B635">
        <v>765.99195000000009</v>
      </c>
      <c r="C635">
        <v>0.99865500930400897</v>
      </c>
      <c r="D635" t="str">
        <f t="shared" si="9"/>
        <v>C</v>
      </c>
    </row>
    <row r="636" spans="1:4" x14ac:dyDescent="0.25">
      <c r="A636" t="s">
        <v>977</v>
      </c>
      <c r="B636">
        <v>748.22303999999997</v>
      </c>
      <c r="C636">
        <v>0.99911775797443458</v>
      </c>
      <c r="D636" t="str">
        <f t="shared" si="9"/>
        <v>C</v>
      </c>
    </row>
    <row r="637" spans="1:4" x14ac:dyDescent="0.25">
      <c r="A637" t="s">
        <v>1151</v>
      </c>
      <c r="B637">
        <v>741.43835999999999</v>
      </c>
      <c r="C637">
        <v>0.99957631056764606</v>
      </c>
      <c r="D637" t="str">
        <f t="shared" si="9"/>
        <v>C</v>
      </c>
    </row>
    <row r="638" spans="1:4" x14ac:dyDescent="0.25">
      <c r="A638" t="s">
        <v>741</v>
      </c>
      <c r="B638">
        <v>685.06776000000002</v>
      </c>
      <c r="C638">
        <v>0.99999999999999956</v>
      </c>
      <c r="D638" t="str">
        <f t="shared" si="9"/>
        <v>A</v>
      </c>
    </row>
    <row r="639" spans="1:4" x14ac:dyDescent="0.25">
      <c r="A639" t="s">
        <v>1435</v>
      </c>
      <c r="B639">
        <v>10944328.85743</v>
      </c>
      <c r="D639" t="str">
        <f t="shared" si="9"/>
        <v>A</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A5270-A2F0-4834-B02E-127A80B295DF}">
  <sheetPr codeName="Sheet6"/>
  <dimension ref="A3:J20"/>
  <sheetViews>
    <sheetView workbookViewId="0">
      <selection activeCell="J9" sqref="J9"/>
    </sheetView>
  </sheetViews>
  <sheetFormatPr defaultRowHeight="15" x14ac:dyDescent="0.25"/>
  <cols>
    <col min="1" max="1" width="13.140625" bestFit="1" customWidth="1"/>
    <col min="2" max="2" width="16.140625" bestFit="1" customWidth="1"/>
    <col min="3" max="3" width="20.7109375" bestFit="1" customWidth="1"/>
    <col min="4" max="4" width="17.85546875" bestFit="1" customWidth="1"/>
    <col min="5" max="5" width="24.85546875" style="29" bestFit="1" customWidth="1"/>
    <col min="6" max="6" width="20.5703125" bestFit="1" customWidth="1"/>
    <col min="10" max="10" width="18.85546875" bestFit="1" customWidth="1"/>
  </cols>
  <sheetData>
    <row r="3" spans="1:10" x14ac:dyDescent="0.25">
      <c r="A3" s="6" t="s">
        <v>1434</v>
      </c>
      <c r="B3" t="s">
        <v>1468</v>
      </c>
      <c r="C3" t="s">
        <v>1461</v>
      </c>
      <c r="D3" t="s">
        <v>1469</v>
      </c>
      <c r="E3" t="s">
        <v>1471</v>
      </c>
      <c r="F3" t="s">
        <v>1472</v>
      </c>
    </row>
    <row r="4" spans="1:10" x14ac:dyDescent="0.25">
      <c r="A4" s="7" t="s">
        <v>720</v>
      </c>
      <c r="B4">
        <v>10</v>
      </c>
      <c r="C4" s="17">
        <v>114205.91580999999</v>
      </c>
      <c r="D4" s="17">
        <v>31750.385810000003</v>
      </c>
      <c r="E4" s="17">
        <f>C4/B4</f>
        <v>11420.591580999999</v>
      </c>
      <c r="F4" s="17">
        <f>D4/B4</f>
        <v>3175.0385810000002</v>
      </c>
    </row>
    <row r="5" spans="1:10" x14ac:dyDescent="0.25">
      <c r="A5" s="7" t="s">
        <v>717</v>
      </c>
      <c r="B5">
        <v>6</v>
      </c>
      <c r="C5" s="17">
        <v>121530.73565</v>
      </c>
      <c r="D5" s="17">
        <v>24662.765650000001</v>
      </c>
      <c r="E5" s="17">
        <f t="shared" ref="E5:E19" si="0">C5/B5</f>
        <v>20255.122608333335</v>
      </c>
      <c r="F5" s="17">
        <f t="shared" ref="F5:F19" si="1">D5/B5</f>
        <v>4110.4609416666672</v>
      </c>
    </row>
    <row r="6" spans="1:10" x14ac:dyDescent="0.25">
      <c r="A6" s="7" t="s">
        <v>712</v>
      </c>
      <c r="B6">
        <v>4</v>
      </c>
      <c r="C6" s="17">
        <v>84749.380779999992</v>
      </c>
      <c r="D6" s="17">
        <v>19069.35077999999</v>
      </c>
      <c r="E6" s="17">
        <f t="shared" si="0"/>
        <v>21187.345194999998</v>
      </c>
      <c r="F6" s="17">
        <f t="shared" si="1"/>
        <v>4767.3376949999974</v>
      </c>
    </row>
    <row r="7" spans="1:10" x14ac:dyDescent="0.25">
      <c r="A7" s="7" t="s">
        <v>726</v>
      </c>
      <c r="B7">
        <v>5</v>
      </c>
      <c r="C7" s="17">
        <v>111804.06212</v>
      </c>
      <c r="D7" s="17">
        <v>37505.062119999995</v>
      </c>
      <c r="E7" s="17">
        <f t="shared" si="0"/>
        <v>22360.812424</v>
      </c>
      <c r="F7" s="17">
        <f t="shared" si="1"/>
        <v>7501.0124239999986</v>
      </c>
    </row>
    <row r="8" spans="1:10" x14ac:dyDescent="0.25">
      <c r="A8" s="7" t="s">
        <v>718</v>
      </c>
      <c r="B8">
        <v>1</v>
      </c>
      <c r="C8" s="17">
        <v>4577.1480000000001</v>
      </c>
      <c r="D8" s="17">
        <v>1230.2980000000002</v>
      </c>
      <c r="E8" s="17">
        <f t="shared" si="0"/>
        <v>4577.1480000000001</v>
      </c>
      <c r="F8" s="17">
        <f t="shared" si="1"/>
        <v>1230.2980000000002</v>
      </c>
      <c r="J8" t="s">
        <v>1534</v>
      </c>
    </row>
    <row r="9" spans="1:10" x14ac:dyDescent="0.25">
      <c r="A9" s="7" t="s">
        <v>721</v>
      </c>
      <c r="B9">
        <v>6</v>
      </c>
      <c r="C9" s="17">
        <v>98847.876980000001</v>
      </c>
      <c r="D9" s="17">
        <v>35544.326979999998</v>
      </c>
      <c r="E9" s="17">
        <f t="shared" si="0"/>
        <v>16474.646163333335</v>
      </c>
      <c r="F9" s="17">
        <f t="shared" si="1"/>
        <v>5924.0544966666666</v>
      </c>
      <c r="J9" s="17">
        <f>10944328.86/632</f>
        <v>17316.976044303796</v>
      </c>
    </row>
    <row r="10" spans="1:10" x14ac:dyDescent="0.25">
      <c r="A10" s="7" t="s">
        <v>715</v>
      </c>
      <c r="B10">
        <v>6</v>
      </c>
      <c r="C10" s="17">
        <v>133482.18912</v>
      </c>
      <c r="D10" s="17">
        <v>41506.989119999998</v>
      </c>
      <c r="E10" s="17">
        <f t="shared" si="0"/>
        <v>22247.03152</v>
      </c>
      <c r="F10" s="17">
        <f t="shared" si="1"/>
        <v>6917.8315199999997</v>
      </c>
    </row>
    <row r="11" spans="1:10" x14ac:dyDescent="0.25">
      <c r="A11" s="7" t="s">
        <v>722</v>
      </c>
      <c r="B11">
        <v>6</v>
      </c>
      <c r="C11" s="17">
        <v>49428.145200000006</v>
      </c>
      <c r="D11" s="17">
        <v>-60210.8148</v>
      </c>
      <c r="E11" s="17">
        <f t="shared" si="0"/>
        <v>8238.0242000000017</v>
      </c>
      <c r="F11" s="17">
        <f t="shared" si="1"/>
        <v>-10035.1358</v>
      </c>
    </row>
    <row r="12" spans="1:10" x14ac:dyDescent="0.25">
      <c r="A12" s="7" t="s">
        <v>714</v>
      </c>
      <c r="B12">
        <v>5</v>
      </c>
      <c r="C12" s="17">
        <v>38245.33238</v>
      </c>
      <c r="D12" s="17">
        <v>8772.6923800000004</v>
      </c>
      <c r="E12" s="17">
        <f t="shared" si="0"/>
        <v>7649.066476</v>
      </c>
      <c r="F12" s="17">
        <f t="shared" si="1"/>
        <v>1754.5384760000002</v>
      </c>
    </row>
    <row r="13" spans="1:10" x14ac:dyDescent="0.25">
      <c r="A13" s="7" t="s">
        <v>713</v>
      </c>
      <c r="B13">
        <v>4</v>
      </c>
      <c r="C13" s="17">
        <v>125092.16634999998</v>
      </c>
      <c r="D13" s="17">
        <v>54633.286350000002</v>
      </c>
      <c r="E13" s="17">
        <f t="shared" si="0"/>
        <v>31273.041587499996</v>
      </c>
      <c r="F13" s="17">
        <f t="shared" si="1"/>
        <v>13658.321587500001</v>
      </c>
    </row>
    <row r="14" spans="1:10" x14ac:dyDescent="0.25">
      <c r="A14" s="7" t="s">
        <v>723</v>
      </c>
      <c r="B14">
        <v>4</v>
      </c>
      <c r="C14" s="17">
        <v>30378.707580000002</v>
      </c>
      <c r="D14" s="17">
        <v>6306.6175800000001</v>
      </c>
      <c r="E14" s="17">
        <f t="shared" si="0"/>
        <v>7594.6768950000005</v>
      </c>
      <c r="F14" s="17">
        <f t="shared" si="1"/>
        <v>1576.654395</v>
      </c>
    </row>
    <row r="15" spans="1:10" x14ac:dyDescent="0.25">
      <c r="A15" s="7" t="s">
        <v>716</v>
      </c>
      <c r="B15">
        <v>14</v>
      </c>
      <c r="C15" s="17">
        <v>192479.22738</v>
      </c>
      <c r="D15" s="17">
        <v>56612.847380000007</v>
      </c>
      <c r="E15" s="17">
        <f t="shared" si="0"/>
        <v>13748.516241428571</v>
      </c>
      <c r="F15" s="17">
        <f t="shared" si="1"/>
        <v>4043.7748128571434</v>
      </c>
    </row>
    <row r="16" spans="1:10" x14ac:dyDescent="0.25">
      <c r="A16" s="7" t="s">
        <v>724</v>
      </c>
      <c r="B16">
        <v>8</v>
      </c>
      <c r="C16" s="17">
        <v>122010.25775999999</v>
      </c>
      <c r="D16" s="17">
        <v>29183.087759999995</v>
      </c>
      <c r="E16" s="17">
        <f t="shared" si="0"/>
        <v>15251.282219999999</v>
      </c>
      <c r="F16" s="17">
        <f t="shared" si="1"/>
        <v>3647.8859699999994</v>
      </c>
    </row>
    <row r="17" spans="1:6" x14ac:dyDescent="0.25">
      <c r="A17" s="7" t="s">
        <v>719</v>
      </c>
      <c r="B17">
        <v>7</v>
      </c>
      <c r="C17" s="17">
        <v>71977.253560000012</v>
      </c>
      <c r="D17" s="17">
        <v>23567.303560000008</v>
      </c>
      <c r="E17" s="17">
        <f t="shared" si="0"/>
        <v>10282.464794285715</v>
      </c>
      <c r="F17" s="17">
        <f t="shared" si="1"/>
        <v>3366.7576514285724</v>
      </c>
    </row>
    <row r="18" spans="1:6" x14ac:dyDescent="0.25">
      <c r="A18" s="7" t="s">
        <v>1430</v>
      </c>
      <c r="B18">
        <v>2</v>
      </c>
      <c r="C18" s="17">
        <v>42965.240999999995</v>
      </c>
      <c r="D18" s="17">
        <v>13379.750999999995</v>
      </c>
      <c r="E18" s="17">
        <f t="shared" si="0"/>
        <v>21482.620499999997</v>
      </c>
      <c r="F18" s="17">
        <f t="shared" si="1"/>
        <v>6689.8754999999974</v>
      </c>
    </row>
    <row r="19" spans="1:6" x14ac:dyDescent="0.25">
      <c r="A19" s="7" t="s">
        <v>1435</v>
      </c>
      <c r="B19">
        <v>88</v>
      </c>
      <c r="C19" s="17">
        <v>1341773.6396699997</v>
      </c>
      <c r="D19" s="17">
        <v>323513.94967000006</v>
      </c>
      <c r="E19" s="17">
        <f t="shared" si="0"/>
        <v>15247.427723522724</v>
      </c>
      <c r="F19" s="17">
        <f t="shared" si="1"/>
        <v>3676.2948826136371</v>
      </c>
    </row>
    <row r="20" spans="1:6" x14ac:dyDescent="0.25">
      <c r="E20"/>
    </row>
  </sheetData>
  <conditionalFormatting sqref="F1:F1048576">
    <cfRule type="top10" dxfId="6" priority="1" bottom="1" rank="3"/>
    <cfRule type="top10" dxfId="5" priority="2" rank="3"/>
    <cfRule type="top10" priority="3" rank="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B55BD-BB7D-4BF7-BF63-9AFB9CDA1DD8}">
  <sheetPr codeName="Sheet7"/>
  <dimension ref="A3:AJ20"/>
  <sheetViews>
    <sheetView topLeftCell="T1" workbookViewId="0">
      <selection activeCell="AC14" sqref="AC14"/>
    </sheetView>
  </sheetViews>
  <sheetFormatPr defaultRowHeight="15" x14ac:dyDescent="0.25"/>
  <cols>
    <col min="1" max="1" width="16.140625" bestFit="1" customWidth="1"/>
    <col min="2" max="2" width="16.28515625" bestFit="1" customWidth="1"/>
    <col min="3" max="3" width="8.85546875" bestFit="1" customWidth="1"/>
    <col min="4" max="6" width="9.140625" bestFit="1" customWidth="1"/>
    <col min="7" max="11" width="9" bestFit="1" customWidth="1"/>
    <col min="12" max="14" width="8.5703125" bestFit="1" customWidth="1"/>
    <col min="15" max="17" width="8.140625" bestFit="1" customWidth="1"/>
    <col min="18" max="20" width="8.7109375" bestFit="1" customWidth="1"/>
    <col min="21" max="23" width="9.28515625" bestFit="1" customWidth="1"/>
    <col min="24" max="26" width="9.5703125" bestFit="1" customWidth="1"/>
    <col min="27" max="28" width="9.28515625" bestFit="1" customWidth="1"/>
    <col min="29" max="30" width="8.7109375" bestFit="1" customWidth="1"/>
    <col min="31" max="32" width="9.7109375" bestFit="1" customWidth="1"/>
    <col min="33" max="35" width="11.28515625" bestFit="1" customWidth="1"/>
    <col min="36" max="36" width="31.140625" style="29" bestFit="1" customWidth="1"/>
  </cols>
  <sheetData>
    <row r="3" spans="1:36" x14ac:dyDescent="0.25">
      <c r="A3" s="6" t="s">
        <v>1468</v>
      </c>
      <c r="B3" s="6" t="s">
        <v>1460</v>
      </c>
      <c r="AJ3" s="29" t="s">
        <v>1503</v>
      </c>
    </row>
    <row r="4" spans="1:36" x14ac:dyDescent="0.25">
      <c r="A4" s="6" t="s">
        <v>1434</v>
      </c>
      <c r="B4" t="s">
        <v>1473</v>
      </c>
      <c r="C4" t="s">
        <v>1474</v>
      </c>
      <c r="D4" t="s">
        <v>1475</v>
      </c>
      <c r="E4" t="s">
        <v>1476</v>
      </c>
      <c r="F4" t="s">
        <v>1477</v>
      </c>
      <c r="G4" t="s">
        <v>1478</v>
      </c>
      <c r="H4" t="s">
        <v>1479</v>
      </c>
      <c r="I4" t="s">
        <v>1480</v>
      </c>
      <c r="J4" t="s">
        <v>1481</v>
      </c>
      <c r="K4" t="s">
        <v>1482</v>
      </c>
      <c r="L4" t="s">
        <v>1483</v>
      </c>
      <c r="M4" t="s">
        <v>1484</v>
      </c>
      <c r="N4" t="s">
        <v>1485</v>
      </c>
      <c r="O4" t="s">
        <v>1486</v>
      </c>
      <c r="P4" t="s">
        <v>1487</v>
      </c>
      <c r="Q4" t="s">
        <v>1464</v>
      </c>
      <c r="R4" t="s">
        <v>1488</v>
      </c>
      <c r="S4" t="s">
        <v>1489</v>
      </c>
      <c r="T4" t="s">
        <v>1490</v>
      </c>
      <c r="U4" t="s">
        <v>1491</v>
      </c>
      <c r="V4" t="s">
        <v>1492</v>
      </c>
      <c r="W4" t="s">
        <v>1493</v>
      </c>
      <c r="X4" t="s">
        <v>1494</v>
      </c>
      <c r="Y4" t="s">
        <v>1495</v>
      </c>
      <c r="Z4" t="s">
        <v>1496</v>
      </c>
      <c r="AA4" t="s">
        <v>1497</v>
      </c>
      <c r="AB4" t="s">
        <v>1498</v>
      </c>
      <c r="AC4" t="s">
        <v>1499</v>
      </c>
      <c r="AD4" t="s">
        <v>1500</v>
      </c>
      <c r="AE4" t="s">
        <v>1501</v>
      </c>
      <c r="AF4" t="s">
        <v>1502</v>
      </c>
      <c r="AG4" t="s">
        <v>1435</v>
      </c>
      <c r="AJ4" s="29">
        <f>AVERAGEIF(B5:AI5,"&gt;0")</f>
        <v>1.8181818181818181</v>
      </c>
    </row>
    <row r="5" spans="1:36" x14ac:dyDescent="0.25">
      <c r="A5" s="7" t="s">
        <v>720</v>
      </c>
      <c r="B5">
        <v>1</v>
      </c>
      <c r="C5">
        <v>1</v>
      </c>
      <c r="F5">
        <v>1</v>
      </c>
      <c r="G5">
        <v>1</v>
      </c>
      <c r="S5">
        <v>1</v>
      </c>
      <c r="T5">
        <v>1</v>
      </c>
      <c r="Z5">
        <v>1</v>
      </c>
      <c r="AB5">
        <v>1</v>
      </c>
      <c r="AC5">
        <v>1</v>
      </c>
      <c r="AE5">
        <v>1</v>
      </c>
      <c r="AG5">
        <v>10</v>
      </c>
      <c r="AJ5" s="29">
        <f t="shared" ref="AJ5:AJ20" si="0">AVERAGEIF(B6:AI6,"&gt;0")</f>
        <v>1.7142857142857142</v>
      </c>
    </row>
    <row r="6" spans="1:36" x14ac:dyDescent="0.25">
      <c r="A6" s="7" t="s">
        <v>717</v>
      </c>
      <c r="B6">
        <v>1</v>
      </c>
      <c r="L6">
        <v>1</v>
      </c>
      <c r="N6">
        <v>1</v>
      </c>
      <c r="O6">
        <v>1</v>
      </c>
      <c r="Q6">
        <v>1</v>
      </c>
      <c r="AE6">
        <v>1</v>
      </c>
      <c r="AG6">
        <v>6</v>
      </c>
      <c r="AJ6" s="29">
        <f t="shared" si="0"/>
        <v>1.6</v>
      </c>
    </row>
    <row r="7" spans="1:36" x14ac:dyDescent="0.25">
      <c r="A7" s="7" t="s">
        <v>712</v>
      </c>
      <c r="H7">
        <v>1</v>
      </c>
      <c r="S7">
        <v>1</v>
      </c>
      <c r="T7">
        <v>1</v>
      </c>
      <c r="U7">
        <v>1</v>
      </c>
      <c r="AG7">
        <v>4</v>
      </c>
      <c r="AJ7" s="29">
        <f t="shared" si="0"/>
        <v>1.6666666666666667</v>
      </c>
    </row>
    <row r="8" spans="1:36" x14ac:dyDescent="0.25">
      <c r="A8" s="7" t="s">
        <v>726</v>
      </c>
      <c r="I8">
        <v>1</v>
      </c>
      <c r="M8">
        <v>1</v>
      </c>
      <c r="P8">
        <v>1</v>
      </c>
      <c r="X8">
        <v>1</v>
      </c>
      <c r="AB8">
        <v>1</v>
      </c>
      <c r="AG8">
        <v>5</v>
      </c>
      <c r="AJ8" s="29">
        <f t="shared" si="0"/>
        <v>1</v>
      </c>
    </row>
    <row r="9" spans="1:36" x14ac:dyDescent="0.25">
      <c r="A9" s="7" t="s">
        <v>718</v>
      </c>
      <c r="R9">
        <v>1</v>
      </c>
      <c r="AG9">
        <v>1</v>
      </c>
      <c r="AJ9" s="29">
        <f t="shared" si="0"/>
        <v>1.7142857142857142</v>
      </c>
    </row>
    <row r="10" spans="1:36" x14ac:dyDescent="0.25">
      <c r="A10" s="7" t="s">
        <v>721</v>
      </c>
      <c r="H10">
        <v>1</v>
      </c>
      <c r="M10">
        <v>1</v>
      </c>
      <c r="Y10">
        <v>1</v>
      </c>
      <c r="Z10">
        <v>1</v>
      </c>
      <c r="AB10">
        <v>1</v>
      </c>
      <c r="AD10">
        <v>1</v>
      </c>
      <c r="AG10">
        <v>6</v>
      </c>
      <c r="AJ10" s="29">
        <f t="shared" si="0"/>
        <v>1.7142857142857142</v>
      </c>
    </row>
    <row r="11" spans="1:36" x14ac:dyDescent="0.25">
      <c r="A11" s="7" t="s">
        <v>715</v>
      </c>
      <c r="L11">
        <v>1</v>
      </c>
      <c r="M11">
        <v>1</v>
      </c>
      <c r="N11">
        <v>1</v>
      </c>
      <c r="P11">
        <v>1</v>
      </c>
      <c r="Q11">
        <v>1</v>
      </c>
      <c r="W11">
        <v>1</v>
      </c>
      <c r="AG11">
        <v>6</v>
      </c>
      <c r="AJ11" s="29">
        <f t="shared" si="0"/>
        <v>2</v>
      </c>
    </row>
    <row r="12" spans="1:36" x14ac:dyDescent="0.25">
      <c r="A12" s="7" t="s">
        <v>722</v>
      </c>
      <c r="T12">
        <v>1</v>
      </c>
      <c r="W12">
        <v>1</v>
      </c>
      <c r="Y12">
        <v>2</v>
      </c>
      <c r="Z12">
        <v>1</v>
      </c>
      <c r="AA12">
        <v>1</v>
      </c>
      <c r="AG12">
        <v>6</v>
      </c>
      <c r="AJ12" s="29">
        <f t="shared" si="0"/>
        <v>2.5</v>
      </c>
    </row>
    <row r="13" spans="1:36" x14ac:dyDescent="0.25">
      <c r="A13" s="7" t="s">
        <v>714</v>
      </c>
      <c r="O13">
        <v>2</v>
      </c>
      <c r="R13">
        <v>1</v>
      </c>
      <c r="AE13">
        <v>2</v>
      </c>
      <c r="AG13">
        <v>5</v>
      </c>
      <c r="AJ13" s="29">
        <f t="shared" si="0"/>
        <v>1.6</v>
      </c>
    </row>
    <row r="14" spans="1:36" x14ac:dyDescent="0.25">
      <c r="A14" s="7" t="s">
        <v>713</v>
      </c>
      <c r="D14">
        <v>1</v>
      </c>
      <c r="N14">
        <v>1</v>
      </c>
      <c r="P14">
        <v>1</v>
      </c>
      <c r="R14">
        <v>1</v>
      </c>
      <c r="AG14">
        <v>4</v>
      </c>
      <c r="AJ14" s="29">
        <f t="shared" si="0"/>
        <v>2</v>
      </c>
    </row>
    <row r="15" spans="1:36" x14ac:dyDescent="0.25">
      <c r="A15" s="7" t="s">
        <v>723</v>
      </c>
      <c r="K15">
        <v>1</v>
      </c>
      <c r="X15">
        <v>2</v>
      </c>
      <c r="AF15">
        <v>1</v>
      </c>
      <c r="AG15">
        <v>4</v>
      </c>
      <c r="AJ15" s="29">
        <f t="shared" si="0"/>
        <v>2.5454545454545454</v>
      </c>
    </row>
    <row r="16" spans="1:36" x14ac:dyDescent="0.25">
      <c r="A16" s="7" t="s">
        <v>716</v>
      </c>
      <c r="D16">
        <v>1</v>
      </c>
      <c r="G16">
        <v>1</v>
      </c>
      <c r="H16">
        <v>1</v>
      </c>
      <c r="J16">
        <v>1</v>
      </c>
      <c r="K16">
        <v>4</v>
      </c>
      <c r="S16">
        <v>2</v>
      </c>
      <c r="U16">
        <v>1</v>
      </c>
      <c r="AA16">
        <v>1</v>
      </c>
      <c r="AC16">
        <v>1</v>
      </c>
      <c r="AF16">
        <v>1</v>
      </c>
      <c r="AG16">
        <v>14</v>
      </c>
      <c r="AJ16" s="29">
        <f t="shared" si="0"/>
        <v>2</v>
      </c>
    </row>
    <row r="17" spans="1:36" x14ac:dyDescent="0.25">
      <c r="A17" s="7" t="s">
        <v>724</v>
      </c>
      <c r="B17">
        <v>1</v>
      </c>
      <c r="O17">
        <v>2</v>
      </c>
      <c r="Q17">
        <v>1</v>
      </c>
      <c r="R17">
        <v>1</v>
      </c>
      <c r="S17">
        <v>1</v>
      </c>
      <c r="T17">
        <v>1</v>
      </c>
      <c r="V17">
        <v>1</v>
      </c>
      <c r="AG17">
        <v>8</v>
      </c>
      <c r="AJ17" s="29">
        <f t="shared" si="0"/>
        <v>2</v>
      </c>
    </row>
    <row r="18" spans="1:36" x14ac:dyDescent="0.25">
      <c r="A18" s="7" t="s">
        <v>719</v>
      </c>
      <c r="C18">
        <v>1</v>
      </c>
      <c r="D18">
        <v>1</v>
      </c>
      <c r="Q18">
        <v>1</v>
      </c>
      <c r="T18">
        <v>1</v>
      </c>
      <c r="X18">
        <v>1</v>
      </c>
      <c r="AC18">
        <v>2</v>
      </c>
      <c r="AG18">
        <v>7</v>
      </c>
      <c r="AJ18" s="29">
        <f t="shared" si="0"/>
        <v>1.3333333333333333</v>
      </c>
    </row>
    <row r="19" spans="1:36" x14ac:dyDescent="0.25">
      <c r="A19" s="7" t="s">
        <v>1430</v>
      </c>
      <c r="E19">
        <v>1</v>
      </c>
      <c r="AC19">
        <v>1</v>
      </c>
      <c r="AG19">
        <v>2</v>
      </c>
      <c r="AJ19" s="29">
        <f t="shared" si="0"/>
        <v>5.5</v>
      </c>
    </row>
    <row r="20" spans="1:36" x14ac:dyDescent="0.25">
      <c r="A20" s="7" t="s">
        <v>1435</v>
      </c>
      <c r="B20">
        <v>3</v>
      </c>
      <c r="C20">
        <v>2</v>
      </c>
      <c r="D20">
        <v>3</v>
      </c>
      <c r="E20">
        <v>1</v>
      </c>
      <c r="F20">
        <v>1</v>
      </c>
      <c r="G20">
        <v>2</v>
      </c>
      <c r="H20">
        <v>3</v>
      </c>
      <c r="I20">
        <v>1</v>
      </c>
      <c r="J20">
        <v>1</v>
      </c>
      <c r="K20">
        <v>5</v>
      </c>
      <c r="L20">
        <v>2</v>
      </c>
      <c r="M20">
        <v>3</v>
      </c>
      <c r="N20">
        <v>3</v>
      </c>
      <c r="O20">
        <v>5</v>
      </c>
      <c r="P20">
        <v>3</v>
      </c>
      <c r="Q20">
        <v>4</v>
      </c>
      <c r="R20">
        <v>4</v>
      </c>
      <c r="S20">
        <v>5</v>
      </c>
      <c r="T20">
        <v>5</v>
      </c>
      <c r="U20">
        <v>2</v>
      </c>
      <c r="V20">
        <v>1</v>
      </c>
      <c r="W20">
        <v>2</v>
      </c>
      <c r="X20">
        <v>4</v>
      </c>
      <c r="Y20">
        <v>3</v>
      </c>
      <c r="Z20">
        <v>3</v>
      </c>
      <c r="AA20">
        <v>2</v>
      </c>
      <c r="AB20">
        <v>3</v>
      </c>
      <c r="AC20">
        <v>5</v>
      </c>
      <c r="AD20">
        <v>1</v>
      </c>
      <c r="AE20">
        <v>4</v>
      </c>
      <c r="AF20">
        <v>2</v>
      </c>
      <c r="AG20">
        <v>88</v>
      </c>
      <c r="AJ20" s="29" t="e">
        <f t="shared" si="0"/>
        <v>#DIV/0!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F2895-3F4D-4543-94FB-BF293A227159}">
  <sheetPr codeName="Sheet8"/>
  <dimension ref="A3:P10"/>
  <sheetViews>
    <sheetView topLeftCell="D1" workbookViewId="0">
      <selection activeCell="P5" sqref="P5"/>
    </sheetView>
  </sheetViews>
  <sheetFormatPr defaultRowHeight="15" x14ac:dyDescent="0.25"/>
  <cols>
    <col min="1" max="1" width="13.140625" bestFit="1" customWidth="1"/>
    <col min="2" max="2" width="20.7109375" bestFit="1" customWidth="1"/>
    <col min="3" max="3" width="16.42578125" bestFit="1" customWidth="1"/>
    <col min="4" max="4" width="20.7109375" bestFit="1" customWidth="1"/>
    <col min="5" max="5" width="16.42578125" bestFit="1" customWidth="1"/>
    <col min="6" max="6" width="20.7109375" bestFit="1" customWidth="1"/>
    <col min="7" max="7" width="16.42578125" bestFit="1" customWidth="1"/>
    <col min="8" max="8" width="20.7109375" bestFit="1" customWidth="1"/>
    <col min="9" max="9" width="16.42578125" bestFit="1" customWidth="1"/>
    <col min="10" max="10" width="20.7109375" bestFit="1" customWidth="1"/>
    <col min="11" max="11" width="16.42578125" bestFit="1" customWidth="1"/>
    <col min="12" max="12" width="20.7109375" bestFit="1" customWidth="1"/>
    <col min="13" max="13" width="16.42578125" bestFit="1" customWidth="1"/>
    <col min="14" max="14" width="25.85546875" bestFit="1" customWidth="1"/>
    <col min="15" max="15" width="21.5703125" bestFit="1" customWidth="1"/>
    <col min="16" max="16" width="23" bestFit="1" customWidth="1"/>
  </cols>
  <sheetData>
    <row r="3" spans="1:16" x14ac:dyDescent="0.25">
      <c r="B3" s="6" t="s">
        <v>1460</v>
      </c>
      <c r="P3" s="9" t="s">
        <v>1509</v>
      </c>
    </row>
    <row r="4" spans="1:16" x14ac:dyDescent="0.25">
      <c r="B4" t="s">
        <v>711</v>
      </c>
      <c r="D4" t="s">
        <v>710</v>
      </c>
      <c r="F4" t="s">
        <v>709</v>
      </c>
      <c r="H4" t="s">
        <v>708</v>
      </c>
      <c r="J4" t="s">
        <v>707</v>
      </c>
      <c r="L4" t="s">
        <v>1428</v>
      </c>
      <c r="N4" t="s">
        <v>1505</v>
      </c>
      <c r="O4" t="s">
        <v>1506</v>
      </c>
    </row>
    <row r="5" spans="1:16" x14ac:dyDescent="0.25">
      <c r="A5" s="6" t="s">
        <v>1434</v>
      </c>
      <c r="B5" t="s">
        <v>1461</v>
      </c>
      <c r="C5" t="s">
        <v>1507</v>
      </c>
      <c r="D5" t="s">
        <v>1461</v>
      </c>
      <c r="E5" t="s">
        <v>1507</v>
      </c>
      <c r="F5" t="s">
        <v>1461</v>
      </c>
      <c r="G5" t="s">
        <v>1507</v>
      </c>
      <c r="H5" t="s">
        <v>1461</v>
      </c>
      <c r="I5" t="s">
        <v>1507</v>
      </c>
      <c r="J5" t="s">
        <v>1461</v>
      </c>
      <c r="K5" t="s">
        <v>1507</v>
      </c>
      <c r="L5" t="s">
        <v>1461</v>
      </c>
      <c r="M5" t="s">
        <v>1507</v>
      </c>
    </row>
    <row r="6" spans="1:16" x14ac:dyDescent="0.25">
      <c r="A6" s="7" t="s">
        <v>646</v>
      </c>
      <c r="B6" s="17">
        <v>86488.182719999997</v>
      </c>
      <c r="C6" s="11">
        <v>0.20949996199948367</v>
      </c>
      <c r="D6" s="17">
        <v>106038.13946000001</v>
      </c>
      <c r="E6" s="11">
        <v>0.25685574015684387</v>
      </c>
      <c r="F6" s="17">
        <v>42611.448579999997</v>
      </c>
      <c r="G6" s="11">
        <v>0.10321753304903933</v>
      </c>
      <c r="H6" s="17">
        <v>38709.010799999996</v>
      </c>
      <c r="I6" s="11">
        <v>9.3764674393630301E-2</v>
      </c>
      <c r="J6" s="17">
        <v>138984.71442</v>
      </c>
      <c r="K6" s="11">
        <v>0.33666209040100287</v>
      </c>
      <c r="L6" s="17"/>
      <c r="M6" s="11">
        <v>0</v>
      </c>
      <c r="N6" s="17">
        <v>412831.49598000001</v>
      </c>
      <c r="O6" s="11">
        <v>1</v>
      </c>
      <c r="P6" t="str">
        <f>IF(I6&gt;K6, "Possible Cannibalization","Balanced Mix")</f>
        <v>Balanced Mix</v>
      </c>
    </row>
    <row r="7" spans="1:16" x14ac:dyDescent="0.25">
      <c r="A7" s="7" t="s">
        <v>648</v>
      </c>
      <c r="B7" s="17">
        <v>140889.88074999998</v>
      </c>
      <c r="C7" s="11">
        <v>0.41906280360312875</v>
      </c>
      <c r="D7" s="17">
        <v>36642.159800000001</v>
      </c>
      <c r="E7" s="11">
        <v>0.10898842510278627</v>
      </c>
      <c r="F7" s="17">
        <v>61611.5965</v>
      </c>
      <c r="G7" s="11">
        <v>0.18325750739734883</v>
      </c>
      <c r="H7" s="17">
        <v>37513.761299999998</v>
      </c>
      <c r="I7" s="11">
        <v>0.11158091624743287</v>
      </c>
      <c r="J7" s="17">
        <v>59544.907220000001</v>
      </c>
      <c r="K7" s="11">
        <v>0.17711034764930333</v>
      </c>
      <c r="L7" s="17"/>
      <c r="M7" s="11">
        <v>0</v>
      </c>
      <c r="N7" s="17">
        <v>336202.30556999997</v>
      </c>
      <c r="O7" s="11">
        <v>1</v>
      </c>
      <c r="P7" t="str">
        <f t="shared" ref="P7:P9" si="0">IF(I7&gt;K7, "Possible Cannibalization","Balanced Mix")</f>
        <v>Balanced Mix</v>
      </c>
    </row>
    <row r="8" spans="1:16" x14ac:dyDescent="0.25">
      <c r="A8" s="7" t="s">
        <v>647</v>
      </c>
      <c r="B8" s="17"/>
      <c r="C8" s="11">
        <v>0</v>
      </c>
      <c r="D8" s="17">
        <v>13208.206700000001</v>
      </c>
      <c r="E8" s="11">
        <v>5.1418592709886156E-2</v>
      </c>
      <c r="F8" s="17">
        <v>29161.833409999999</v>
      </c>
      <c r="G8" s="11">
        <v>0.11352490681284844</v>
      </c>
      <c r="H8" s="17">
        <v>11859.695119999998</v>
      </c>
      <c r="I8" s="11">
        <v>4.6168934730458473E-2</v>
      </c>
      <c r="J8" s="17">
        <v>171133.26298</v>
      </c>
      <c r="K8" s="11">
        <v>0.66620940663220063</v>
      </c>
      <c r="L8" s="17">
        <v>31513.085009999999</v>
      </c>
      <c r="M8" s="11">
        <v>0.12267815911460626</v>
      </c>
      <c r="N8" s="17">
        <v>256876.08322</v>
      </c>
      <c r="O8" s="11">
        <v>1</v>
      </c>
      <c r="P8" t="str">
        <f t="shared" si="0"/>
        <v>Balanced Mix</v>
      </c>
    </row>
    <row r="9" spans="1:16" x14ac:dyDescent="0.25">
      <c r="A9" s="7" t="s">
        <v>649</v>
      </c>
      <c r="B9" s="17">
        <v>98133.329660000018</v>
      </c>
      <c r="C9" s="11">
        <v>0.29218195839327232</v>
      </c>
      <c r="D9" s="17">
        <v>50205.640280000007</v>
      </c>
      <c r="E9" s="11">
        <v>0.14948216217897112</v>
      </c>
      <c r="F9" s="17">
        <v>78851.602920000005</v>
      </c>
      <c r="G9" s="11">
        <v>0.23477258790093997</v>
      </c>
      <c r="H9" s="17">
        <v>39353.15064</v>
      </c>
      <c r="I9" s="11">
        <v>0.11716998355990213</v>
      </c>
      <c r="J9" s="17">
        <v>69320.031399999993</v>
      </c>
      <c r="K9" s="11">
        <v>0.20639330796691452</v>
      </c>
      <c r="L9" s="17"/>
      <c r="M9" s="11">
        <v>0</v>
      </c>
      <c r="N9" s="17">
        <v>335863.7549</v>
      </c>
      <c r="O9" s="11">
        <v>1</v>
      </c>
      <c r="P9" t="str">
        <f t="shared" si="0"/>
        <v>Balanced Mix</v>
      </c>
    </row>
    <row r="10" spans="1:16" x14ac:dyDescent="0.25">
      <c r="A10" s="7" t="s">
        <v>1435</v>
      </c>
      <c r="B10" s="17">
        <v>325511.39312999998</v>
      </c>
      <c r="C10" s="11">
        <v>0.24259784475275373</v>
      </c>
      <c r="D10" s="17">
        <v>206094.14624000003</v>
      </c>
      <c r="E10" s="11">
        <v>0.15359829716932544</v>
      </c>
      <c r="F10" s="17">
        <v>212236.48141000001</v>
      </c>
      <c r="G10" s="11">
        <v>0.1581760701918381</v>
      </c>
      <c r="H10" s="17">
        <v>127435.61786</v>
      </c>
      <c r="I10" s="11">
        <v>9.4975496680156812E-2</v>
      </c>
      <c r="J10" s="17">
        <v>438982.91602</v>
      </c>
      <c r="K10" s="11">
        <v>0.32716615011751526</v>
      </c>
      <c r="L10" s="17">
        <v>31513.085009999999</v>
      </c>
      <c r="M10" s="11">
        <v>2.3486141088410729E-2</v>
      </c>
      <c r="N10" s="17">
        <v>1341773.6396699999</v>
      </c>
      <c r="O10" s="11">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C82E8-8B39-491C-AED5-F29AD612EBCC}">
  <sheetPr codeName="Sheet9"/>
  <dimension ref="A3:E100"/>
  <sheetViews>
    <sheetView workbookViewId="0">
      <selection activeCell="H98" sqref="H98"/>
    </sheetView>
  </sheetViews>
  <sheetFormatPr defaultRowHeight="15" x14ac:dyDescent="0.25"/>
  <cols>
    <col min="1" max="1" width="17.42578125" bestFit="1" customWidth="1"/>
    <col min="2" max="2" width="16.140625" bestFit="1" customWidth="1"/>
    <col min="3" max="3" width="18.42578125" bestFit="1" customWidth="1"/>
    <col min="5" max="5" width="12" style="11" bestFit="1" customWidth="1"/>
  </cols>
  <sheetData>
    <row r="3" spans="1:5" x14ac:dyDescent="0.25">
      <c r="A3" s="6" t="s">
        <v>1434</v>
      </c>
      <c r="B3" t="s">
        <v>1468</v>
      </c>
      <c r="C3" t="s">
        <v>1511</v>
      </c>
      <c r="E3" s="31" t="s">
        <v>1512</v>
      </c>
    </row>
    <row r="4" spans="1:5" x14ac:dyDescent="0.25">
      <c r="A4" s="7" t="s">
        <v>655</v>
      </c>
      <c r="B4">
        <v>10</v>
      </c>
      <c r="C4" s="15">
        <v>4</v>
      </c>
      <c r="E4" s="11">
        <f>IF(B4=0,"",C4/B4)</f>
        <v>0.4</v>
      </c>
    </row>
    <row r="5" spans="1:5" x14ac:dyDescent="0.25">
      <c r="A5" s="28" t="s">
        <v>733</v>
      </c>
      <c r="B5">
        <v>10</v>
      </c>
      <c r="C5" s="15">
        <v>4</v>
      </c>
      <c r="E5" s="11">
        <f t="shared" ref="E5:E68" si="0">IF(B5=0,"",C5/B5)</f>
        <v>0.4</v>
      </c>
    </row>
    <row r="6" spans="1:5" x14ac:dyDescent="0.25">
      <c r="A6" s="7" t="s">
        <v>653</v>
      </c>
      <c r="B6">
        <v>6</v>
      </c>
      <c r="C6" s="15">
        <v>2</v>
      </c>
      <c r="E6" s="11">
        <f t="shared" si="0"/>
        <v>0.33333333333333331</v>
      </c>
    </row>
    <row r="7" spans="1:5" x14ac:dyDescent="0.25">
      <c r="A7" s="28" t="s">
        <v>733</v>
      </c>
      <c r="B7">
        <v>6</v>
      </c>
      <c r="C7" s="15">
        <v>2</v>
      </c>
      <c r="E7" s="11">
        <f t="shared" si="0"/>
        <v>0.33333333333333331</v>
      </c>
    </row>
    <row r="8" spans="1:5" x14ac:dyDescent="0.25">
      <c r="A8" s="7" t="s">
        <v>659</v>
      </c>
      <c r="B8">
        <v>4</v>
      </c>
      <c r="C8" s="15">
        <v>3</v>
      </c>
      <c r="E8" s="11">
        <f t="shared" si="0"/>
        <v>0.75</v>
      </c>
    </row>
    <row r="9" spans="1:5" x14ac:dyDescent="0.25">
      <c r="A9" s="28" t="s">
        <v>733</v>
      </c>
      <c r="B9">
        <v>4</v>
      </c>
      <c r="C9" s="15">
        <v>3</v>
      </c>
      <c r="E9" s="11">
        <f t="shared" si="0"/>
        <v>0.75</v>
      </c>
    </row>
    <row r="10" spans="1:5" x14ac:dyDescent="0.25">
      <c r="A10" s="7" t="s">
        <v>657</v>
      </c>
      <c r="B10">
        <v>7</v>
      </c>
      <c r="C10" s="15">
        <v>1</v>
      </c>
      <c r="E10" s="11">
        <f t="shared" si="0"/>
        <v>0.14285714285714285</v>
      </c>
    </row>
    <row r="11" spans="1:5" x14ac:dyDescent="0.25">
      <c r="A11" s="28" t="s">
        <v>733</v>
      </c>
      <c r="B11">
        <v>7</v>
      </c>
      <c r="C11" s="15">
        <v>1</v>
      </c>
      <c r="E11" s="11">
        <f t="shared" si="0"/>
        <v>0.14285714285714285</v>
      </c>
    </row>
    <row r="12" spans="1:5" x14ac:dyDescent="0.25">
      <c r="A12" s="7" t="s">
        <v>656</v>
      </c>
      <c r="B12">
        <v>9</v>
      </c>
      <c r="C12" s="15">
        <v>4</v>
      </c>
      <c r="E12" s="11">
        <f t="shared" si="0"/>
        <v>0.44444444444444442</v>
      </c>
    </row>
    <row r="13" spans="1:5" x14ac:dyDescent="0.25">
      <c r="A13" s="28" t="s">
        <v>733</v>
      </c>
      <c r="B13">
        <v>9</v>
      </c>
      <c r="C13" s="15">
        <v>4</v>
      </c>
      <c r="E13" s="11">
        <f t="shared" si="0"/>
        <v>0.44444444444444442</v>
      </c>
    </row>
    <row r="14" spans="1:5" x14ac:dyDescent="0.25">
      <c r="A14" s="7" t="s">
        <v>654</v>
      </c>
      <c r="B14">
        <v>8</v>
      </c>
      <c r="C14" s="15">
        <v>2</v>
      </c>
      <c r="E14" s="11">
        <f t="shared" si="0"/>
        <v>0.25</v>
      </c>
    </row>
    <row r="15" spans="1:5" x14ac:dyDescent="0.25">
      <c r="A15" s="28" t="s">
        <v>733</v>
      </c>
      <c r="B15">
        <v>8</v>
      </c>
      <c r="C15" s="15">
        <v>2</v>
      </c>
      <c r="E15" s="11">
        <f t="shared" si="0"/>
        <v>0.25</v>
      </c>
    </row>
    <row r="16" spans="1:5" x14ac:dyDescent="0.25">
      <c r="A16" s="7" t="s">
        <v>652</v>
      </c>
      <c r="B16">
        <v>5</v>
      </c>
      <c r="C16" s="15">
        <v>1</v>
      </c>
      <c r="E16" s="11">
        <f t="shared" si="0"/>
        <v>0.2</v>
      </c>
    </row>
    <row r="17" spans="1:5" x14ac:dyDescent="0.25">
      <c r="A17" s="28" t="s">
        <v>733</v>
      </c>
      <c r="B17">
        <v>5</v>
      </c>
      <c r="C17" s="15">
        <v>1</v>
      </c>
      <c r="E17" s="11">
        <f t="shared" si="0"/>
        <v>0.2</v>
      </c>
    </row>
    <row r="18" spans="1:5" x14ac:dyDescent="0.25">
      <c r="A18" s="7" t="s">
        <v>650</v>
      </c>
      <c r="B18">
        <v>10</v>
      </c>
      <c r="C18" s="15">
        <v>4</v>
      </c>
      <c r="E18" s="11">
        <f t="shared" si="0"/>
        <v>0.4</v>
      </c>
    </row>
    <row r="19" spans="1:5" x14ac:dyDescent="0.25">
      <c r="A19" s="28" t="s">
        <v>733</v>
      </c>
      <c r="B19">
        <v>10</v>
      </c>
      <c r="C19" s="15">
        <v>4</v>
      </c>
      <c r="E19" s="11">
        <f t="shared" si="0"/>
        <v>0.4</v>
      </c>
    </row>
    <row r="20" spans="1:5" x14ac:dyDescent="0.25">
      <c r="A20" s="7" t="s">
        <v>651</v>
      </c>
      <c r="B20">
        <v>13</v>
      </c>
      <c r="C20" s="15">
        <v>6</v>
      </c>
      <c r="E20" s="11">
        <f t="shared" si="0"/>
        <v>0.46153846153846156</v>
      </c>
    </row>
    <row r="21" spans="1:5" x14ac:dyDescent="0.25">
      <c r="A21" s="28" t="s">
        <v>733</v>
      </c>
      <c r="B21">
        <v>13</v>
      </c>
      <c r="C21" s="15">
        <v>6</v>
      </c>
      <c r="E21" s="11">
        <f t="shared" si="0"/>
        <v>0.46153846153846156</v>
      </c>
    </row>
    <row r="22" spans="1:5" x14ac:dyDescent="0.25">
      <c r="A22" s="7" t="s">
        <v>661</v>
      </c>
      <c r="B22">
        <v>4</v>
      </c>
      <c r="C22" s="15">
        <v>2</v>
      </c>
      <c r="E22" s="11">
        <f t="shared" si="0"/>
        <v>0.5</v>
      </c>
    </row>
    <row r="23" spans="1:5" x14ac:dyDescent="0.25">
      <c r="A23" s="28" t="s">
        <v>733</v>
      </c>
      <c r="B23">
        <v>4</v>
      </c>
      <c r="C23" s="15">
        <v>2</v>
      </c>
      <c r="E23" s="11">
        <f t="shared" si="0"/>
        <v>0.5</v>
      </c>
    </row>
    <row r="24" spans="1:5" x14ac:dyDescent="0.25">
      <c r="A24" s="7" t="s">
        <v>658</v>
      </c>
      <c r="B24">
        <v>8</v>
      </c>
      <c r="C24" s="15">
        <v>1</v>
      </c>
      <c r="E24" s="11">
        <f t="shared" si="0"/>
        <v>0.125</v>
      </c>
    </row>
    <row r="25" spans="1:5" x14ac:dyDescent="0.25">
      <c r="A25" s="28" t="s">
        <v>733</v>
      </c>
      <c r="B25">
        <v>8</v>
      </c>
      <c r="C25" s="15">
        <v>1</v>
      </c>
      <c r="E25" s="11">
        <f t="shared" si="0"/>
        <v>0.125</v>
      </c>
    </row>
    <row r="26" spans="1:5" x14ac:dyDescent="0.25">
      <c r="A26" s="7" t="s">
        <v>660</v>
      </c>
      <c r="B26">
        <v>4</v>
      </c>
      <c r="C26" s="15">
        <v>2</v>
      </c>
      <c r="E26" s="11">
        <f t="shared" si="0"/>
        <v>0.5</v>
      </c>
    </row>
    <row r="27" spans="1:5" x14ac:dyDescent="0.25">
      <c r="A27" s="28" t="s">
        <v>733</v>
      </c>
      <c r="B27">
        <v>4</v>
      </c>
      <c r="C27" s="15">
        <v>2</v>
      </c>
      <c r="E27" s="11">
        <f t="shared" si="0"/>
        <v>0.5</v>
      </c>
    </row>
    <row r="28" spans="1:5" x14ac:dyDescent="0.25">
      <c r="A28" s="7" t="s">
        <v>1435</v>
      </c>
      <c r="B28">
        <v>88</v>
      </c>
      <c r="C28" s="15">
        <v>32</v>
      </c>
      <c r="E28" s="11">
        <f t="shared" si="0"/>
        <v>0.36363636363636365</v>
      </c>
    </row>
    <row r="29" spans="1:5" x14ac:dyDescent="0.25">
      <c r="E29" s="11" t="str">
        <f t="shared" si="0"/>
        <v/>
      </c>
    </row>
    <row r="30" spans="1:5" x14ac:dyDescent="0.25">
      <c r="E30" s="11" t="str">
        <f t="shared" si="0"/>
        <v/>
      </c>
    </row>
    <row r="31" spans="1:5" x14ac:dyDescent="0.25">
      <c r="E31" s="11" t="str">
        <f t="shared" si="0"/>
        <v/>
      </c>
    </row>
    <row r="32" spans="1:5" x14ac:dyDescent="0.25">
      <c r="E32" s="11" t="str">
        <f t="shared" si="0"/>
        <v/>
      </c>
    </row>
    <row r="33" spans="5:5" x14ac:dyDescent="0.25">
      <c r="E33" s="11" t="str">
        <f t="shared" si="0"/>
        <v/>
      </c>
    </row>
    <row r="34" spans="5:5" x14ac:dyDescent="0.25">
      <c r="E34" s="11" t="str">
        <f t="shared" si="0"/>
        <v/>
      </c>
    </row>
    <row r="35" spans="5:5" x14ac:dyDescent="0.25">
      <c r="E35" s="11" t="str">
        <f t="shared" si="0"/>
        <v/>
      </c>
    </row>
    <row r="36" spans="5:5" x14ac:dyDescent="0.25">
      <c r="E36" s="11" t="str">
        <f t="shared" si="0"/>
        <v/>
      </c>
    </row>
    <row r="37" spans="5:5" x14ac:dyDescent="0.25">
      <c r="E37" s="11" t="str">
        <f t="shared" si="0"/>
        <v/>
      </c>
    </row>
    <row r="38" spans="5:5" x14ac:dyDescent="0.25">
      <c r="E38" s="11" t="str">
        <f t="shared" si="0"/>
        <v/>
      </c>
    </row>
    <row r="39" spans="5:5" x14ac:dyDescent="0.25">
      <c r="E39" s="11" t="str">
        <f t="shared" si="0"/>
        <v/>
      </c>
    </row>
    <row r="40" spans="5:5" x14ac:dyDescent="0.25">
      <c r="E40" s="11" t="str">
        <f t="shared" si="0"/>
        <v/>
      </c>
    </row>
    <row r="41" spans="5:5" x14ac:dyDescent="0.25">
      <c r="E41" s="11" t="str">
        <f t="shared" si="0"/>
        <v/>
      </c>
    </row>
    <row r="42" spans="5:5" x14ac:dyDescent="0.25">
      <c r="E42" s="11" t="str">
        <f t="shared" si="0"/>
        <v/>
      </c>
    </row>
    <row r="43" spans="5:5" x14ac:dyDescent="0.25">
      <c r="E43" s="11" t="str">
        <f t="shared" si="0"/>
        <v/>
      </c>
    </row>
    <row r="44" spans="5:5" x14ac:dyDescent="0.25">
      <c r="E44" s="11" t="str">
        <f t="shared" si="0"/>
        <v/>
      </c>
    </row>
    <row r="45" spans="5:5" x14ac:dyDescent="0.25">
      <c r="E45" s="11" t="str">
        <f t="shared" si="0"/>
        <v/>
      </c>
    </row>
    <row r="46" spans="5:5" x14ac:dyDescent="0.25">
      <c r="E46" s="11" t="str">
        <f t="shared" si="0"/>
        <v/>
      </c>
    </row>
    <row r="47" spans="5:5" x14ac:dyDescent="0.25">
      <c r="E47" s="11" t="str">
        <f t="shared" si="0"/>
        <v/>
      </c>
    </row>
    <row r="48" spans="5:5" x14ac:dyDescent="0.25">
      <c r="E48" s="11" t="str">
        <f t="shared" si="0"/>
        <v/>
      </c>
    </row>
    <row r="49" spans="5:5" x14ac:dyDescent="0.25">
      <c r="E49" s="11" t="str">
        <f t="shared" si="0"/>
        <v/>
      </c>
    </row>
    <row r="50" spans="5:5" x14ac:dyDescent="0.25">
      <c r="E50" s="11" t="str">
        <f t="shared" si="0"/>
        <v/>
      </c>
    </row>
    <row r="51" spans="5:5" x14ac:dyDescent="0.25">
      <c r="E51" s="11" t="str">
        <f t="shared" si="0"/>
        <v/>
      </c>
    </row>
    <row r="52" spans="5:5" x14ac:dyDescent="0.25">
      <c r="E52" s="11" t="str">
        <f t="shared" si="0"/>
        <v/>
      </c>
    </row>
    <row r="53" spans="5:5" x14ac:dyDescent="0.25">
      <c r="E53" s="11" t="str">
        <f t="shared" si="0"/>
        <v/>
      </c>
    </row>
    <row r="54" spans="5:5" x14ac:dyDescent="0.25">
      <c r="E54" s="11" t="str">
        <f t="shared" si="0"/>
        <v/>
      </c>
    </row>
    <row r="55" spans="5:5" x14ac:dyDescent="0.25">
      <c r="E55" s="11" t="str">
        <f t="shared" si="0"/>
        <v/>
      </c>
    </row>
    <row r="56" spans="5:5" x14ac:dyDescent="0.25">
      <c r="E56" s="11" t="str">
        <f t="shared" si="0"/>
        <v/>
      </c>
    </row>
    <row r="57" spans="5:5" x14ac:dyDescent="0.25">
      <c r="E57" s="11" t="str">
        <f t="shared" si="0"/>
        <v/>
      </c>
    </row>
    <row r="58" spans="5:5" x14ac:dyDescent="0.25">
      <c r="E58" s="11" t="str">
        <f t="shared" si="0"/>
        <v/>
      </c>
    </row>
    <row r="59" spans="5:5" x14ac:dyDescent="0.25">
      <c r="E59" s="11" t="str">
        <f t="shared" si="0"/>
        <v/>
      </c>
    </row>
    <row r="60" spans="5:5" x14ac:dyDescent="0.25">
      <c r="E60" s="11" t="str">
        <f t="shared" si="0"/>
        <v/>
      </c>
    </row>
    <row r="61" spans="5:5" x14ac:dyDescent="0.25">
      <c r="E61" s="11" t="str">
        <f t="shared" si="0"/>
        <v/>
      </c>
    </row>
    <row r="62" spans="5:5" x14ac:dyDescent="0.25">
      <c r="E62" s="11" t="str">
        <f t="shared" si="0"/>
        <v/>
      </c>
    </row>
    <row r="63" spans="5:5" x14ac:dyDescent="0.25">
      <c r="E63" s="11" t="str">
        <f t="shared" si="0"/>
        <v/>
      </c>
    </row>
    <row r="64" spans="5:5" x14ac:dyDescent="0.25">
      <c r="E64" s="11" t="str">
        <f t="shared" si="0"/>
        <v/>
      </c>
    </row>
    <row r="65" spans="5:5" x14ac:dyDescent="0.25">
      <c r="E65" s="11" t="str">
        <f t="shared" si="0"/>
        <v/>
      </c>
    </row>
    <row r="66" spans="5:5" x14ac:dyDescent="0.25">
      <c r="E66" s="11" t="str">
        <f t="shared" si="0"/>
        <v/>
      </c>
    </row>
    <row r="67" spans="5:5" x14ac:dyDescent="0.25">
      <c r="E67" s="11" t="str">
        <f t="shared" si="0"/>
        <v/>
      </c>
    </row>
    <row r="68" spans="5:5" x14ac:dyDescent="0.25">
      <c r="E68" s="11" t="str">
        <f t="shared" si="0"/>
        <v/>
      </c>
    </row>
    <row r="69" spans="5:5" x14ac:dyDescent="0.25">
      <c r="E69" s="11" t="str">
        <f t="shared" ref="E69:E100" si="1">IF(B69=0,"",C69/B69)</f>
        <v/>
      </c>
    </row>
    <row r="70" spans="5:5" x14ac:dyDescent="0.25">
      <c r="E70" s="11" t="str">
        <f t="shared" si="1"/>
        <v/>
      </c>
    </row>
    <row r="71" spans="5:5" x14ac:dyDescent="0.25">
      <c r="E71" s="11" t="str">
        <f t="shared" si="1"/>
        <v/>
      </c>
    </row>
    <row r="72" spans="5:5" x14ac:dyDescent="0.25">
      <c r="E72" s="11" t="str">
        <f t="shared" si="1"/>
        <v/>
      </c>
    </row>
    <row r="73" spans="5:5" x14ac:dyDescent="0.25">
      <c r="E73" s="11" t="str">
        <f t="shared" si="1"/>
        <v/>
      </c>
    </row>
    <row r="74" spans="5:5" x14ac:dyDescent="0.25">
      <c r="E74" s="11" t="str">
        <f t="shared" si="1"/>
        <v/>
      </c>
    </row>
    <row r="75" spans="5:5" x14ac:dyDescent="0.25">
      <c r="E75" s="11" t="str">
        <f t="shared" si="1"/>
        <v/>
      </c>
    </row>
    <row r="76" spans="5:5" x14ac:dyDescent="0.25">
      <c r="E76" s="11" t="str">
        <f t="shared" si="1"/>
        <v/>
      </c>
    </row>
    <row r="77" spans="5:5" x14ac:dyDescent="0.25">
      <c r="E77" s="11" t="str">
        <f t="shared" si="1"/>
        <v/>
      </c>
    </row>
    <row r="78" spans="5:5" x14ac:dyDescent="0.25">
      <c r="E78" s="11" t="str">
        <f t="shared" si="1"/>
        <v/>
      </c>
    </row>
    <row r="79" spans="5:5" x14ac:dyDescent="0.25">
      <c r="E79" s="11" t="str">
        <f t="shared" si="1"/>
        <v/>
      </c>
    </row>
    <row r="80" spans="5:5" x14ac:dyDescent="0.25">
      <c r="E80" s="11" t="str">
        <f t="shared" si="1"/>
        <v/>
      </c>
    </row>
    <row r="81" spans="5:5" x14ac:dyDescent="0.25">
      <c r="E81" s="11" t="str">
        <f t="shared" si="1"/>
        <v/>
      </c>
    </row>
    <row r="82" spans="5:5" x14ac:dyDescent="0.25">
      <c r="E82" s="11" t="str">
        <f t="shared" si="1"/>
        <v/>
      </c>
    </row>
    <row r="83" spans="5:5" x14ac:dyDescent="0.25">
      <c r="E83" s="11" t="str">
        <f t="shared" si="1"/>
        <v/>
      </c>
    </row>
    <row r="84" spans="5:5" x14ac:dyDescent="0.25">
      <c r="E84" s="11" t="str">
        <f t="shared" si="1"/>
        <v/>
      </c>
    </row>
    <row r="85" spans="5:5" x14ac:dyDescent="0.25">
      <c r="E85" s="11" t="str">
        <f t="shared" si="1"/>
        <v/>
      </c>
    </row>
    <row r="86" spans="5:5" x14ac:dyDescent="0.25">
      <c r="E86" s="11" t="str">
        <f t="shared" si="1"/>
        <v/>
      </c>
    </row>
    <row r="87" spans="5:5" x14ac:dyDescent="0.25">
      <c r="E87" s="11" t="str">
        <f t="shared" si="1"/>
        <v/>
      </c>
    </row>
    <row r="88" spans="5:5" x14ac:dyDescent="0.25">
      <c r="E88" s="11" t="str">
        <f t="shared" si="1"/>
        <v/>
      </c>
    </row>
    <row r="89" spans="5:5" x14ac:dyDescent="0.25">
      <c r="E89" s="11" t="str">
        <f t="shared" si="1"/>
        <v/>
      </c>
    </row>
    <row r="90" spans="5:5" x14ac:dyDescent="0.25">
      <c r="E90" s="11" t="str">
        <f t="shared" si="1"/>
        <v/>
      </c>
    </row>
    <row r="91" spans="5:5" x14ac:dyDescent="0.25">
      <c r="E91" s="11" t="str">
        <f t="shared" si="1"/>
        <v/>
      </c>
    </row>
    <row r="92" spans="5:5" x14ac:dyDescent="0.25">
      <c r="E92" s="11" t="str">
        <f t="shared" si="1"/>
        <v/>
      </c>
    </row>
    <row r="93" spans="5:5" x14ac:dyDescent="0.25">
      <c r="E93" s="11" t="str">
        <f t="shared" si="1"/>
        <v/>
      </c>
    </row>
    <row r="94" spans="5:5" x14ac:dyDescent="0.25">
      <c r="E94" s="11" t="str">
        <f t="shared" si="1"/>
        <v/>
      </c>
    </row>
    <row r="95" spans="5:5" x14ac:dyDescent="0.25">
      <c r="E95" s="11" t="str">
        <f t="shared" si="1"/>
        <v/>
      </c>
    </row>
    <row r="96" spans="5:5" x14ac:dyDescent="0.25">
      <c r="E96" s="11" t="str">
        <f t="shared" si="1"/>
        <v/>
      </c>
    </row>
    <row r="97" spans="5:5" x14ac:dyDescent="0.25">
      <c r="E97" s="11" t="str">
        <f t="shared" si="1"/>
        <v/>
      </c>
    </row>
    <row r="98" spans="5:5" x14ac:dyDescent="0.25">
      <c r="E98" s="11" t="str">
        <f t="shared" si="1"/>
        <v/>
      </c>
    </row>
    <row r="99" spans="5:5" x14ac:dyDescent="0.25">
      <c r="E99" s="11" t="str">
        <f t="shared" si="1"/>
        <v/>
      </c>
    </row>
    <row r="100" spans="5:5" x14ac:dyDescent="0.25">
      <c r="E100" s="11" t="str">
        <f t="shared" si="1"/>
        <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037B8-5B1C-4729-9F3C-532533905AB3}">
  <sheetPr codeName="Sheet10"/>
  <dimension ref="A3:D71"/>
  <sheetViews>
    <sheetView workbookViewId="0">
      <selection activeCell="I11" sqref="I11"/>
    </sheetView>
  </sheetViews>
  <sheetFormatPr defaultRowHeight="15" x14ac:dyDescent="0.25"/>
  <cols>
    <col min="1" max="1" width="14.85546875" bestFit="1" customWidth="1"/>
    <col min="2" max="2" width="16.140625" bestFit="1" customWidth="1"/>
    <col min="3" max="3" width="17.7109375" bestFit="1" customWidth="1"/>
    <col min="4" max="4" width="12" style="11" bestFit="1" customWidth="1"/>
  </cols>
  <sheetData>
    <row r="3" spans="1:4" x14ac:dyDescent="0.25">
      <c r="A3" s="6" t="s">
        <v>1434</v>
      </c>
      <c r="B3" t="s">
        <v>1468</v>
      </c>
      <c r="C3" t="s">
        <v>1516</v>
      </c>
      <c r="D3" s="31" t="s">
        <v>1515</v>
      </c>
    </row>
    <row r="4" spans="1:4" x14ac:dyDescent="0.25">
      <c r="A4" s="7" t="s">
        <v>646</v>
      </c>
      <c r="B4">
        <v>27</v>
      </c>
      <c r="C4" s="15">
        <v>5</v>
      </c>
      <c r="D4" s="11">
        <f>IF(B4=0,"",C4/B4)</f>
        <v>0.18518518518518517</v>
      </c>
    </row>
    <row r="5" spans="1:4" x14ac:dyDescent="0.25">
      <c r="A5" s="28" t="s">
        <v>720</v>
      </c>
      <c r="B5">
        <v>4</v>
      </c>
      <c r="C5" s="15">
        <v>2</v>
      </c>
      <c r="D5" s="11">
        <f t="shared" ref="D5:D68" si="0">IF(B5=0,"",C5/B5)</f>
        <v>0.5</v>
      </c>
    </row>
    <row r="6" spans="1:4" x14ac:dyDescent="0.25">
      <c r="A6" s="28" t="s">
        <v>717</v>
      </c>
      <c r="B6">
        <v>1</v>
      </c>
      <c r="C6" s="15">
        <v>0</v>
      </c>
      <c r="D6" s="11">
        <f t="shared" si="0"/>
        <v>0</v>
      </c>
    </row>
    <row r="7" spans="1:4" x14ac:dyDescent="0.25">
      <c r="A7" s="28" t="s">
        <v>712</v>
      </c>
      <c r="B7">
        <v>1</v>
      </c>
      <c r="C7" s="15">
        <v>0</v>
      </c>
      <c r="D7" s="11">
        <f t="shared" si="0"/>
        <v>0</v>
      </c>
    </row>
    <row r="8" spans="1:4" x14ac:dyDescent="0.25">
      <c r="A8" s="28" t="s">
        <v>726</v>
      </c>
      <c r="B8">
        <v>1</v>
      </c>
      <c r="C8" s="15">
        <v>0</v>
      </c>
      <c r="D8" s="11">
        <f t="shared" si="0"/>
        <v>0</v>
      </c>
    </row>
    <row r="9" spans="1:4" x14ac:dyDescent="0.25">
      <c r="A9" s="28" t="s">
        <v>721</v>
      </c>
      <c r="B9">
        <v>4</v>
      </c>
      <c r="C9" s="15">
        <v>0</v>
      </c>
      <c r="D9" s="11">
        <f t="shared" si="0"/>
        <v>0</v>
      </c>
    </row>
    <row r="10" spans="1:4" x14ac:dyDescent="0.25">
      <c r="A10" s="28" t="s">
        <v>715</v>
      </c>
      <c r="B10">
        <v>1</v>
      </c>
      <c r="C10" s="15">
        <v>0</v>
      </c>
      <c r="D10" s="11">
        <f t="shared" si="0"/>
        <v>0</v>
      </c>
    </row>
    <row r="11" spans="1:4" x14ac:dyDescent="0.25">
      <c r="A11" s="28" t="s">
        <v>722</v>
      </c>
      <c r="B11">
        <v>2</v>
      </c>
      <c r="C11" s="15">
        <v>0</v>
      </c>
      <c r="D11" s="11">
        <f t="shared" si="0"/>
        <v>0</v>
      </c>
    </row>
    <row r="12" spans="1:4" x14ac:dyDescent="0.25">
      <c r="A12" s="28" t="s">
        <v>714</v>
      </c>
      <c r="B12">
        <v>3</v>
      </c>
      <c r="C12" s="15">
        <v>1</v>
      </c>
      <c r="D12" s="11">
        <f t="shared" si="0"/>
        <v>0.33333333333333331</v>
      </c>
    </row>
    <row r="13" spans="1:4" x14ac:dyDescent="0.25">
      <c r="A13" s="28" t="s">
        <v>713</v>
      </c>
      <c r="B13">
        <v>1</v>
      </c>
      <c r="C13" s="15">
        <v>0</v>
      </c>
      <c r="D13" s="11">
        <f t="shared" si="0"/>
        <v>0</v>
      </c>
    </row>
    <row r="14" spans="1:4" x14ac:dyDescent="0.25">
      <c r="A14" s="28" t="s">
        <v>723</v>
      </c>
      <c r="B14">
        <v>2</v>
      </c>
      <c r="C14" s="15">
        <v>0</v>
      </c>
      <c r="D14" s="11">
        <f t="shared" si="0"/>
        <v>0</v>
      </c>
    </row>
    <row r="15" spans="1:4" x14ac:dyDescent="0.25">
      <c r="A15" s="28" t="s">
        <v>716</v>
      </c>
      <c r="B15">
        <v>1</v>
      </c>
      <c r="C15" s="15">
        <v>0</v>
      </c>
      <c r="D15" s="11">
        <f t="shared" si="0"/>
        <v>0</v>
      </c>
    </row>
    <row r="16" spans="1:4" x14ac:dyDescent="0.25">
      <c r="A16" s="28" t="s">
        <v>724</v>
      </c>
      <c r="B16">
        <v>4</v>
      </c>
      <c r="C16" s="15">
        <v>2</v>
      </c>
      <c r="D16" s="11">
        <f t="shared" si="0"/>
        <v>0.5</v>
      </c>
    </row>
    <row r="17" spans="1:4" x14ac:dyDescent="0.25">
      <c r="A17" s="28" t="s">
        <v>719</v>
      </c>
      <c r="B17">
        <v>2</v>
      </c>
      <c r="C17" s="15">
        <v>0</v>
      </c>
      <c r="D17" s="11">
        <f t="shared" si="0"/>
        <v>0</v>
      </c>
    </row>
    <row r="18" spans="1:4" x14ac:dyDescent="0.25">
      <c r="A18" s="7" t="s">
        <v>648</v>
      </c>
      <c r="B18">
        <v>20</v>
      </c>
      <c r="C18" s="15">
        <v>4</v>
      </c>
      <c r="D18" s="11">
        <f t="shared" si="0"/>
        <v>0.2</v>
      </c>
    </row>
    <row r="19" spans="1:4" x14ac:dyDescent="0.25">
      <c r="A19" s="28" t="s">
        <v>720</v>
      </c>
      <c r="B19">
        <v>1</v>
      </c>
      <c r="C19" s="15">
        <v>1</v>
      </c>
      <c r="D19" s="11">
        <f t="shared" si="0"/>
        <v>1</v>
      </c>
    </row>
    <row r="20" spans="1:4" x14ac:dyDescent="0.25">
      <c r="A20" s="28" t="s">
        <v>712</v>
      </c>
      <c r="B20">
        <v>2</v>
      </c>
      <c r="C20" s="15">
        <v>0</v>
      </c>
      <c r="D20" s="11">
        <f t="shared" si="0"/>
        <v>0</v>
      </c>
    </row>
    <row r="21" spans="1:4" x14ac:dyDescent="0.25">
      <c r="A21" s="28" t="s">
        <v>726</v>
      </c>
      <c r="B21">
        <v>1</v>
      </c>
      <c r="C21" s="15">
        <v>1</v>
      </c>
      <c r="D21" s="11">
        <f t="shared" si="0"/>
        <v>1</v>
      </c>
    </row>
    <row r="22" spans="1:4" x14ac:dyDescent="0.25">
      <c r="A22" s="28" t="s">
        <v>721</v>
      </c>
      <c r="B22">
        <v>1</v>
      </c>
      <c r="C22" s="15">
        <v>0</v>
      </c>
      <c r="D22" s="11">
        <f t="shared" si="0"/>
        <v>0</v>
      </c>
    </row>
    <row r="23" spans="1:4" x14ac:dyDescent="0.25">
      <c r="A23" s="28" t="s">
        <v>715</v>
      </c>
      <c r="B23">
        <v>2</v>
      </c>
      <c r="C23" s="15">
        <v>0</v>
      </c>
      <c r="D23" s="11">
        <f t="shared" si="0"/>
        <v>0</v>
      </c>
    </row>
    <row r="24" spans="1:4" x14ac:dyDescent="0.25">
      <c r="A24" s="28" t="s">
        <v>714</v>
      </c>
      <c r="B24">
        <v>1</v>
      </c>
      <c r="C24" s="15">
        <v>1</v>
      </c>
      <c r="D24" s="11">
        <f t="shared" si="0"/>
        <v>1</v>
      </c>
    </row>
    <row r="25" spans="1:4" x14ac:dyDescent="0.25">
      <c r="A25" s="28" t="s">
        <v>713</v>
      </c>
      <c r="B25">
        <v>2</v>
      </c>
      <c r="C25" s="15">
        <v>0</v>
      </c>
      <c r="D25" s="11">
        <f t="shared" si="0"/>
        <v>0</v>
      </c>
    </row>
    <row r="26" spans="1:4" x14ac:dyDescent="0.25">
      <c r="A26" s="28" t="s">
        <v>723</v>
      </c>
      <c r="B26">
        <v>1</v>
      </c>
      <c r="C26" s="15">
        <v>0</v>
      </c>
      <c r="D26" s="11">
        <f t="shared" si="0"/>
        <v>0</v>
      </c>
    </row>
    <row r="27" spans="1:4" x14ac:dyDescent="0.25">
      <c r="A27" s="28" t="s">
        <v>716</v>
      </c>
      <c r="B27">
        <v>4</v>
      </c>
      <c r="C27" s="15">
        <v>1</v>
      </c>
      <c r="D27" s="11">
        <f t="shared" si="0"/>
        <v>0.25</v>
      </c>
    </row>
    <row r="28" spans="1:4" x14ac:dyDescent="0.25">
      <c r="A28" s="28" t="s">
        <v>724</v>
      </c>
      <c r="B28">
        <v>2</v>
      </c>
      <c r="C28" s="15">
        <v>0</v>
      </c>
      <c r="D28" s="11">
        <f t="shared" si="0"/>
        <v>0</v>
      </c>
    </row>
    <row r="29" spans="1:4" x14ac:dyDescent="0.25">
      <c r="A29" s="28" t="s">
        <v>719</v>
      </c>
      <c r="B29">
        <v>1</v>
      </c>
      <c r="C29" s="15">
        <v>0</v>
      </c>
      <c r="D29" s="11">
        <f t="shared" si="0"/>
        <v>0</v>
      </c>
    </row>
    <row r="30" spans="1:4" x14ac:dyDescent="0.25">
      <c r="A30" s="28" t="s">
        <v>1430</v>
      </c>
      <c r="B30">
        <v>2</v>
      </c>
      <c r="C30" s="15">
        <v>0</v>
      </c>
      <c r="D30" s="11">
        <f t="shared" si="0"/>
        <v>0</v>
      </c>
    </row>
    <row r="31" spans="1:4" x14ac:dyDescent="0.25">
      <c r="A31" s="7" t="s">
        <v>647</v>
      </c>
      <c r="B31">
        <v>17</v>
      </c>
      <c r="C31" s="15">
        <v>5</v>
      </c>
      <c r="D31" s="11">
        <f t="shared" si="0"/>
        <v>0.29411764705882354</v>
      </c>
    </row>
    <row r="32" spans="1:4" x14ac:dyDescent="0.25">
      <c r="A32" s="28" t="s">
        <v>720</v>
      </c>
      <c r="B32">
        <v>4</v>
      </c>
      <c r="C32" s="15">
        <v>0</v>
      </c>
      <c r="D32" s="11">
        <f t="shared" si="0"/>
        <v>0</v>
      </c>
    </row>
    <row r="33" spans="1:4" x14ac:dyDescent="0.25">
      <c r="A33" s="28" t="s">
        <v>717</v>
      </c>
      <c r="B33">
        <v>3</v>
      </c>
      <c r="C33" s="15">
        <v>1</v>
      </c>
      <c r="D33" s="11">
        <f t="shared" si="0"/>
        <v>0.33333333333333331</v>
      </c>
    </row>
    <row r="34" spans="1:4" x14ac:dyDescent="0.25">
      <c r="A34" s="28" t="s">
        <v>726</v>
      </c>
      <c r="B34">
        <v>2</v>
      </c>
      <c r="C34" s="15">
        <v>0</v>
      </c>
      <c r="D34" s="11">
        <f t="shared" si="0"/>
        <v>0</v>
      </c>
    </row>
    <row r="35" spans="1:4" x14ac:dyDescent="0.25">
      <c r="A35" s="28" t="s">
        <v>718</v>
      </c>
      <c r="B35">
        <v>1</v>
      </c>
      <c r="C35" s="15">
        <v>0</v>
      </c>
      <c r="D35" s="11">
        <f t="shared" si="0"/>
        <v>0</v>
      </c>
    </row>
    <row r="36" spans="1:4" x14ac:dyDescent="0.25">
      <c r="A36" s="28" t="s">
        <v>721</v>
      </c>
      <c r="B36">
        <v>1</v>
      </c>
      <c r="C36" s="15">
        <v>1</v>
      </c>
      <c r="D36" s="11">
        <f t="shared" si="0"/>
        <v>1</v>
      </c>
    </row>
    <row r="37" spans="1:4" x14ac:dyDescent="0.25">
      <c r="A37" s="28" t="s">
        <v>715</v>
      </c>
      <c r="B37">
        <v>1</v>
      </c>
      <c r="C37" s="15">
        <v>1</v>
      </c>
      <c r="D37" s="11">
        <f t="shared" si="0"/>
        <v>1</v>
      </c>
    </row>
    <row r="38" spans="1:4" x14ac:dyDescent="0.25">
      <c r="A38" s="28" t="s">
        <v>722</v>
      </c>
      <c r="B38">
        <v>2</v>
      </c>
      <c r="C38" s="15">
        <v>0</v>
      </c>
      <c r="D38" s="11">
        <f t="shared" si="0"/>
        <v>0</v>
      </c>
    </row>
    <row r="39" spans="1:4" x14ac:dyDescent="0.25">
      <c r="A39" s="28" t="s">
        <v>716</v>
      </c>
      <c r="B39">
        <v>3</v>
      </c>
      <c r="C39" s="15">
        <v>2</v>
      </c>
      <c r="D39" s="11">
        <f t="shared" si="0"/>
        <v>0.66666666666666663</v>
      </c>
    </row>
    <row r="40" spans="1:4" x14ac:dyDescent="0.25">
      <c r="A40" s="7" t="s">
        <v>649</v>
      </c>
      <c r="B40">
        <v>24</v>
      </c>
      <c r="C40" s="15">
        <v>1</v>
      </c>
      <c r="D40" s="11">
        <f t="shared" si="0"/>
        <v>4.1666666666666664E-2</v>
      </c>
    </row>
    <row r="41" spans="1:4" x14ac:dyDescent="0.25">
      <c r="A41" s="28" t="s">
        <v>720</v>
      </c>
      <c r="B41">
        <v>1</v>
      </c>
      <c r="C41" s="15">
        <v>1</v>
      </c>
      <c r="D41" s="11">
        <f t="shared" si="0"/>
        <v>1</v>
      </c>
    </row>
    <row r="42" spans="1:4" x14ac:dyDescent="0.25">
      <c r="A42" s="28" t="s">
        <v>717</v>
      </c>
      <c r="B42">
        <v>2</v>
      </c>
      <c r="C42" s="15">
        <v>0</v>
      </c>
      <c r="D42" s="11">
        <f t="shared" si="0"/>
        <v>0</v>
      </c>
    </row>
    <row r="43" spans="1:4" x14ac:dyDescent="0.25">
      <c r="A43" s="28" t="s">
        <v>712</v>
      </c>
      <c r="B43">
        <v>1</v>
      </c>
      <c r="C43" s="15">
        <v>0</v>
      </c>
      <c r="D43" s="11">
        <f t="shared" si="0"/>
        <v>0</v>
      </c>
    </row>
    <row r="44" spans="1:4" x14ac:dyDescent="0.25">
      <c r="A44" s="28" t="s">
        <v>726</v>
      </c>
      <c r="B44">
        <v>1</v>
      </c>
      <c r="C44" s="15">
        <v>0</v>
      </c>
      <c r="D44" s="11">
        <f t="shared" si="0"/>
        <v>0</v>
      </c>
    </row>
    <row r="45" spans="1:4" x14ac:dyDescent="0.25">
      <c r="A45" s="28" t="s">
        <v>715</v>
      </c>
      <c r="B45">
        <v>2</v>
      </c>
      <c r="C45" s="15">
        <v>0</v>
      </c>
      <c r="D45" s="11">
        <f t="shared" si="0"/>
        <v>0</v>
      </c>
    </row>
    <row r="46" spans="1:4" x14ac:dyDescent="0.25">
      <c r="A46" s="28" t="s">
        <v>722</v>
      </c>
      <c r="B46">
        <v>2</v>
      </c>
      <c r="C46" s="15">
        <v>0</v>
      </c>
      <c r="D46" s="11">
        <f t="shared" si="0"/>
        <v>0</v>
      </c>
    </row>
    <row r="47" spans="1:4" x14ac:dyDescent="0.25">
      <c r="A47" s="28" t="s">
        <v>714</v>
      </c>
      <c r="B47">
        <v>1</v>
      </c>
      <c r="C47" s="15">
        <v>0</v>
      </c>
      <c r="D47" s="11">
        <f t="shared" si="0"/>
        <v>0</v>
      </c>
    </row>
    <row r="48" spans="1:4" x14ac:dyDescent="0.25">
      <c r="A48" s="28" t="s">
        <v>713</v>
      </c>
      <c r="B48">
        <v>1</v>
      </c>
      <c r="C48" s="15">
        <v>0</v>
      </c>
      <c r="D48" s="11">
        <f t="shared" si="0"/>
        <v>0</v>
      </c>
    </row>
    <row r="49" spans="1:4" x14ac:dyDescent="0.25">
      <c r="A49" s="28" t="s">
        <v>723</v>
      </c>
      <c r="B49">
        <v>1</v>
      </c>
      <c r="C49" s="15">
        <v>0</v>
      </c>
      <c r="D49" s="11">
        <f t="shared" si="0"/>
        <v>0</v>
      </c>
    </row>
    <row r="50" spans="1:4" x14ac:dyDescent="0.25">
      <c r="A50" s="28" t="s">
        <v>716</v>
      </c>
      <c r="B50">
        <v>6</v>
      </c>
      <c r="C50" s="15">
        <v>0</v>
      </c>
      <c r="D50" s="11">
        <f t="shared" si="0"/>
        <v>0</v>
      </c>
    </row>
    <row r="51" spans="1:4" x14ac:dyDescent="0.25">
      <c r="A51" s="28" t="s">
        <v>724</v>
      </c>
      <c r="B51">
        <v>2</v>
      </c>
      <c r="C51" s="15">
        <v>0</v>
      </c>
      <c r="D51" s="11">
        <f t="shared" si="0"/>
        <v>0</v>
      </c>
    </row>
    <row r="52" spans="1:4" x14ac:dyDescent="0.25">
      <c r="A52" s="28" t="s">
        <v>719</v>
      </c>
      <c r="B52">
        <v>4</v>
      </c>
      <c r="C52" s="15">
        <v>0</v>
      </c>
      <c r="D52" s="11">
        <f t="shared" si="0"/>
        <v>0</v>
      </c>
    </row>
    <row r="53" spans="1:4" x14ac:dyDescent="0.25">
      <c r="A53" s="7" t="s">
        <v>1435</v>
      </c>
      <c r="B53">
        <v>88</v>
      </c>
      <c r="C53" s="15">
        <v>15</v>
      </c>
      <c r="D53" s="11">
        <f t="shared" si="0"/>
        <v>0.17045454545454544</v>
      </c>
    </row>
    <row r="54" spans="1:4" x14ac:dyDescent="0.25">
      <c r="D54" s="11" t="str">
        <f t="shared" si="0"/>
        <v/>
      </c>
    </row>
    <row r="55" spans="1:4" x14ac:dyDescent="0.25">
      <c r="D55" s="11" t="str">
        <f t="shared" si="0"/>
        <v/>
      </c>
    </row>
    <row r="56" spans="1:4" x14ac:dyDescent="0.25">
      <c r="D56" s="11" t="str">
        <f t="shared" si="0"/>
        <v/>
      </c>
    </row>
    <row r="57" spans="1:4" x14ac:dyDescent="0.25">
      <c r="D57" s="11" t="str">
        <f t="shared" si="0"/>
        <v/>
      </c>
    </row>
    <row r="58" spans="1:4" x14ac:dyDescent="0.25">
      <c r="D58" s="11" t="str">
        <f t="shared" si="0"/>
        <v/>
      </c>
    </row>
    <row r="59" spans="1:4" x14ac:dyDescent="0.25">
      <c r="D59" s="11" t="str">
        <f t="shared" si="0"/>
        <v/>
      </c>
    </row>
    <row r="60" spans="1:4" x14ac:dyDescent="0.25">
      <c r="D60" s="11" t="str">
        <f t="shared" si="0"/>
        <v/>
      </c>
    </row>
    <row r="61" spans="1:4" x14ac:dyDescent="0.25">
      <c r="D61" s="11" t="str">
        <f t="shared" si="0"/>
        <v/>
      </c>
    </row>
    <row r="62" spans="1:4" x14ac:dyDescent="0.25">
      <c r="D62" s="11" t="str">
        <f t="shared" si="0"/>
        <v/>
      </c>
    </row>
    <row r="63" spans="1:4" x14ac:dyDescent="0.25">
      <c r="D63" s="11" t="str">
        <f t="shared" si="0"/>
        <v/>
      </c>
    </row>
    <row r="64" spans="1:4" x14ac:dyDescent="0.25">
      <c r="D64" s="11" t="str">
        <f t="shared" si="0"/>
        <v/>
      </c>
    </row>
    <row r="65" spans="4:4" x14ac:dyDescent="0.25">
      <c r="D65" s="11" t="str">
        <f t="shared" si="0"/>
        <v/>
      </c>
    </row>
    <row r="66" spans="4:4" x14ac:dyDescent="0.25">
      <c r="D66" s="11" t="str">
        <f t="shared" si="0"/>
        <v/>
      </c>
    </row>
    <row r="67" spans="4:4" x14ac:dyDescent="0.25">
      <c r="D67" s="11" t="str">
        <f t="shared" si="0"/>
        <v/>
      </c>
    </row>
    <row r="68" spans="4:4" x14ac:dyDescent="0.25">
      <c r="D68" s="11" t="str">
        <f t="shared" si="0"/>
        <v/>
      </c>
    </row>
    <row r="69" spans="4:4" x14ac:dyDescent="0.25">
      <c r="D69" s="11" t="str">
        <f t="shared" ref="D69:D71" si="1">IF(B69=0,"",C69/B69)</f>
        <v/>
      </c>
    </row>
    <row r="70" spans="4:4" x14ac:dyDescent="0.25">
      <c r="D70" s="11" t="str">
        <f t="shared" si="1"/>
        <v/>
      </c>
    </row>
    <row r="71" spans="4:4" x14ac:dyDescent="0.25">
      <c r="D71" s="11" t="str">
        <f t="shared" si="1"/>
        <v/>
      </c>
    </row>
  </sheetData>
  <conditionalFormatting sqref="D1:D1048576">
    <cfRule type="cellIs" dxfId="4" priority="1" operator="lessThan">
      <formula>0.2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E4E3F-D7D7-4248-8793-A15207ADB7F8}">
  <dimension ref="A3:B35"/>
  <sheetViews>
    <sheetView workbookViewId="0">
      <selection activeCell="M3" sqref="M3"/>
    </sheetView>
  </sheetViews>
  <sheetFormatPr defaultRowHeight="15" x14ac:dyDescent="0.25"/>
  <cols>
    <col min="1" max="1" width="13.140625" bestFit="1" customWidth="1"/>
    <col min="2" max="2" width="20.7109375" bestFit="1" customWidth="1"/>
  </cols>
  <sheetData>
    <row r="3" spans="1:2" x14ac:dyDescent="0.25">
      <c r="A3" s="6" t="s">
        <v>1434</v>
      </c>
      <c r="B3" t="s">
        <v>1461</v>
      </c>
    </row>
    <row r="4" spans="1:2" x14ac:dyDescent="0.25">
      <c r="A4" s="7" t="s">
        <v>1473</v>
      </c>
      <c r="B4" s="17">
        <v>45499.733910000003</v>
      </c>
    </row>
    <row r="5" spans="1:2" x14ac:dyDescent="0.25">
      <c r="A5" s="7" t="s">
        <v>1474</v>
      </c>
      <c r="B5" s="17">
        <v>14868.49</v>
      </c>
    </row>
    <row r="6" spans="1:2" x14ac:dyDescent="0.25">
      <c r="A6" s="7" t="s">
        <v>1475</v>
      </c>
      <c r="B6" s="17">
        <v>21722.711300000003</v>
      </c>
    </row>
    <row r="7" spans="1:2" x14ac:dyDescent="0.25">
      <c r="A7" s="7" t="s">
        <v>1476</v>
      </c>
      <c r="B7" s="17">
        <v>35396.277799999996</v>
      </c>
    </row>
    <row r="8" spans="1:2" x14ac:dyDescent="0.25">
      <c r="A8" s="7" t="s">
        <v>1477</v>
      </c>
      <c r="B8" s="17">
        <v>19066.045319999997</v>
      </c>
    </row>
    <row r="9" spans="1:2" x14ac:dyDescent="0.25">
      <c r="A9" s="7" t="s">
        <v>1478</v>
      </c>
      <c r="B9" s="17">
        <v>47947.409280000007</v>
      </c>
    </row>
    <row r="10" spans="1:2" x14ac:dyDescent="0.25">
      <c r="A10" s="7" t="s">
        <v>1479</v>
      </c>
      <c r="B10" s="17">
        <v>25503.14688</v>
      </c>
    </row>
    <row r="11" spans="1:2" x14ac:dyDescent="0.25">
      <c r="A11" s="7" t="s">
        <v>1480</v>
      </c>
      <c r="B11" s="17">
        <v>4737.2198399999997</v>
      </c>
    </row>
    <row r="12" spans="1:2" x14ac:dyDescent="0.25">
      <c r="A12" s="7" t="s">
        <v>1481</v>
      </c>
      <c r="B12" s="17">
        <v>1446.9507000000001</v>
      </c>
    </row>
    <row r="13" spans="1:2" x14ac:dyDescent="0.25">
      <c r="A13" s="7" t="s">
        <v>1482</v>
      </c>
      <c r="B13" s="17">
        <v>66136.949640000006</v>
      </c>
    </row>
    <row r="14" spans="1:2" x14ac:dyDescent="0.25">
      <c r="A14" s="7" t="s">
        <v>1483</v>
      </c>
      <c r="B14" s="17">
        <v>46387.764750000002</v>
      </c>
    </row>
    <row r="15" spans="1:2" x14ac:dyDescent="0.25">
      <c r="A15" s="7" t="s">
        <v>1484</v>
      </c>
      <c r="B15" s="17">
        <v>65966.201960000006</v>
      </c>
    </row>
    <row r="16" spans="1:2" x14ac:dyDescent="0.25">
      <c r="A16" s="7" t="s">
        <v>1485</v>
      </c>
      <c r="B16" s="17">
        <v>43202.779340000001</v>
      </c>
    </row>
    <row r="17" spans="1:2" x14ac:dyDescent="0.25">
      <c r="A17" s="7" t="s">
        <v>1486</v>
      </c>
      <c r="B17" s="17">
        <v>109556.90003999999</v>
      </c>
    </row>
    <row r="18" spans="1:2" x14ac:dyDescent="0.25">
      <c r="A18" s="7" t="s">
        <v>1487</v>
      </c>
      <c r="B18" s="17">
        <v>116158.19613000001</v>
      </c>
    </row>
    <row r="19" spans="1:2" x14ac:dyDescent="0.25">
      <c r="A19" s="7" t="s">
        <v>1464</v>
      </c>
      <c r="B19" s="17">
        <v>74145.427629999991</v>
      </c>
    </row>
    <row r="20" spans="1:2" x14ac:dyDescent="0.25">
      <c r="A20" s="7" t="s">
        <v>1488</v>
      </c>
      <c r="B20" s="17">
        <v>32981.412199999999</v>
      </c>
    </row>
    <row r="21" spans="1:2" x14ac:dyDescent="0.25">
      <c r="A21" s="7" t="s">
        <v>1489</v>
      </c>
      <c r="B21" s="17">
        <v>80095.928639999998</v>
      </c>
    </row>
    <row r="22" spans="1:2" x14ac:dyDescent="0.25">
      <c r="A22" s="7" t="s">
        <v>1490</v>
      </c>
      <c r="B22" s="17">
        <v>33339.019980000005</v>
      </c>
    </row>
    <row r="23" spans="1:2" x14ac:dyDescent="0.25">
      <c r="A23" s="7" t="s">
        <v>1491</v>
      </c>
      <c r="B23" s="17">
        <v>69048.045739999987</v>
      </c>
    </row>
    <row r="24" spans="1:2" x14ac:dyDescent="0.25">
      <c r="A24" s="7" t="s">
        <v>1492</v>
      </c>
      <c r="B24" s="17">
        <v>10647.727199999999</v>
      </c>
    </row>
    <row r="25" spans="1:2" x14ac:dyDescent="0.25">
      <c r="A25" s="7" t="s">
        <v>1493</v>
      </c>
      <c r="B25" s="17">
        <v>47502.705420000006</v>
      </c>
    </row>
    <row r="26" spans="1:2" x14ac:dyDescent="0.25">
      <c r="A26" s="7" t="s">
        <v>1494</v>
      </c>
      <c r="B26" s="17">
        <v>75173.887860000003</v>
      </c>
    </row>
    <row r="27" spans="1:2" x14ac:dyDescent="0.25">
      <c r="A27" s="7" t="s">
        <v>1495</v>
      </c>
      <c r="B27" s="17">
        <v>59107.640959999997</v>
      </c>
    </row>
    <row r="28" spans="1:2" x14ac:dyDescent="0.25">
      <c r="A28" s="7" t="s">
        <v>1496</v>
      </c>
      <c r="B28" s="17">
        <v>20011.96514</v>
      </c>
    </row>
    <row r="29" spans="1:2" x14ac:dyDescent="0.25">
      <c r="A29" s="7" t="s">
        <v>1497</v>
      </c>
      <c r="B29" s="17">
        <v>13464.761759999999</v>
      </c>
    </row>
    <row r="30" spans="1:2" x14ac:dyDescent="0.25">
      <c r="A30" s="7" t="s">
        <v>1498</v>
      </c>
      <c r="B30" s="17">
        <v>29860.3272</v>
      </c>
    </row>
    <row r="31" spans="1:2" x14ac:dyDescent="0.25">
      <c r="A31" s="7" t="s">
        <v>1499</v>
      </c>
      <c r="B31" s="17">
        <v>56138.360260000001</v>
      </c>
    </row>
    <row r="32" spans="1:2" x14ac:dyDescent="0.25">
      <c r="A32" s="7" t="s">
        <v>1500</v>
      </c>
      <c r="B32" s="17">
        <v>20079.343620000003</v>
      </c>
    </row>
    <row r="33" spans="1:2" x14ac:dyDescent="0.25">
      <c r="A33" s="7" t="s">
        <v>1501</v>
      </c>
      <c r="B33" s="17">
        <v>48982.809329999989</v>
      </c>
    </row>
    <row r="34" spans="1:2" x14ac:dyDescent="0.25">
      <c r="A34" s="7" t="s">
        <v>1502</v>
      </c>
      <c r="B34" s="17">
        <v>7597.4998400000004</v>
      </c>
    </row>
    <row r="35" spans="1:2" x14ac:dyDescent="0.25">
      <c r="A35" s="7" t="s">
        <v>1435</v>
      </c>
      <c r="B35" s="17">
        <v>1341773.6396699995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0CF2A-D7A2-4771-85B7-CEF3FD178199}">
  <dimension ref="A3:H9"/>
  <sheetViews>
    <sheetView workbookViewId="0">
      <selection activeCell="J2" sqref="J2"/>
    </sheetView>
  </sheetViews>
  <sheetFormatPr defaultRowHeight="15" x14ac:dyDescent="0.25"/>
  <cols>
    <col min="1" max="1" width="17.85546875" bestFit="1" customWidth="1"/>
    <col min="2" max="2" width="16.28515625" bestFit="1" customWidth="1"/>
    <col min="3" max="3" width="10.5703125" bestFit="1" customWidth="1"/>
    <col min="4" max="4" width="12.140625" bestFit="1" customWidth="1"/>
    <col min="5" max="7" width="10.140625" bestFit="1" customWidth="1"/>
    <col min="8" max="8" width="11.28515625" bestFit="1" customWidth="1"/>
  </cols>
  <sheetData>
    <row r="3" spans="1:8" x14ac:dyDescent="0.25">
      <c r="A3" s="6" t="s">
        <v>1469</v>
      </c>
      <c r="B3" s="6" t="s">
        <v>1460</v>
      </c>
    </row>
    <row r="4" spans="1:8" x14ac:dyDescent="0.25">
      <c r="A4" s="6" t="s">
        <v>1434</v>
      </c>
      <c r="B4" t="s">
        <v>711</v>
      </c>
      <c r="C4" t="s">
        <v>710</v>
      </c>
      <c r="D4" t="s">
        <v>709</v>
      </c>
      <c r="E4" t="s">
        <v>708</v>
      </c>
      <c r="F4" t="s">
        <v>707</v>
      </c>
      <c r="G4" t="s">
        <v>1428</v>
      </c>
      <c r="H4" t="s">
        <v>1435</v>
      </c>
    </row>
    <row r="5" spans="1:8" x14ac:dyDescent="0.25">
      <c r="A5" s="7" t="s">
        <v>646</v>
      </c>
      <c r="B5" s="17">
        <v>24405.422719999999</v>
      </c>
      <c r="C5" s="17">
        <v>31999.859460000003</v>
      </c>
      <c r="D5" s="17">
        <v>16851.858579999996</v>
      </c>
      <c r="E5" s="17">
        <v>12391.170799999998</v>
      </c>
      <c r="F5" s="17">
        <v>42270.584419999985</v>
      </c>
      <c r="G5" s="17"/>
      <c r="H5" s="17">
        <v>127918.89597999997</v>
      </c>
    </row>
    <row r="6" spans="1:8" x14ac:dyDescent="0.25">
      <c r="A6" s="7" t="s">
        <v>648</v>
      </c>
      <c r="B6" s="17">
        <v>60093.000750000014</v>
      </c>
      <c r="C6" s="17">
        <v>4520.3998000000011</v>
      </c>
      <c r="D6" s="17">
        <v>27820.7565</v>
      </c>
      <c r="E6" s="17">
        <v>17820.321299999996</v>
      </c>
      <c r="F6" s="17">
        <v>8125.0872199999985</v>
      </c>
      <c r="G6" s="17"/>
      <c r="H6" s="17">
        <v>118379.56557000001</v>
      </c>
    </row>
    <row r="7" spans="1:8" x14ac:dyDescent="0.25">
      <c r="A7" s="7" t="s">
        <v>647</v>
      </c>
      <c r="B7" s="17"/>
      <c r="C7" s="17">
        <v>4009.3667</v>
      </c>
      <c r="D7" s="17">
        <v>2147.5234100000016</v>
      </c>
      <c r="E7" s="17">
        <v>3024.3151199999993</v>
      </c>
      <c r="F7" s="17">
        <v>29912.052980000008</v>
      </c>
      <c r="G7" s="17">
        <v>16530.425009999999</v>
      </c>
      <c r="H7" s="17">
        <v>55623.683220000006</v>
      </c>
    </row>
    <row r="8" spans="1:8" x14ac:dyDescent="0.25">
      <c r="A8" s="7" t="s">
        <v>649</v>
      </c>
      <c r="B8" s="17">
        <v>29728.699660000006</v>
      </c>
      <c r="C8" s="17">
        <v>24521.440280000003</v>
      </c>
      <c r="D8" s="17">
        <v>-50030.437079999996</v>
      </c>
      <c r="E8" s="17">
        <v>3323.7306399999998</v>
      </c>
      <c r="F8" s="17">
        <v>14048.371399999998</v>
      </c>
      <c r="G8" s="17"/>
      <c r="H8" s="17">
        <v>21591.80490000001</v>
      </c>
    </row>
    <row r="9" spans="1:8" x14ac:dyDescent="0.25">
      <c r="A9" s="7" t="s">
        <v>1435</v>
      </c>
      <c r="B9" s="17">
        <v>114227.12313000002</v>
      </c>
      <c r="C9" s="17">
        <v>65051.066240000007</v>
      </c>
      <c r="D9" s="17">
        <v>-3210.2985899999985</v>
      </c>
      <c r="E9" s="17">
        <v>36559.537859999997</v>
      </c>
      <c r="F9" s="17">
        <v>94356.096019999997</v>
      </c>
      <c r="G9" s="17">
        <v>16530.425009999999</v>
      </c>
      <c r="H9" s="17">
        <v>323513.94967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2CD0D-8198-4BF2-898E-44164738898E}">
  <dimension ref="A3:B14"/>
  <sheetViews>
    <sheetView workbookViewId="0">
      <selection activeCell="N5" sqref="N5"/>
    </sheetView>
  </sheetViews>
  <sheetFormatPr defaultRowHeight="15" x14ac:dyDescent="0.25"/>
  <cols>
    <col min="1" max="1" width="13.140625" bestFit="1" customWidth="1"/>
    <col min="2" max="2" width="20.7109375" bestFit="1" customWidth="1"/>
  </cols>
  <sheetData>
    <row r="3" spans="1:2" x14ac:dyDescent="0.25">
      <c r="A3" s="6" t="s">
        <v>1434</v>
      </c>
      <c r="B3" t="s">
        <v>1461</v>
      </c>
    </row>
    <row r="4" spans="1:2" x14ac:dyDescent="0.25">
      <c r="A4" s="7" t="s">
        <v>1080</v>
      </c>
      <c r="B4" s="17">
        <v>79082.507010000001</v>
      </c>
    </row>
    <row r="5" spans="1:2" x14ac:dyDescent="0.25">
      <c r="A5" s="7" t="s">
        <v>1053</v>
      </c>
      <c r="B5" s="17">
        <v>53034.364139999991</v>
      </c>
    </row>
    <row r="6" spans="1:2" x14ac:dyDescent="0.25">
      <c r="A6" s="7" t="s">
        <v>1288</v>
      </c>
      <c r="B6" s="17">
        <v>46450.26</v>
      </c>
    </row>
    <row r="7" spans="1:2" x14ac:dyDescent="0.25">
      <c r="A7" s="7" t="s">
        <v>1040</v>
      </c>
      <c r="B7" s="17">
        <v>43084.872000000003</v>
      </c>
    </row>
    <row r="8" spans="1:2" x14ac:dyDescent="0.25">
      <c r="A8" s="7" t="s">
        <v>752</v>
      </c>
      <c r="B8" s="17">
        <v>38096.18406</v>
      </c>
    </row>
    <row r="9" spans="1:2" x14ac:dyDescent="0.25">
      <c r="A9" s="7" t="s">
        <v>810</v>
      </c>
      <c r="B9" s="17">
        <v>35396.277799999996</v>
      </c>
    </row>
    <row r="10" spans="1:2" x14ac:dyDescent="0.25">
      <c r="A10" s="7" t="s">
        <v>1094</v>
      </c>
      <c r="B10" s="17">
        <v>35167.7448</v>
      </c>
    </row>
    <row r="11" spans="1:2" x14ac:dyDescent="0.25">
      <c r="A11" s="7" t="s">
        <v>831</v>
      </c>
      <c r="B11" s="17">
        <v>34139.159999999996</v>
      </c>
    </row>
    <row r="12" spans="1:2" x14ac:dyDescent="0.25">
      <c r="A12" s="7" t="s">
        <v>811</v>
      </c>
      <c r="B12" s="17">
        <v>33062.236480000007</v>
      </c>
    </row>
    <row r="13" spans="1:2" x14ac:dyDescent="0.25">
      <c r="A13" s="7" t="s">
        <v>876</v>
      </c>
      <c r="B13" s="17">
        <v>32086.37586</v>
      </c>
    </row>
    <row r="14" spans="1:2" x14ac:dyDescent="0.25">
      <c r="A14" s="7" t="s">
        <v>1435</v>
      </c>
      <c r="B14" s="17">
        <v>429599.98215000005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7FAC2-E65A-41AA-99D9-9C53F98125B7}">
  <dimension ref="A3:C20"/>
  <sheetViews>
    <sheetView workbookViewId="0">
      <selection activeCell="H18" sqref="H18"/>
    </sheetView>
  </sheetViews>
  <sheetFormatPr defaultRowHeight="15" x14ac:dyDescent="0.25"/>
  <sheetData>
    <row r="3" spans="1:3" x14ac:dyDescent="0.25">
      <c r="A3" s="19"/>
      <c r="B3" s="20"/>
      <c r="C3" s="21"/>
    </row>
    <row r="4" spans="1:3" x14ac:dyDescent="0.25">
      <c r="A4" s="22"/>
      <c r="B4" s="23"/>
      <c r="C4" s="24"/>
    </row>
    <row r="5" spans="1:3" x14ac:dyDescent="0.25">
      <c r="A5" s="22"/>
      <c r="B5" s="23"/>
      <c r="C5" s="24"/>
    </row>
    <row r="6" spans="1:3" x14ac:dyDescent="0.25">
      <c r="A6" s="22"/>
      <c r="B6" s="23"/>
      <c r="C6" s="24"/>
    </row>
    <row r="7" spans="1:3" x14ac:dyDescent="0.25">
      <c r="A7" s="22"/>
      <c r="B7" s="23"/>
      <c r="C7" s="24"/>
    </row>
    <row r="8" spans="1:3" x14ac:dyDescent="0.25">
      <c r="A8" s="22"/>
      <c r="B8" s="23"/>
      <c r="C8" s="24"/>
    </row>
    <row r="9" spans="1:3" x14ac:dyDescent="0.25">
      <c r="A9" s="22"/>
      <c r="B9" s="23"/>
      <c r="C9" s="24"/>
    </row>
    <row r="10" spans="1:3" x14ac:dyDescent="0.25">
      <c r="A10" s="22"/>
      <c r="B10" s="23"/>
      <c r="C10" s="24"/>
    </row>
    <row r="11" spans="1:3" x14ac:dyDescent="0.25">
      <c r="A11" s="22"/>
      <c r="B11" s="23"/>
      <c r="C11" s="24"/>
    </row>
    <row r="12" spans="1:3" x14ac:dyDescent="0.25">
      <c r="A12" s="22"/>
      <c r="B12" s="23"/>
      <c r="C12" s="24"/>
    </row>
    <row r="13" spans="1:3" x14ac:dyDescent="0.25">
      <c r="A13" s="22"/>
      <c r="B13" s="23"/>
      <c r="C13" s="24"/>
    </row>
    <row r="14" spans="1:3" x14ac:dyDescent="0.25">
      <c r="A14" s="22"/>
      <c r="B14" s="23"/>
      <c r="C14" s="24"/>
    </row>
    <row r="15" spans="1:3" x14ac:dyDescent="0.25">
      <c r="A15" s="22"/>
      <c r="B15" s="23"/>
      <c r="C15" s="24"/>
    </row>
    <row r="16" spans="1:3" x14ac:dyDescent="0.25">
      <c r="A16" s="22"/>
      <c r="B16" s="23"/>
      <c r="C16" s="24"/>
    </row>
    <row r="17" spans="1:3" x14ac:dyDescent="0.25">
      <c r="A17" s="22"/>
      <c r="B17" s="23"/>
      <c r="C17" s="24"/>
    </row>
    <row r="18" spans="1:3" x14ac:dyDescent="0.25">
      <c r="A18" s="22"/>
      <c r="B18" s="23"/>
      <c r="C18" s="24"/>
    </row>
    <row r="19" spans="1:3" x14ac:dyDescent="0.25">
      <c r="A19" s="22"/>
      <c r="B19" s="23"/>
      <c r="C19" s="24"/>
    </row>
    <row r="20" spans="1:3" x14ac:dyDescent="0.25">
      <c r="A20" s="25"/>
      <c r="B20" s="26"/>
      <c r="C20" s="2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B872D-F7CB-4D69-8E71-4D87DE734D57}">
  <dimension ref="A3:H1232"/>
  <sheetViews>
    <sheetView topLeftCell="B590" workbookViewId="0">
      <selection activeCell="H594" sqref="H594"/>
    </sheetView>
  </sheetViews>
  <sheetFormatPr defaultRowHeight="15" x14ac:dyDescent="0.25"/>
  <cols>
    <col min="1" max="1" width="13.140625" bestFit="1" customWidth="1"/>
    <col min="2" max="2" width="21.85546875" bestFit="1" customWidth="1"/>
  </cols>
  <sheetData>
    <row r="3" spans="1:2" x14ac:dyDescent="0.25">
      <c r="A3" s="6" t="s">
        <v>1434</v>
      </c>
      <c r="B3" t="s">
        <v>1535</v>
      </c>
    </row>
    <row r="4" spans="1:2" x14ac:dyDescent="0.25">
      <c r="A4" s="7" t="s">
        <v>873</v>
      </c>
      <c r="B4" s="11">
        <v>0.25900000000000001</v>
      </c>
    </row>
    <row r="5" spans="1:2" x14ac:dyDescent="0.25">
      <c r="A5" s="7" t="s">
        <v>1355</v>
      </c>
      <c r="B5" s="11">
        <v>0.113</v>
      </c>
    </row>
    <row r="6" spans="1:2" x14ac:dyDescent="0.25">
      <c r="A6" s="7" t="s">
        <v>1067</v>
      </c>
      <c r="B6" s="11">
        <v>2.8000000000000001E-2</v>
      </c>
    </row>
    <row r="7" spans="1:2" x14ac:dyDescent="0.25">
      <c r="A7" s="7" t="s">
        <v>1149</v>
      </c>
      <c r="B7" s="11">
        <v>0.245</v>
      </c>
    </row>
    <row r="8" spans="1:2" x14ac:dyDescent="0.25">
      <c r="A8" s="7" t="s">
        <v>1074</v>
      </c>
      <c r="B8" s="11">
        <v>0.56499999999999995</v>
      </c>
    </row>
    <row r="9" spans="1:2" x14ac:dyDescent="0.25">
      <c r="A9" s="7" t="s">
        <v>1128</v>
      </c>
      <c r="B9" s="11">
        <v>9.8000000000000004E-2</v>
      </c>
    </row>
    <row r="10" spans="1:2" x14ac:dyDescent="0.25">
      <c r="A10" s="7" t="s">
        <v>1175</v>
      </c>
      <c r="B10" s="11">
        <v>0.157</v>
      </c>
    </row>
    <row r="11" spans="1:2" x14ac:dyDescent="0.25">
      <c r="A11" s="7" t="s">
        <v>1027</v>
      </c>
      <c r="B11" s="11">
        <v>5.8999999999999997E-2</v>
      </c>
    </row>
    <row r="12" spans="1:2" x14ac:dyDescent="0.25">
      <c r="A12" s="7" t="s">
        <v>1225</v>
      </c>
      <c r="B12" s="11">
        <v>8.3000000000000004E-2</v>
      </c>
    </row>
    <row r="13" spans="1:2" x14ac:dyDescent="0.25">
      <c r="A13" s="7" t="s">
        <v>1321</v>
      </c>
      <c r="B13" s="11">
        <v>8.7999999999999995E-2</v>
      </c>
    </row>
    <row r="14" spans="1:2" x14ac:dyDescent="0.25">
      <c r="A14" s="7" t="s">
        <v>941</v>
      </c>
      <c r="B14" s="11">
        <v>0.14799999999999999</v>
      </c>
    </row>
    <row r="15" spans="1:2" x14ac:dyDescent="0.25">
      <c r="A15" s="7" t="s">
        <v>748</v>
      </c>
      <c r="B15" s="11">
        <v>0</v>
      </c>
    </row>
    <row r="16" spans="1:2" x14ac:dyDescent="0.25">
      <c r="A16" s="7" t="s">
        <v>1212</v>
      </c>
      <c r="B16" s="11">
        <v>0.02</v>
      </c>
    </row>
    <row r="17" spans="1:2" x14ac:dyDescent="0.25">
      <c r="A17" s="7" t="s">
        <v>792</v>
      </c>
      <c r="B17" s="11">
        <v>7.4999999999999997E-2</v>
      </c>
    </row>
    <row r="18" spans="1:2" x14ac:dyDescent="0.25">
      <c r="A18" s="7" t="s">
        <v>995</v>
      </c>
      <c r="B18" s="11">
        <v>4.0000000000000001E-3</v>
      </c>
    </row>
    <row r="19" spans="1:2" x14ac:dyDescent="0.25">
      <c r="A19" s="7" t="s">
        <v>793</v>
      </c>
      <c r="B19" s="11">
        <v>0.20499999999999999</v>
      </c>
    </row>
    <row r="20" spans="1:2" x14ac:dyDescent="0.25">
      <c r="A20" s="7" t="s">
        <v>1059</v>
      </c>
      <c r="B20" s="11">
        <v>0.121</v>
      </c>
    </row>
    <row r="21" spans="1:2" x14ac:dyDescent="0.25">
      <c r="A21" s="7" t="s">
        <v>837</v>
      </c>
      <c r="B21" s="11">
        <v>0.18</v>
      </c>
    </row>
    <row r="22" spans="1:2" x14ac:dyDescent="0.25">
      <c r="A22" s="7" t="s">
        <v>904</v>
      </c>
      <c r="B22" s="11">
        <v>0.254</v>
      </c>
    </row>
    <row r="23" spans="1:2" x14ac:dyDescent="0.25">
      <c r="A23" s="7" t="s">
        <v>804</v>
      </c>
      <c r="B23" s="11">
        <v>6.8000000000000005E-2</v>
      </c>
    </row>
    <row r="24" spans="1:2" x14ac:dyDescent="0.25">
      <c r="A24" s="7" t="s">
        <v>1231</v>
      </c>
      <c r="B24" s="11">
        <v>5.7000000000000002E-2</v>
      </c>
    </row>
    <row r="25" spans="1:2" x14ac:dyDescent="0.25">
      <c r="A25" s="7" t="s">
        <v>1150</v>
      </c>
      <c r="B25" s="11">
        <v>0.09</v>
      </c>
    </row>
    <row r="26" spans="1:2" x14ac:dyDescent="0.25">
      <c r="A26" s="7" t="s">
        <v>1046</v>
      </c>
      <c r="B26" s="11">
        <v>8.7999999999999995E-2</v>
      </c>
    </row>
    <row r="27" spans="1:2" x14ac:dyDescent="0.25">
      <c r="A27" s="7" t="s">
        <v>1053</v>
      </c>
      <c r="B27" s="11">
        <v>0.151</v>
      </c>
    </row>
    <row r="28" spans="1:2" x14ac:dyDescent="0.25">
      <c r="A28" s="7" t="s">
        <v>1223</v>
      </c>
      <c r="B28" s="11">
        <v>0</v>
      </c>
    </row>
    <row r="29" spans="1:2" x14ac:dyDescent="0.25">
      <c r="A29" s="7" t="s">
        <v>1066</v>
      </c>
      <c r="B29" s="11">
        <v>0.27</v>
      </c>
    </row>
    <row r="30" spans="1:2" x14ac:dyDescent="0.25">
      <c r="A30" s="7" t="s">
        <v>1089</v>
      </c>
      <c r="B30" s="11">
        <v>0.16700000000000001</v>
      </c>
    </row>
    <row r="31" spans="1:2" x14ac:dyDescent="0.25">
      <c r="A31" s="7" t="s">
        <v>1250</v>
      </c>
      <c r="B31" s="11">
        <v>0.107</v>
      </c>
    </row>
    <row r="32" spans="1:2" x14ac:dyDescent="0.25">
      <c r="A32" s="7" t="s">
        <v>919</v>
      </c>
      <c r="B32" s="11">
        <v>2.5000000000000001E-2</v>
      </c>
    </row>
    <row r="33" spans="1:2" x14ac:dyDescent="0.25">
      <c r="A33" s="7" t="s">
        <v>1279</v>
      </c>
      <c r="B33" s="11">
        <v>0.20799999999999999</v>
      </c>
    </row>
    <row r="34" spans="1:2" x14ac:dyDescent="0.25">
      <c r="A34" s="7" t="s">
        <v>955</v>
      </c>
      <c r="B34" s="11">
        <v>0.20399999999999999</v>
      </c>
    </row>
    <row r="35" spans="1:2" x14ac:dyDescent="0.25">
      <c r="A35" s="7" t="s">
        <v>993</v>
      </c>
      <c r="B35" s="11">
        <v>0.14000000000000001</v>
      </c>
    </row>
    <row r="36" spans="1:2" x14ac:dyDescent="0.25">
      <c r="A36" s="7" t="s">
        <v>1184</v>
      </c>
      <c r="B36" s="11">
        <v>6.6000000000000003E-2</v>
      </c>
    </row>
    <row r="37" spans="1:2" x14ac:dyDescent="0.25">
      <c r="A37" s="7" t="s">
        <v>1255</v>
      </c>
      <c r="B37" s="11">
        <v>0</v>
      </c>
    </row>
    <row r="38" spans="1:2" x14ac:dyDescent="0.25">
      <c r="A38" s="7" t="s">
        <v>1310</v>
      </c>
      <c r="B38" s="11">
        <v>0.13500000000000001</v>
      </c>
    </row>
    <row r="39" spans="1:2" x14ac:dyDescent="0.25">
      <c r="A39" s="7" t="s">
        <v>1004</v>
      </c>
      <c r="B39" s="11">
        <v>0.13400000000000001</v>
      </c>
    </row>
    <row r="40" spans="1:2" x14ac:dyDescent="0.25">
      <c r="A40" s="7" t="s">
        <v>756</v>
      </c>
      <c r="B40" s="11">
        <v>0.12</v>
      </c>
    </row>
    <row r="41" spans="1:2" x14ac:dyDescent="0.25">
      <c r="A41" s="7" t="s">
        <v>892</v>
      </c>
      <c r="B41" s="11">
        <v>0.127</v>
      </c>
    </row>
    <row r="42" spans="1:2" x14ac:dyDescent="0.25">
      <c r="A42" s="7" t="s">
        <v>865</v>
      </c>
      <c r="B42" s="11">
        <v>0.14199999999999999</v>
      </c>
    </row>
    <row r="43" spans="1:2" x14ac:dyDescent="0.25">
      <c r="A43" s="7" t="s">
        <v>888</v>
      </c>
      <c r="B43" s="11">
        <v>0.184</v>
      </c>
    </row>
    <row r="44" spans="1:2" x14ac:dyDescent="0.25">
      <c r="A44" s="7" t="s">
        <v>1024</v>
      </c>
      <c r="B44" s="11">
        <v>0.14599999999999999</v>
      </c>
    </row>
    <row r="45" spans="1:2" x14ac:dyDescent="0.25">
      <c r="A45" s="7" t="s">
        <v>810</v>
      </c>
      <c r="B45" s="11">
        <v>0.13400000000000001</v>
      </c>
    </row>
    <row r="46" spans="1:2" x14ac:dyDescent="0.25">
      <c r="A46" s="7" t="s">
        <v>847</v>
      </c>
      <c r="B46" s="11">
        <v>0.11899999999999999</v>
      </c>
    </row>
    <row r="47" spans="1:2" x14ac:dyDescent="0.25">
      <c r="A47" s="7" t="s">
        <v>1303</v>
      </c>
      <c r="B47" s="11">
        <v>8.2000000000000003E-2</v>
      </c>
    </row>
    <row r="48" spans="1:2" x14ac:dyDescent="0.25">
      <c r="A48" s="7" t="s">
        <v>921</v>
      </c>
      <c r="B48" s="11">
        <v>0.23300000000000001</v>
      </c>
    </row>
    <row r="49" spans="1:2" x14ac:dyDescent="0.25">
      <c r="A49" s="7" t="s">
        <v>1352</v>
      </c>
      <c r="B49" s="11">
        <v>0.16500000000000001</v>
      </c>
    </row>
    <row r="50" spans="1:2" x14ac:dyDescent="0.25">
      <c r="A50" s="7" t="s">
        <v>1322</v>
      </c>
      <c r="B50" s="11">
        <v>0</v>
      </c>
    </row>
    <row r="51" spans="1:2" x14ac:dyDescent="0.25">
      <c r="A51" s="7" t="s">
        <v>961</v>
      </c>
      <c r="B51" s="11">
        <v>6.7000000000000004E-2</v>
      </c>
    </row>
    <row r="52" spans="1:2" x14ac:dyDescent="0.25">
      <c r="A52" s="7" t="s">
        <v>1286</v>
      </c>
      <c r="B52" s="11">
        <v>8.6999999999999994E-2</v>
      </c>
    </row>
    <row r="53" spans="1:2" x14ac:dyDescent="0.25">
      <c r="A53" s="7" t="s">
        <v>1285</v>
      </c>
      <c r="B53" s="11">
        <v>4.2000000000000003E-2</v>
      </c>
    </row>
    <row r="54" spans="1:2" x14ac:dyDescent="0.25">
      <c r="A54" s="7" t="s">
        <v>831</v>
      </c>
      <c r="B54" s="11">
        <v>0</v>
      </c>
    </row>
    <row r="55" spans="1:2" x14ac:dyDescent="0.25">
      <c r="A55" s="7" t="s">
        <v>1194</v>
      </c>
      <c r="B55" s="11">
        <v>0.129</v>
      </c>
    </row>
    <row r="56" spans="1:2" x14ac:dyDescent="0.25">
      <c r="A56" s="7" t="s">
        <v>948</v>
      </c>
      <c r="B56" s="11">
        <v>0.157</v>
      </c>
    </row>
    <row r="57" spans="1:2" x14ac:dyDescent="0.25">
      <c r="A57" s="7" t="s">
        <v>1086</v>
      </c>
      <c r="B57" s="11">
        <v>3.9E-2</v>
      </c>
    </row>
    <row r="58" spans="1:2" x14ac:dyDescent="0.25">
      <c r="A58" s="7" t="s">
        <v>1033</v>
      </c>
      <c r="B58" s="11">
        <v>0</v>
      </c>
    </row>
    <row r="59" spans="1:2" x14ac:dyDescent="0.25">
      <c r="A59" s="7" t="s">
        <v>791</v>
      </c>
      <c r="B59" s="11">
        <v>0.14699999999999999</v>
      </c>
    </row>
    <row r="60" spans="1:2" x14ac:dyDescent="0.25">
      <c r="A60" s="7" t="s">
        <v>1022</v>
      </c>
      <c r="B60" s="11">
        <v>6.6000000000000003E-2</v>
      </c>
    </row>
    <row r="61" spans="1:2" x14ac:dyDescent="0.25">
      <c r="A61" s="7" t="s">
        <v>784</v>
      </c>
      <c r="B61" s="11">
        <v>0.29199999999999998</v>
      </c>
    </row>
    <row r="62" spans="1:2" x14ac:dyDescent="0.25">
      <c r="A62" s="7" t="s">
        <v>881</v>
      </c>
      <c r="B62" s="11">
        <v>0</v>
      </c>
    </row>
    <row r="63" spans="1:2" x14ac:dyDescent="0.25">
      <c r="A63" s="7" t="s">
        <v>1171</v>
      </c>
      <c r="B63" s="11">
        <v>0.17399999999999999</v>
      </c>
    </row>
    <row r="64" spans="1:2" x14ac:dyDescent="0.25">
      <c r="A64" s="7" t="s">
        <v>1080</v>
      </c>
      <c r="B64" s="11">
        <v>0.10299999999999999</v>
      </c>
    </row>
    <row r="65" spans="1:2" x14ac:dyDescent="0.25">
      <c r="A65" s="7" t="s">
        <v>914</v>
      </c>
      <c r="B65" s="11">
        <v>0.21199999999999999</v>
      </c>
    </row>
    <row r="66" spans="1:2" x14ac:dyDescent="0.25">
      <c r="A66" s="7" t="s">
        <v>1092</v>
      </c>
      <c r="B66" s="11">
        <v>0</v>
      </c>
    </row>
    <row r="67" spans="1:2" x14ac:dyDescent="0.25">
      <c r="A67" s="7" t="s">
        <v>876</v>
      </c>
      <c r="B67" s="11">
        <v>0.151</v>
      </c>
    </row>
    <row r="68" spans="1:2" x14ac:dyDescent="0.25">
      <c r="A68" s="7" t="s">
        <v>1227</v>
      </c>
      <c r="B68" s="11">
        <v>4.2000000000000003E-2</v>
      </c>
    </row>
    <row r="69" spans="1:2" x14ac:dyDescent="0.25">
      <c r="A69" s="7" t="s">
        <v>1291</v>
      </c>
      <c r="B69" s="11">
        <v>0.122</v>
      </c>
    </row>
    <row r="70" spans="1:2" x14ac:dyDescent="0.25">
      <c r="A70" s="7" t="s">
        <v>1199</v>
      </c>
      <c r="B70" s="11">
        <v>0.22900000000000001</v>
      </c>
    </row>
    <row r="71" spans="1:2" x14ac:dyDescent="0.25">
      <c r="A71" s="7" t="s">
        <v>1338</v>
      </c>
      <c r="B71" s="11">
        <v>0.10299999999999999</v>
      </c>
    </row>
    <row r="72" spans="1:2" x14ac:dyDescent="0.25">
      <c r="A72" s="7" t="s">
        <v>1094</v>
      </c>
      <c r="B72" s="11">
        <v>0.11</v>
      </c>
    </row>
    <row r="73" spans="1:2" x14ac:dyDescent="0.25">
      <c r="A73" s="7" t="s">
        <v>1326</v>
      </c>
      <c r="B73" s="11">
        <v>0.08</v>
      </c>
    </row>
    <row r="74" spans="1:2" x14ac:dyDescent="0.25">
      <c r="A74" s="7" t="s">
        <v>744</v>
      </c>
      <c r="B74" s="11">
        <v>6.0000000000000001E-3</v>
      </c>
    </row>
    <row r="75" spans="1:2" x14ac:dyDescent="0.25">
      <c r="A75" s="7" t="s">
        <v>1011</v>
      </c>
      <c r="B75" s="11">
        <v>0.151</v>
      </c>
    </row>
    <row r="76" spans="1:2" x14ac:dyDescent="0.25">
      <c r="A76" s="7" t="s">
        <v>752</v>
      </c>
      <c r="B76" s="11">
        <v>0.109</v>
      </c>
    </row>
    <row r="77" spans="1:2" x14ac:dyDescent="0.25">
      <c r="A77" s="7" t="s">
        <v>1072</v>
      </c>
      <c r="B77" s="11">
        <v>0.24</v>
      </c>
    </row>
    <row r="78" spans="1:2" x14ac:dyDescent="0.25">
      <c r="A78" s="7" t="s">
        <v>1275</v>
      </c>
      <c r="B78" s="11">
        <v>5.8999999999999997E-2</v>
      </c>
    </row>
    <row r="79" spans="1:2" x14ac:dyDescent="0.25">
      <c r="A79" s="7" t="s">
        <v>1026</v>
      </c>
      <c r="B79" s="11">
        <v>0.20699999999999999</v>
      </c>
    </row>
    <row r="80" spans="1:2" x14ac:dyDescent="0.25">
      <c r="A80" s="7" t="s">
        <v>1188</v>
      </c>
      <c r="B80" s="11">
        <v>0.111</v>
      </c>
    </row>
    <row r="81" spans="1:2" x14ac:dyDescent="0.25">
      <c r="A81" s="7" t="s">
        <v>759</v>
      </c>
      <c r="B81" s="11">
        <v>0.16800000000000001</v>
      </c>
    </row>
    <row r="82" spans="1:2" x14ac:dyDescent="0.25">
      <c r="A82" s="7" t="s">
        <v>943</v>
      </c>
      <c r="B82" s="11">
        <v>0.13600000000000001</v>
      </c>
    </row>
    <row r="83" spans="1:2" x14ac:dyDescent="0.25">
      <c r="A83" s="7" t="s">
        <v>827</v>
      </c>
      <c r="B83" s="11">
        <v>9.9000000000000005E-2</v>
      </c>
    </row>
    <row r="84" spans="1:2" x14ac:dyDescent="0.25">
      <c r="A84" s="7" t="s">
        <v>800</v>
      </c>
      <c r="B84" s="11">
        <v>0.189</v>
      </c>
    </row>
    <row r="85" spans="1:2" x14ac:dyDescent="0.25">
      <c r="A85" s="7" t="s">
        <v>811</v>
      </c>
      <c r="B85" s="11">
        <v>7.1999999999999995E-2</v>
      </c>
    </row>
    <row r="86" spans="1:2" x14ac:dyDescent="0.25">
      <c r="A86" s="7" t="s">
        <v>1288</v>
      </c>
      <c r="B86" s="11">
        <v>0</v>
      </c>
    </row>
    <row r="87" spans="1:2" x14ac:dyDescent="0.25">
      <c r="A87" s="7" t="s">
        <v>1270</v>
      </c>
      <c r="B87" s="11">
        <v>4.3999999999999997E-2</v>
      </c>
    </row>
    <row r="88" spans="1:2" x14ac:dyDescent="0.25">
      <c r="A88" s="7" t="s">
        <v>1040</v>
      </c>
      <c r="B88" s="11">
        <v>0.1</v>
      </c>
    </row>
    <row r="89" spans="1:2" x14ac:dyDescent="0.25">
      <c r="A89" s="7" t="s">
        <v>916</v>
      </c>
      <c r="B89" s="11">
        <v>0.19600000000000001</v>
      </c>
    </row>
    <row r="90" spans="1:2" x14ac:dyDescent="0.25">
      <c r="A90" s="7" t="s">
        <v>1142</v>
      </c>
      <c r="B90" s="11">
        <v>0</v>
      </c>
    </row>
    <row r="91" spans="1:2" x14ac:dyDescent="0.25">
      <c r="A91" s="7" t="s">
        <v>843</v>
      </c>
      <c r="B91" s="11">
        <v>0.22900000000000001</v>
      </c>
    </row>
    <row r="92" spans="1:2" x14ac:dyDescent="0.25">
      <c r="A92" s="7" t="s">
        <v>1435</v>
      </c>
      <c r="B92" s="11">
        <v>0.11968181818181813</v>
      </c>
    </row>
    <row r="602" spans="7:8" x14ac:dyDescent="0.25">
      <c r="G602" t="s">
        <v>1434</v>
      </c>
      <c r="H602" t="s">
        <v>1535</v>
      </c>
    </row>
    <row r="603" spans="7:8" x14ac:dyDescent="0.25">
      <c r="G603" t="s">
        <v>873</v>
      </c>
      <c r="H603">
        <v>0.25900000000000001</v>
      </c>
    </row>
    <row r="604" spans="7:8" x14ac:dyDescent="0.25">
      <c r="G604" t="s">
        <v>1355</v>
      </c>
      <c r="H604">
        <v>0.113</v>
      </c>
    </row>
    <row r="605" spans="7:8" x14ac:dyDescent="0.25">
      <c r="G605" t="s">
        <v>1067</v>
      </c>
      <c r="H605">
        <v>2.8000000000000001E-2</v>
      </c>
    </row>
    <row r="606" spans="7:8" x14ac:dyDescent="0.25">
      <c r="G606" t="s">
        <v>1149</v>
      </c>
      <c r="H606">
        <v>0.245</v>
      </c>
    </row>
    <row r="607" spans="7:8" x14ac:dyDescent="0.25">
      <c r="G607" t="s">
        <v>1074</v>
      </c>
      <c r="H607">
        <v>0.56499999999999995</v>
      </c>
    </row>
    <row r="608" spans="7:8" x14ac:dyDescent="0.25">
      <c r="G608" t="s">
        <v>1128</v>
      </c>
      <c r="H608">
        <v>9.8000000000000004E-2</v>
      </c>
    </row>
    <row r="609" spans="7:8" x14ac:dyDescent="0.25">
      <c r="G609" t="s">
        <v>1175</v>
      </c>
      <c r="H609">
        <v>0.157</v>
      </c>
    </row>
    <row r="610" spans="7:8" x14ac:dyDescent="0.25">
      <c r="G610" t="s">
        <v>1027</v>
      </c>
      <c r="H610">
        <v>5.8999999999999997E-2</v>
      </c>
    </row>
    <row r="611" spans="7:8" x14ac:dyDescent="0.25">
      <c r="G611" t="s">
        <v>1225</v>
      </c>
      <c r="H611">
        <v>8.3000000000000004E-2</v>
      </c>
    </row>
    <row r="612" spans="7:8" x14ac:dyDescent="0.25">
      <c r="G612" t="s">
        <v>1321</v>
      </c>
      <c r="H612">
        <v>8.7999999999999995E-2</v>
      </c>
    </row>
    <row r="613" spans="7:8" x14ac:dyDescent="0.25">
      <c r="G613" t="s">
        <v>941</v>
      </c>
      <c r="H613">
        <v>0.14799999999999999</v>
      </c>
    </row>
    <row r="614" spans="7:8" x14ac:dyDescent="0.25">
      <c r="G614" t="s">
        <v>748</v>
      </c>
      <c r="H614">
        <v>0</v>
      </c>
    </row>
    <row r="615" spans="7:8" x14ac:dyDescent="0.25">
      <c r="G615" t="s">
        <v>1212</v>
      </c>
      <c r="H615">
        <v>0.02</v>
      </c>
    </row>
    <row r="616" spans="7:8" x14ac:dyDescent="0.25">
      <c r="G616" t="s">
        <v>792</v>
      </c>
      <c r="H616">
        <v>7.4999999999999997E-2</v>
      </c>
    </row>
    <row r="617" spans="7:8" x14ac:dyDescent="0.25">
      <c r="G617" t="s">
        <v>995</v>
      </c>
      <c r="H617">
        <v>4.0000000000000001E-3</v>
      </c>
    </row>
    <row r="618" spans="7:8" x14ac:dyDescent="0.25">
      <c r="G618" t="s">
        <v>793</v>
      </c>
      <c r="H618">
        <v>0.20499999999999999</v>
      </c>
    </row>
    <row r="619" spans="7:8" x14ac:dyDescent="0.25">
      <c r="G619" t="s">
        <v>1059</v>
      </c>
      <c r="H619">
        <v>0.121</v>
      </c>
    </row>
    <row r="620" spans="7:8" x14ac:dyDescent="0.25">
      <c r="G620" t="s">
        <v>837</v>
      </c>
      <c r="H620">
        <v>0.18</v>
      </c>
    </row>
    <row r="621" spans="7:8" x14ac:dyDescent="0.25">
      <c r="G621" t="s">
        <v>904</v>
      </c>
      <c r="H621">
        <v>0.254</v>
      </c>
    </row>
    <row r="622" spans="7:8" x14ac:dyDescent="0.25">
      <c r="G622" t="s">
        <v>804</v>
      </c>
      <c r="H622">
        <v>6.8000000000000005E-2</v>
      </c>
    </row>
    <row r="623" spans="7:8" x14ac:dyDescent="0.25">
      <c r="G623" t="s">
        <v>1231</v>
      </c>
      <c r="H623">
        <v>5.7000000000000002E-2</v>
      </c>
    </row>
    <row r="624" spans="7:8" x14ac:dyDescent="0.25">
      <c r="G624" t="s">
        <v>1150</v>
      </c>
      <c r="H624">
        <v>0.09</v>
      </c>
    </row>
    <row r="625" spans="7:8" x14ac:dyDescent="0.25">
      <c r="G625" t="s">
        <v>1046</v>
      </c>
      <c r="H625">
        <v>8.7999999999999995E-2</v>
      </c>
    </row>
    <row r="626" spans="7:8" x14ac:dyDescent="0.25">
      <c r="G626" t="s">
        <v>1053</v>
      </c>
      <c r="H626">
        <v>0.151</v>
      </c>
    </row>
    <row r="627" spans="7:8" x14ac:dyDescent="0.25">
      <c r="G627" t="s">
        <v>1223</v>
      </c>
      <c r="H627">
        <v>0</v>
      </c>
    </row>
    <row r="628" spans="7:8" x14ac:dyDescent="0.25">
      <c r="G628" t="s">
        <v>1066</v>
      </c>
      <c r="H628">
        <v>0.27</v>
      </c>
    </row>
    <row r="629" spans="7:8" x14ac:dyDescent="0.25">
      <c r="G629" t="s">
        <v>1089</v>
      </c>
      <c r="H629">
        <v>0.16700000000000001</v>
      </c>
    </row>
    <row r="630" spans="7:8" x14ac:dyDescent="0.25">
      <c r="G630" t="s">
        <v>1250</v>
      </c>
      <c r="H630">
        <v>0.107</v>
      </c>
    </row>
    <row r="631" spans="7:8" x14ac:dyDescent="0.25">
      <c r="G631" t="s">
        <v>919</v>
      </c>
      <c r="H631">
        <v>2.5000000000000001E-2</v>
      </c>
    </row>
    <row r="632" spans="7:8" x14ac:dyDescent="0.25">
      <c r="G632" t="s">
        <v>1279</v>
      </c>
      <c r="H632">
        <v>0.20799999999999999</v>
      </c>
    </row>
    <row r="633" spans="7:8" x14ac:dyDescent="0.25">
      <c r="G633" t="s">
        <v>955</v>
      </c>
      <c r="H633">
        <v>0.20399999999999999</v>
      </c>
    </row>
    <row r="634" spans="7:8" x14ac:dyDescent="0.25">
      <c r="G634" t="s">
        <v>993</v>
      </c>
      <c r="H634">
        <v>0.14000000000000001</v>
      </c>
    </row>
    <row r="635" spans="7:8" x14ac:dyDescent="0.25">
      <c r="G635" t="s">
        <v>1184</v>
      </c>
      <c r="H635">
        <v>6.6000000000000003E-2</v>
      </c>
    </row>
    <row r="636" spans="7:8" x14ac:dyDescent="0.25">
      <c r="G636" t="s">
        <v>1255</v>
      </c>
      <c r="H636">
        <v>0</v>
      </c>
    </row>
    <row r="637" spans="7:8" x14ac:dyDescent="0.25">
      <c r="G637" t="s">
        <v>1310</v>
      </c>
      <c r="H637">
        <v>0.13500000000000001</v>
      </c>
    </row>
    <row r="638" spans="7:8" x14ac:dyDescent="0.25">
      <c r="G638" t="s">
        <v>1004</v>
      </c>
      <c r="H638">
        <v>0.13400000000000001</v>
      </c>
    </row>
    <row r="639" spans="7:8" x14ac:dyDescent="0.25">
      <c r="G639" t="s">
        <v>756</v>
      </c>
      <c r="H639">
        <v>0.12</v>
      </c>
    </row>
    <row r="640" spans="7:8" x14ac:dyDescent="0.25">
      <c r="G640" t="s">
        <v>892</v>
      </c>
      <c r="H640">
        <v>0.127</v>
      </c>
    </row>
    <row r="641" spans="7:8" x14ac:dyDescent="0.25">
      <c r="G641" t="s">
        <v>865</v>
      </c>
      <c r="H641">
        <v>0.14199999999999999</v>
      </c>
    </row>
    <row r="642" spans="7:8" x14ac:dyDescent="0.25">
      <c r="G642" t="s">
        <v>888</v>
      </c>
      <c r="H642">
        <v>0.184</v>
      </c>
    </row>
    <row r="643" spans="7:8" x14ac:dyDescent="0.25">
      <c r="G643" t="s">
        <v>1024</v>
      </c>
      <c r="H643">
        <v>0.14599999999999999</v>
      </c>
    </row>
    <row r="644" spans="7:8" x14ac:dyDescent="0.25">
      <c r="G644" t="s">
        <v>810</v>
      </c>
      <c r="H644">
        <v>0.13400000000000001</v>
      </c>
    </row>
    <row r="645" spans="7:8" x14ac:dyDescent="0.25">
      <c r="G645" t="s">
        <v>847</v>
      </c>
      <c r="H645">
        <v>0.11899999999999999</v>
      </c>
    </row>
    <row r="646" spans="7:8" x14ac:dyDescent="0.25">
      <c r="G646" t="s">
        <v>1303</v>
      </c>
      <c r="H646">
        <v>8.2000000000000003E-2</v>
      </c>
    </row>
    <row r="647" spans="7:8" x14ac:dyDescent="0.25">
      <c r="G647" t="s">
        <v>921</v>
      </c>
      <c r="H647">
        <v>0.23300000000000001</v>
      </c>
    </row>
    <row r="648" spans="7:8" x14ac:dyDescent="0.25">
      <c r="G648" t="s">
        <v>1352</v>
      </c>
      <c r="H648">
        <v>0.16500000000000001</v>
      </c>
    </row>
    <row r="649" spans="7:8" x14ac:dyDescent="0.25">
      <c r="G649" t="s">
        <v>1322</v>
      </c>
      <c r="H649">
        <v>0</v>
      </c>
    </row>
    <row r="650" spans="7:8" x14ac:dyDescent="0.25">
      <c r="G650" t="s">
        <v>961</v>
      </c>
      <c r="H650">
        <v>6.7000000000000004E-2</v>
      </c>
    </row>
    <row r="651" spans="7:8" x14ac:dyDescent="0.25">
      <c r="G651" t="s">
        <v>1286</v>
      </c>
      <c r="H651">
        <v>8.6999999999999994E-2</v>
      </c>
    </row>
    <row r="652" spans="7:8" x14ac:dyDescent="0.25">
      <c r="G652" t="s">
        <v>1285</v>
      </c>
      <c r="H652">
        <v>4.2000000000000003E-2</v>
      </c>
    </row>
    <row r="653" spans="7:8" x14ac:dyDescent="0.25">
      <c r="G653" t="s">
        <v>831</v>
      </c>
      <c r="H653">
        <v>0</v>
      </c>
    </row>
    <row r="654" spans="7:8" x14ac:dyDescent="0.25">
      <c r="G654" t="s">
        <v>1194</v>
      </c>
      <c r="H654">
        <v>0.129</v>
      </c>
    </row>
    <row r="655" spans="7:8" x14ac:dyDescent="0.25">
      <c r="G655" t="s">
        <v>948</v>
      </c>
      <c r="H655">
        <v>0.157</v>
      </c>
    </row>
    <row r="656" spans="7:8" x14ac:dyDescent="0.25">
      <c r="G656" t="s">
        <v>1086</v>
      </c>
      <c r="H656">
        <v>3.9E-2</v>
      </c>
    </row>
    <row r="657" spans="7:8" x14ac:dyDescent="0.25">
      <c r="G657" t="s">
        <v>1033</v>
      </c>
      <c r="H657">
        <v>0</v>
      </c>
    </row>
    <row r="658" spans="7:8" x14ac:dyDescent="0.25">
      <c r="G658" t="s">
        <v>791</v>
      </c>
      <c r="H658">
        <v>0.14699999999999999</v>
      </c>
    </row>
    <row r="659" spans="7:8" x14ac:dyDescent="0.25">
      <c r="G659" t="s">
        <v>1022</v>
      </c>
      <c r="H659">
        <v>6.6000000000000003E-2</v>
      </c>
    </row>
    <row r="660" spans="7:8" x14ac:dyDescent="0.25">
      <c r="G660" t="s">
        <v>784</v>
      </c>
      <c r="H660">
        <v>0.29199999999999998</v>
      </c>
    </row>
    <row r="661" spans="7:8" x14ac:dyDescent="0.25">
      <c r="G661" t="s">
        <v>881</v>
      </c>
      <c r="H661">
        <v>0</v>
      </c>
    </row>
    <row r="662" spans="7:8" x14ac:dyDescent="0.25">
      <c r="G662" t="s">
        <v>1171</v>
      </c>
      <c r="H662">
        <v>0.17399999999999999</v>
      </c>
    </row>
    <row r="663" spans="7:8" x14ac:dyDescent="0.25">
      <c r="G663" t="s">
        <v>1080</v>
      </c>
      <c r="H663">
        <v>0.10299999999999999</v>
      </c>
    </row>
    <row r="664" spans="7:8" x14ac:dyDescent="0.25">
      <c r="G664" t="s">
        <v>914</v>
      </c>
      <c r="H664">
        <v>0.21199999999999999</v>
      </c>
    </row>
    <row r="665" spans="7:8" x14ac:dyDescent="0.25">
      <c r="G665" t="s">
        <v>1092</v>
      </c>
      <c r="H665">
        <v>0</v>
      </c>
    </row>
    <row r="666" spans="7:8" x14ac:dyDescent="0.25">
      <c r="G666" t="s">
        <v>876</v>
      </c>
      <c r="H666">
        <v>0.151</v>
      </c>
    </row>
    <row r="667" spans="7:8" x14ac:dyDescent="0.25">
      <c r="G667" t="s">
        <v>1227</v>
      </c>
      <c r="H667">
        <v>4.2000000000000003E-2</v>
      </c>
    </row>
    <row r="668" spans="7:8" x14ac:dyDescent="0.25">
      <c r="G668" t="s">
        <v>1291</v>
      </c>
      <c r="H668">
        <v>0.122</v>
      </c>
    </row>
    <row r="669" spans="7:8" x14ac:dyDescent="0.25">
      <c r="G669" t="s">
        <v>1199</v>
      </c>
      <c r="H669">
        <v>0.22900000000000001</v>
      </c>
    </row>
    <row r="670" spans="7:8" x14ac:dyDescent="0.25">
      <c r="G670" t="s">
        <v>1338</v>
      </c>
      <c r="H670">
        <v>0.10299999999999999</v>
      </c>
    </row>
    <row r="671" spans="7:8" x14ac:dyDescent="0.25">
      <c r="G671" t="s">
        <v>1094</v>
      </c>
      <c r="H671">
        <v>0.11</v>
      </c>
    </row>
    <row r="672" spans="7:8" x14ac:dyDescent="0.25">
      <c r="G672" t="s">
        <v>1326</v>
      </c>
      <c r="H672">
        <v>0.08</v>
      </c>
    </row>
    <row r="673" spans="7:8" x14ac:dyDescent="0.25">
      <c r="G673" t="s">
        <v>744</v>
      </c>
      <c r="H673">
        <v>6.0000000000000001E-3</v>
      </c>
    </row>
    <row r="674" spans="7:8" x14ac:dyDescent="0.25">
      <c r="G674" t="s">
        <v>1011</v>
      </c>
      <c r="H674">
        <v>0.151</v>
      </c>
    </row>
    <row r="675" spans="7:8" x14ac:dyDescent="0.25">
      <c r="G675" t="s">
        <v>752</v>
      </c>
      <c r="H675">
        <v>0.109</v>
      </c>
    </row>
    <row r="676" spans="7:8" x14ac:dyDescent="0.25">
      <c r="G676" t="s">
        <v>1072</v>
      </c>
      <c r="H676">
        <v>0.24</v>
      </c>
    </row>
    <row r="677" spans="7:8" x14ac:dyDescent="0.25">
      <c r="G677" t="s">
        <v>1275</v>
      </c>
      <c r="H677">
        <v>5.8999999999999997E-2</v>
      </c>
    </row>
    <row r="678" spans="7:8" x14ac:dyDescent="0.25">
      <c r="G678" t="s">
        <v>1026</v>
      </c>
      <c r="H678">
        <v>0.20699999999999999</v>
      </c>
    </row>
    <row r="679" spans="7:8" x14ac:dyDescent="0.25">
      <c r="G679" t="s">
        <v>1188</v>
      </c>
      <c r="H679">
        <v>0.111</v>
      </c>
    </row>
    <row r="680" spans="7:8" x14ac:dyDescent="0.25">
      <c r="G680" t="s">
        <v>759</v>
      </c>
      <c r="H680">
        <v>0.16800000000000001</v>
      </c>
    </row>
    <row r="681" spans="7:8" x14ac:dyDescent="0.25">
      <c r="G681" t="s">
        <v>943</v>
      </c>
      <c r="H681">
        <v>0.13600000000000001</v>
      </c>
    </row>
    <row r="682" spans="7:8" x14ac:dyDescent="0.25">
      <c r="G682" t="s">
        <v>827</v>
      </c>
      <c r="H682">
        <v>9.9000000000000005E-2</v>
      </c>
    </row>
    <row r="683" spans="7:8" x14ac:dyDescent="0.25">
      <c r="G683" t="s">
        <v>800</v>
      </c>
      <c r="H683">
        <v>0.189</v>
      </c>
    </row>
    <row r="684" spans="7:8" x14ac:dyDescent="0.25">
      <c r="G684" t="s">
        <v>811</v>
      </c>
      <c r="H684">
        <v>7.1999999999999995E-2</v>
      </c>
    </row>
    <row r="685" spans="7:8" x14ac:dyDescent="0.25">
      <c r="G685" t="s">
        <v>1288</v>
      </c>
      <c r="H685">
        <v>0</v>
      </c>
    </row>
    <row r="686" spans="7:8" x14ac:dyDescent="0.25">
      <c r="G686" t="s">
        <v>1270</v>
      </c>
      <c r="H686">
        <v>4.3999999999999997E-2</v>
      </c>
    </row>
    <row r="687" spans="7:8" x14ac:dyDescent="0.25">
      <c r="G687" t="s">
        <v>1040</v>
      </c>
      <c r="H687">
        <v>0.1</v>
      </c>
    </row>
    <row r="688" spans="7:8" x14ac:dyDescent="0.25">
      <c r="G688" t="s">
        <v>916</v>
      </c>
      <c r="H688">
        <v>0.19600000000000001</v>
      </c>
    </row>
    <row r="689" spans="7:8" x14ac:dyDescent="0.25">
      <c r="G689" t="s">
        <v>1142</v>
      </c>
      <c r="H689">
        <v>0</v>
      </c>
    </row>
    <row r="690" spans="7:8" x14ac:dyDescent="0.25">
      <c r="G690" t="s">
        <v>843</v>
      </c>
      <c r="H690">
        <v>0.22900000000000001</v>
      </c>
    </row>
    <row r="691" spans="7:8" x14ac:dyDescent="0.25">
      <c r="G691" t="s">
        <v>809</v>
      </c>
      <c r="H691">
        <v>0.114</v>
      </c>
    </row>
    <row r="692" spans="7:8" x14ac:dyDescent="0.25">
      <c r="G692" t="s">
        <v>903</v>
      </c>
      <c r="H692">
        <v>0.13900000000000001</v>
      </c>
    </row>
    <row r="693" spans="7:8" x14ac:dyDescent="0.25">
      <c r="G693" t="s">
        <v>1247</v>
      </c>
      <c r="H693">
        <v>0</v>
      </c>
    </row>
    <row r="694" spans="7:8" x14ac:dyDescent="0.25">
      <c r="G694" t="s">
        <v>1205</v>
      </c>
      <c r="H694">
        <v>7.3999999999999996E-2</v>
      </c>
    </row>
    <row r="695" spans="7:8" x14ac:dyDescent="0.25">
      <c r="G695" t="s">
        <v>1313</v>
      </c>
      <c r="H695">
        <v>0.01</v>
      </c>
    </row>
    <row r="696" spans="7:8" x14ac:dyDescent="0.25">
      <c r="G696" t="s">
        <v>1341</v>
      </c>
      <c r="H696">
        <v>0.12</v>
      </c>
    </row>
    <row r="697" spans="7:8" x14ac:dyDescent="0.25">
      <c r="G697" t="s">
        <v>1358</v>
      </c>
      <c r="H697">
        <v>0.159</v>
      </c>
    </row>
    <row r="698" spans="7:8" x14ac:dyDescent="0.25">
      <c r="G698" t="s">
        <v>768</v>
      </c>
      <c r="H698">
        <v>0</v>
      </c>
    </row>
    <row r="699" spans="7:8" x14ac:dyDescent="0.25">
      <c r="G699" t="s">
        <v>906</v>
      </c>
      <c r="H699">
        <v>4.7E-2</v>
      </c>
    </row>
    <row r="700" spans="7:8" x14ac:dyDescent="0.25">
      <c r="G700" t="s">
        <v>1361</v>
      </c>
      <c r="H700">
        <v>6.2E-2</v>
      </c>
    </row>
    <row r="701" spans="7:8" x14ac:dyDescent="0.25">
      <c r="G701" t="s">
        <v>1135</v>
      </c>
      <c r="H701">
        <v>0.106</v>
      </c>
    </row>
    <row r="702" spans="7:8" x14ac:dyDescent="0.25">
      <c r="G702" t="s">
        <v>860</v>
      </c>
      <c r="H702">
        <v>7.2999999999999995E-2</v>
      </c>
    </row>
    <row r="703" spans="7:8" x14ac:dyDescent="0.25">
      <c r="G703" t="s">
        <v>1125</v>
      </c>
      <c r="H703">
        <v>0.35699999999999998</v>
      </c>
    </row>
    <row r="704" spans="7:8" x14ac:dyDescent="0.25">
      <c r="G704" t="s">
        <v>858</v>
      </c>
      <c r="H704">
        <v>8.8999999999999996E-2</v>
      </c>
    </row>
    <row r="705" spans="7:8" x14ac:dyDescent="0.25">
      <c r="G705" t="s">
        <v>1218</v>
      </c>
      <c r="H705">
        <v>9.1999999999999998E-2</v>
      </c>
    </row>
    <row r="706" spans="7:8" x14ac:dyDescent="0.25">
      <c r="G706" t="s">
        <v>1257</v>
      </c>
      <c r="H706">
        <v>0.17</v>
      </c>
    </row>
    <row r="707" spans="7:8" x14ac:dyDescent="0.25">
      <c r="G707" t="s">
        <v>1111</v>
      </c>
      <c r="H707">
        <v>0.13900000000000001</v>
      </c>
    </row>
    <row r="708" spans="7:8" x14ac:dyDescent="0.25">
      <c r="G708" t="s">
        <v>758</v>
      </c>
      <c r="H708">
        <v>7.0000000000000001E-3</v>
      </c>
    </row>
    <row r="709" spans="7:8" x14ac:dyDescent="0.25">
      <c r="G709" t="s">
        <v>821</v>
      </c>
      <c r="H709">
        <v>0.188</v>
      </c>
    </row>
    <row r="710" spans="7:8" x14ac:dyDescent="0.25">
      <c r="G710" t="s">
        <v>816</v>
      </c>
      <c r="H710">
        <v>8.4000000000000005E-2</v>
      </c>
    </row>
    <row r="711" spans="7:8" x14ac:dyDescent="0.25">
      <c r="G711" t="s">
        <v>1058</v>
      </c>
      <c r="H711">
        <v>5.0999999999999997E-2</v>
      </c>
    </row>
    <row r="712" spans="7:8" x14ac:dyDescent="0.25">
      <c r="G712" t="s">
        <v>1244</v>
      </c>
      <c r="H712">
        <v>0.11899999999999999</v>
      </c>
    </row>
    <row r="713" spans="7:8" x14ac:dyDescent="0.25">
      <c r="G713" t="s">
        <v>1101</v>
      </c>
      <c r="H713">
        <v>0.105</v>
      </c>
    </row>
    <row r="714" spans="7:8" x14ac:dyDescent="0.25">
      <c r="G714" t="s">
        <v>1192</v>
      </c>
      <c r="H714">
        <v>0</v>
      </c>
    </row>
    <row r="715" spans="7:8" x14ac:dyDescent="0.25">
      <c r="G715" t="s">
        <v>746</v>
      </c>
      <c r="H715">
        <v>9.4E-2</v>
      </c>
    </row>
    <row r="716" spans="7:8" x14ac:dyDescent="0.25">
      <c r="G716" t="s">
        <v>870</v>
      </c>
      <c r="H716">
        <v>8.9999999999999993E-3</v>
      </c>
    </row>
    <row r="717" spans="7:8" x14ac:dyDescent="0.25">
      <c r="G717" t="s">
        <v>743</v>
      </c>
      <c r="H717">
        <v>0.14899999999999999</v>
      </c>
    </row>
    <row r="718" spans="7:8" x14ac:dyDescent="0.25">
      <c r="G718" t="s">
        <v>1028</v>
      </c>
      <c r="H718">
        <v>0.08</v>
      </c>
    </row>
    <row r="719" spans="7:8" x14ac:dyDescent="0.25">
      <c r="G719" t="s">
        <v>891</v>
      </c>
      <c r="H719">
        <v>2.5000000000000001E-2</v>
      </c>
    </row>
    <row r="720" spans="7:8" x14ac:dyDescent="0.25">
      <c r="G720" t="s">
        <v>1198</v>
      </c>
      <c r="H720">
        <v>0.21099999999999999</v>
      </c>
    </row>
    <row r="721" spans="7:8" x14ac:dyDescent="0.25">
      <c r="G721" t="s">
        <v>944</v>
      </c>
      <c r="H721">
        <v>0.152</v>
      </c>
    </row>
    <row r="722" spans="7:8" x14ac:dyDescent="0.25">
      <c r="G722" t="s">
        <v>1049</v>
      </c>
      <c r="H722">
        <v>0.09</v>
      </c>
    </row>
    <row r="723" spans="7:8" x14ac:dyDescent="0.25">
      <c r="G723" t="s">
        <v>1201</v>
      </c>
      <c r="H723">
        <v>0.23</v>
      </c>
    </row>
    <row r="724" spans="7:8" x14ac:dyDescent="0.25">
      <c r="G724" t="s">
        <v>819</v>
      </c>
      <c r="H724">
        <v>7.0000000000000007E-2</v>
      </c>
    </row>
    <row r="725" spans="7:8" x14ac:dyDescent="0.25">
      <c r="G725" t="s">
        <v>895</v>
      </c>
      <c r="H725">
        <v>7.1999999999999995E-2</v>
      </c>
    </row>
    <row r="726" spans="7:8" x14ac:dyDescent="0.25">
      <c r="G726" t="s">
        <v>994</v>
      </c>
      <c r="H726">
        <v>7.8E-2</v>
      </c>
    </row>
    <row r="727" spans="7:8" x14ac:dyDescent="0.25">
      <c r="G727" t="s">
        <v>1082</v>
      </c>
      <c r="H727">
        <v>0.14399999999999999</v>
      </c>
    </row>
    <row r="728" spans="7:8" x14ac:dyDescent="0.25">
      <c r="G728" t="s">
        <v>990</v>
      </c>
      <c r="H728">
        <v>0.17299999999999999</v>
      </c>
    </row>
    <row r="729" spans="7:8" x14ac:dyDescent="0.25">
      <c r="G729" t="s">
        <v>1307</v>
      </c>
      <c r="H729">
        <v>0.121</v>
      </c>
    </row>
    <row r="730" spans="7:8" x14ac:dyDescent="0.25">
      <c r="G730" t="s">
        <v>954</v>
      </c>
      <c r="H730">
        <v>5.5E-2</v>
      </c>
    </row>
    <row r="731" spans="7:8" x14ac:dyDescent="0.25">
      <c r="G731" t="s">
        <v>1351</v>
      </c>
      <c r="H731">
        <v>4.7E-2</v>
      </c>
    </row>
    <row r="732" spans="7:8" x14ac:dyDescent="0.25">
      <c r="G732" t="s">
        <v>1328</v>
      </c>
      <c r="H732">
        <v>4.2999999999999997E-2</v>
      </c>
    </row>
    <row r="733" spans="7:8" x14ac:dyDescent="0.25">
      <c r="G733" t="s">
        <v>1060</v>
      </c>
      <c r="H733">
        <v>4.2000000000000003E-2</v>
      </c>
    </row>
    <row r="734" spans="7:8" x14ac:dyDescent="0.25">
      <c r="G734" t="s">
        <v>808</v>
      </c>
      <c r="H734">
        <v>0.34300000000000003</v>
      </c>
    </row>
    <row r="735" spans="7:8" x14ac:dyDescent="0.25">
      <c r="G735" t="s">
        <v>905</v>
      </c>
      <c r="H735">
        <v>0.13400000000000001</v>
      </c>
    </row>
    <row r="736" spans="7:8" x14ac:dyDescent="0.25">
      <c r="G736" t="s">
        <v>1323</v>
      </c>
      <c r="H736">
        <v>0.17399999999999999</v>
      </c>
    </row>
    <row r="737" spans="7:8" x14ac:dyDescent="0.25">
      <c r="G737" t="s">
        <v>1224</v>
      </c>
      <c r="H737">
        <v>0</v>
      </c>
    </row>
    <row r="738" spans="7:8" x14ac:dyDescent="0.25">
      <c r="G738" t="s">
        <v>1252</v>
      </c>
      <c r="H738">
        <v>4.9000000000000002E-2</v>
      </c>
    </row>
    <row r="739" spans="7:8" x14ac:dyDescent="0.25">
      <c r="G739" t="s">
        <v>1197</v>
      </c>
      <c r="H739">
        <v>0.25700000000000001</v>
      </c>
    </row>
    <row r="740" spans="7:8" x14ac:dyDescent="0.25">
      <c r="G740" t="s">
        <v>812</v>
      </c>
      <c r="H740">
        <v>0.21000000000000002</v>
      </c>
    </row>
    <row r="741" spans="7:8" x14ac:dyDescent="0.25">
      <c r="G741" t="s">
        <v>1253</v>
      </c>
      <c r="H741">
        <v>0.18</v>
      </c>
    </row>
    <row r="742" spans="7:8" x14ac:dyDescent="0.25">
      <c r="G742" t="s">
        <v>1298</v>
      </c>
      <c r="H742">
        <v>0.126</v>
      </c>
    </row>
    <row r="743" spans="7:8" x14ac:dyDescent="0.25">
      <c r="G743" t="s">
        <v>778</v>
      </c>
      <c r="H743">
        <v>0.182</v>
      </c>
    </row>
    <row r="744" spans="7:8" x14ac:dyDescent="0.25">
      <c r="G744" t="s">
        <v>861</v>
      </c>
      <c r="H744">
        <v>0.17899999999999999</v>
      </c>
    </row>
    <row r="745" spans="7:8" x14ac:dyDescent="0.25">
      <c r="G745" t="s">
        <v>859</v>
      </c>
      <c r="H745">
        <v>8.4000000000000005E-2</v>
      </c>
    </row>
    <row r="746" spans="7:8" x14ac:dyDescent="0.25">
      <c r="G746" t="s">
        <v>844</v>
      </c>
      <c r="H746">
        <v>0</v>
      </c>
    </row>
    <row r="747" spans="7:8" x14ac:dyDescent="0.25">
      <c r="G747" t="s">
        <v>1302</v>
      </c>
      <c r="H747">
        <v>2.9000000000000001E-2</v>
      </c>
    </row>
    <row r="748" spans="7:8" x14ac:dyDescent="0.25">
      <c r="G748" t="s">
        <v>1238</v>
      </c>
      <c r="H748">
        <v>0.123</v>
      </c>
    </row>
    <row r="749" spans="7:8" x14ac:dyDescent="0.25">
      <c r="G749" t="s">
        <v>1193</v>
      </c>
      <c r="H749">
        <v>0.107</v>
      </c>
    </row>
    <row r="750" spans="7:8" x14ac:dyDescent="0.25">
      <c r="G750" t="s">
        <v>1185</v>
      </c>
      <c r="H750">
        <v>7.0999999999999994E-2</v>
      </c>
    </row>
    <row r="751" spans="7:8" x14ac:dyDescent="0.25">
      <c r="G751" t="s">
        <v>1131</v>
      </c>
      <c r="H751">
        <v>8.3000000000000004E-2</v>
      </c>
    </row>
    <row r="752" spans="7:8" x14ac:dyDescent="0.25">
      <c r="G752" t="s">
        <v>764</v>
      </c>
      <c r="H752">
        <v>8.6999999999999994E-2</v>
      </c>
    </row>
    <row r="753" spans="7:8" x14ac:dyDescent="0.25">
      <c r="G753" t="s">
        <v>964</v>
      </c>
      <c r="H753">
        <v>0.14799999999999999</v>
      </c>
    </row>
    <row r="754" spans="7:8" x14ac:dyDescent="0.25">
      <c r="G754" t="s">
        <v>795</v>
      </c>
      <c r="H754">
        <v>0.11</v>
      </c>
    </row>
    <row r="755" spans="7:8" x14ac:dyDescent="0.25">
      <c r="G755" t="s">
        <v>1099</v>
      </c>
      <c r="H755">
        <v>8.9999999999999993E-3</v>
      </c>
    </row>
    <row r="756" spans="7:8" x14ac:dyDescent="0.25">
      <c r="G756" t="s">
        <v>956</v>
      </c>
      <c r="H756">
        <v>9.2999999999999999E-2</v>
      </c>
    </row>
    <row r="757" spans="7:8" x14ac:dyDescent="0.25">
      <c r="G757" t="s">
        <v>940</v>
      </c>
      <c r="H757">
        <v>3.7999999999999999E-2</v>
      </c>
    </row>
    <row r="758" spans="7:8" x14ac:dyDescent="0.25">
      <c r="G758" t="s">
        <v>803</v>
      </c>
      <c r="H758">
        <v>0.05</v>
      </c>
    </row>
    <row r="759" spans="7:8" x14ac:dyDescent="0.25">
      <c r="G759" t="s">
        <v>984</v>
      </c>
      <c r="H759">
        <v>0.14299999999999999</v>
      </c>
    </row>
    <row r="760" spans="7:8" x14ac:dyDescent="0.25">
      <c r="G760" t="s">
        <v>770</v>
      </c>
      <c r="H760">
        <v>0.24299999999999999</v>
      </c>
    </row>
    <row r="761" spans="7:8" x14ac:dyDescent="0.25">
      <c r="G761" t="s">
        <v>794</v>
      </c>
      <c r="H761">
        <v>0.11899999999999999</v>
      </c>
    </row>
    <row r="762" spans="7:8" x14ac:dyDescent="0.25">
      <c r="G762" t="s">
        <v>839</v>
      </c>
      <c r="H762">
        <v>0.27800000000000002</v>
      </c>
    </row>
    <row r="763" spans="7:8" x14ac:dyDescent="0.25">
      <c r="G763" t="s">
        <v>1245</v>
      </c>
      <c r="H763">
        <v>0.14599999999999999</v>
      </c>
    </row>
    <row r="764" spans="7:8" x14ac:dyDescent="0.25">
      <c r="G764" t="s">
        <v>835</v>
      </c>
      <c r="H764">
        <v>0.14000000000000001</v>
      </c>
    </row>
    <row r="765" spans="7:8" x14ac:dyDescent="0.25">
      <c r="G765" t="s">
        <v>820</v>
      </c>
      <c r="H765">
        <v>0.154</v>
      </c>
    </row>
    <row r="766" spans="7:8" x14ac:dyDescent="0.25">
      <c r="G766" t="s">
        <v>968</v>
      </c>
      <c r="H766">
        <v>0.10199999999999999</v>
      </c>
    </row>
    <row r="767" spans="7:8" x14ac:dyDescent="0.25">
      <c r="G767" t="s">
        <v>734</v>
      </c>
      <c r="H767">
        <v>0.112</v>
      </c>
    </row>
    <row r="768" spans="7:8" x14ac:dyDescent="0.25">
      <c r="G768" t="s">
        <v>771</v>
      </c>
      <c r="H768">
        <v>0.13600000000000001</v>
      </c>
    </row>
    <row r="769" spans="7:8" x14ac:dyDescent="0.25">
      <c r="G769" t="s">
        <v>1127</v>
      </c>
      <c r="H769">
        <v>0.14799999999999999</v>
      </c>
    </row>
    <row r="770" spans="7:8" x14ac:dyDescent="0.25">
      <c r="G770" t="s">
        <v>1170</v>
      </c>
      <c r="H770">
        <v>0.14699999999999999</v>
      </c>
    </row>
    <row r="771" spans="7:8" x14ac:dyDescent="0.25">
      <c r="G771" t="s">
        <v>1137</v>
      </c>
      <c r="H771">
        <v>0.111</v>
      </c>
    </row>
    <row r="772" spans="7:8" x14ac:dyDescent="0.25">
      <c r="G772" t="s">
        <v>1023</v>
      </c>
      <c r="H772">
        <v>0.192</v>
      </c>
    </row>
    <row r="773" spans="7:8" x14ac:dyDescent="0.25">
      <c r="G773" t="s">
        <v>1210</v>
      </c>
      <c r="H773">
        <v>0.16500000000000001</v>
      </c>
    </row>
    <row r="774" spans="7:8" x14ac:dyDescent="0.25">
      <c r="G774" t="s">
        <v>971</v>
      </c>
      <c r="H774">
        <v>0.17199999999999999</v>
      </c>
    </row>
    <row r="775" spans="7:8" x14ac:dyDescent="0.25">
      <c r="G775" t="s">
        <v>1319</v>
      </c>
      <c r="H775">
        <v>9.2999999999999999E-2</v>
      </c>
    </row>
    <row r="776" spans="7:8" x14ac:dyDescent="0.25">
      <c r="G776" t="s">
        <v>911</v>
      </c>
      <c r="H776">
        <v>0.17699999999999999</v>
      </c>
    </row>
    <row r="777" spans="7:8" x14ac:dyDescent="0.25">
      <c r="G777" t="s">
        <v>1034</v>
      </c>
      <c r="H777">
        <v>5.6000000000000001E-2</v>
      </c>
    </row>
    <row r="778" spans="7:8" x14ac:dyDescent="0.25">
      <c r="G778" t="s">
        <v>1001</v>
      </c>
      <c r="H778">
        <v>0.107</v>
      </c>
    </row>
    <row r="779" spans="7:8" x14ac:dyDescent="0.25">
      <c r="G779" t="s">
        <v>1293</v>
      </c>
      <c r="H779">
        <v>0.14499999999999999</v>
      </c>
    </row>
    <row r="780" spans="7:8" x14ac:dyDescent="0.25">
      <c r="G780" t="s">
        <v>1057</v>
      </c>
      <c r="H780">
        <v>0.17599999999999999</v>
      </c>
    </row>
    <row r="781" spans="7:8" x14ac:dyDescent="0.25">
      <c r="G781" t="s">
        <v>1209</v>
      </c>
      <c r="H781">
        <v>8.8999999999999996E-2</v>
      </c>
    </row>
    <row r="782" spans="7:8" x14ac:dyDescent="0.25">
      <c r="G782" t="s">
        <v>1211</v>
      </c>
      <c r="H782">
        <v>0.216</v>
      </c>
    </row>
    <row r="783" spans="7:8" x14ac:dyDescent="0.25">
      <c r="G783" t="s">
        <v>1267</v>
      </c>
      <c r="H783">
        <v>0.248</v>
      </c>
    </row>
    <row r="784" spans="7:8" x14ac:dyDescent="0.25">
      <c r="G784" t="s">
        <v>900</v>
      </c>
      <c r="H784">
        <v>0.19700000000000001</v>
      </c>
    </row>
    <row r="785" spans="7:8" x14ac:dyDescent="0.25">
      <c r="G785" t="s">
        <v>879</v>
      </c>
      <c r="H785">
        <v>0.107</v>
      </c>
    </row>
    <row r="786" spans="7:8" x14ac:dyDescent="0.25">
      <c r="G786" t="s">
        <v>1029</v>
      </c>
      <c r="H786">
        <v>0.113</v>
      </c>
    </row>
    <row r="787" spans="7:8" x14ac:dyDescent="0.25">
      <c r="G787" t="s">
        <v>749</v>
      </c>
      <c r="H787">
        <v>7.3999999999999996E-2</v>
      </c>
    </row>
    <row r="788" spans="7:8" x14ac:dyDescent="0.25">
      <c r="G788" t="s">
        <v>1261</v>
      </c>
      <c r="H788">
        <v>5.8999999999999997E-2</v>
      </c>
    </row>
    <row r="789" spans="7:8" x14ac:dyDescent="0.25">
      <c r="G789" t="s">
        <v>1179</v>
      </c>
      <c r="H789">
        <v>7.3999999999999996E-2</v>
      </c>
    </row>
    <row r="790" spans="7:8" x14ac:dyDescent="0.25">
      <c r="G790" t="s">
        <v>1316</v>
      </c>
      <c r="H790">
        <v>0.14099999999999999</v>
      </c>
    </row>
    <row r="791" spans="7:8" x14ac:dyDescent="0.25">
      <c r="G791" t="s">
        <v>1273</v>
      </c>
      <c r="H791">
        <v>0</v>
      </c>
    </row>
    <row r="792" spans="7:8" x14ac:dyDescent="0.25">
      <c r="G792" t="s">
        <v>1083</v>
      </c>
      <c r="H792">
        <v>0.113</v>
      </c>
    </row>
    <row r="793" spans="7:8" x14ac:dyDescent="0.25">
      <c r="G793" t="s">
        <v>853</v>
      </c>
      <c r="H793">
        <v>4.2999999999999997E-2</v>
      </c>
    </row>
    <row r="794" spans="7:8" x14ac:dyDescent="0.25">
      <c r="G794" t="s">
        <v>1013</v>
      </c>
      <c r="H794">
        <v>0.13800000000000001</v>
      </c>
    </row>
    <row r="795" spans="7:8" x14ac:dyDescent="0.25">
      <c r="G795" t="s">
        <v>980</v>
      </c>
      <c r="H795">
        <v>0.26300000000000001</v>
      </c>
    </row>
    <row r="796" spans="7:8" x14ac:dyDescent="0.25">
      <c r="G796" t="s">
        <v>1118</v>
      </c>
      <c r="H796">
        <v>0.19</v>
      </c>
    </row>
    <row r="797" spans="7:8" x14ac:dyDescent="0.25">
      <c r="G797" t="s">
        <v>973</v>
      </c>
      <c r="H797">
        <v>0.13</v>
      </c>
    </row>
    <row r="798" spans="7:8" x14ac:dyDescent="0.25">
      <c r="G798" t="s">
        <v>1104</v>
      </c>
      <c r="H798">
        <v>5.8000000000000003E-2</v>
      </c>
    </row>
    <row r="799" spans="7:8" x14ac:dyDescent="0.25">
      <c r="G799" t="s">
        <v>1363</v>
      </c>
      <c r="H799">
        <v>0.17299999999999999</v>
      </c>
    </row>
    <row r="800" spans="7:8" x14ac:dyDescent="0.25">
      <c r="G800" t="s">
        <v>1215</v>
      </c>
      <c r="H800">
        <v>0.13200000000000001</v>
      </c>
    </row>
    <row r="801" spans="7:8" x14ac:dyDescent="0.25">
      <c r="G801" t="s">
        <v>880</v>
      </c>
      <c r="H801">
        <v>0.185</v>
      </c>
    </row>
    <row r="802" spans="7:8" x14ac:dyDescent="0.25">
      <c r="G802" t="s">
        <v>753</v>
      </c>
      <c r="H802">
        <v>3.7999999999999999E-2</v>
      </c>
    </row>
    <row r="803" spans="7:8" x14ac:dyDescent="0.25">
      <c r="G803" t="s">
        <v>798</v>
      </c>
      <c r="H803">
        <v>0.13</v>
      </c>
    </row>
    <row r="804" spans="7:8" x14ac:dyDescent="0.25">
      <c r="G804" t="s">
        <v>998</v>
      </c>
      <c r="H804">
        <v>0.126</v>
      </c>
    </row>
    <row r="805" spans="7:8" x14ac:dyDescent="0.25">
      <c r="G805" t="s">
        <v>1241</v>
      </c>
      <c r="H805">
        <v>9.8000000000000004E-2</v>
      </c>
    </row>
    <row r="806" spans="7:8" x14ac:dyDescent="0.25">
      <c r="G806" t="s">
        <v>1305</v>
      </c>
      <c r="H806">
        <v>0.20699999999999999</v>
      </c>
    </row>
    <row r="807" spans="7:8" x14ac:dyDescent="0.25">
      <c r="G807" t="s">
        <v>1079</v>
      </c>
      <c r="H807">
        <v>0.02</v>
      </c>
    </row>
    <row r="808" spans="7:8" x14ac:dyDescent="0.25">
      <c r="G808" t="s">
        <v>833</v>
      </c>
      <c r="H808">
        <v>0.29199999999999998</v>
      </c>
    </row>
    <row r="809" spans="7:8" x14ac:dyDescent="0.25">
      <c r="G809" t="s">
        <v>787</v>
      </c>
      <c r="H809">
        <v>0.182</v>
      </c>
    </row>
    <row r="810" spans="7:8" x14ac:dyDescent="0.25">
      <c r="G810" t="s">
        <v>1096</v>
      </c>
      <c r="H810">
        <v>1.4E-2</v>
      </c>
    </row>
    <row r="811" spans="7:8" x14ac:dyDescent="0.25">
      <c r="G811" t="s">
        <v>1248</v>
      </c>
      <c r="H811">
        <v>0</v>
      </c>
    </row>
    <row r="812" spans="7:8" x14ac:dyDescent="0.25">
      <c r="G812" t="s">
        <v>1315</v>
      </c>
      <c r="H812">
        <v>0.16300000000000001</v>
      </c>
    </row>
    <row r="813" spans="7:8" x14ac:dyDescent="0.25">
      <c r="G813" t="s">
        <v>805</v>
      </c>
      <c r="H813">
        <v>0.14199999999999999</v>
      </c>
    </row>
    <row r="814" spans="7:8" x14ac:dyDescent="0.25">
      <c r="G814" t="s">
        <v>1043</v>
      </c>
      <c r="H814">
        <v>8.8999999999999996E-2</v>
      </c>
    </row>
    <row r="815" spans="7:8" x14ac:dyDescent="0.25">
      <c r="G815" t="s">
        <v>1038</v>
      </c>
      <c r="H815">
        <v>0.08</v>
      </c>
    </row>
    <row r="816" spans="7:8" x14ac:dyDescent="0.25">
      <c r="G816" t="s">
        <v>1276</v>
      </c>
      <c r="H816">
        <v>0.115</v>
      </c>
    </row>
    <row r="817" spans="7:8" x14ac:dyDescent="0.25">
      <c r="G817" t="s">
        <v>976</v>
      </c>
      <c r="H817">
        <v>0.13600000000000001</v>
      </c>
    </row>
    <row r="818" spans="7:8" x14ac:dyDescent="0.25">
      <c r="G818" t="s">
        <v>1191</v>
      </c>
      <c r="H818">
        <v>0.125</v>
      </c>
    </row>
    <row r="819" spans="7:8" x14ac:dyDescent="0.25">
      <c r="G819" t="s">
        <v>1337</v>
      </c>
      <c r="H819">
        <v>0.186</v>
      </c>
    </row>
    <row r="820" spans="7:8" x14ac:dyDescent="0.25">
      <c r="G820" t="s">
        <v>757</v>
      </c>
      <c r="H820">
        <v>0.01</v>
      </c>
    </row>
    <row r="821" spans="7:8" x14ac:dyDescent="0.25">
      <c r="G821" t="s">
        <v>989</v>
      </c>
      <c r="H821">
        <v>3.4000000000000002E-2</v>
      </c>
    </row>
    <row r="822" spans="7:8" x14ac:dyDescent="0.25">
      <c r="G822" t="s">
        <v>1242</v>
      </c>
      <c r="H822">
        <v>0.108</v>
      </c>
    </row>
    <row r="823" spans="7:8" x14ac:dyDescent="0.25">
      <c r="G823" t="s">
        <v>838</v>
      </c>
      <c r="H823">
        <v>0.16900000000000001</v>
      </c>
    </row>
    <row r="824" spans="7:8" x14ac:dyDescent="0.25">
      <c r="G824" t="s">
        <v>924</v>
      </c>
      <c r="H824">
        <v>0.215</v>
      </c>
    </row>
    <row r="825" spans="7:8" x14ac:dyDescent="0.25">
      <c r="G825" t="s">
        <v>1297</v>
      </c>
      <c r="H825">
        <v>0.14299999999999999</v>
      </c>
    </row>
    <row r="826" spans="7:8" x14ac:dyDescent="0.25">
      <c r="G826" t="s">
        <v>1121</v>
      </c>
      <c r="H826">
        <v>0.11699999999999999</v>
      </c>
    </row>
    <row r="827" spans="7:8" x14ac:dyDescent="0.25">
      <c r="G827" t="s">
        <v>985</v>
      </c>
      <c r="H827">
        <v>0.20300000000000001</v>
      </c>
    </row>
    <row r="828" spans="7:8" x14ac:dyDescent="0.25">
      <c r="G828" t="s">
        <v>885</v>
      </c>
      <c r="H828">
        <v>4.4999999999999998E-2</v>
      </c>
    </row>
    <row r="829" spans="7:8" x14ac:dyDescent="0.25">
      <c r="G829" t="s">
        <v>1254</v>
      </c>
      <c r="H829">
        <v>0.1</v>
      </c>
    </row>
    <row r="830" spans="7:8" x14ac:dyDescent="0.25">
      <c r="G830" t="s">
        <v>1327</v>
      </c>
      <c r="H830">
        <v>7.2999999999999995E-2</v>
      </c>
    </row>
    <row r="831" spans="7:8" x14ac:dyDescent="0.25">
      <c r="G831" t="s">
        <v>1102</v>
      </c>
      <c r="H831">
        <v>0.106</v>
      </c>
    </row>
    <row r="832" spans="7:8" x14ac:dyDescent="0.25">
      <c r="G832" t="s">
        <v>790</v>
      </c>
      <c r="H832">
        <v>3.5000000000000003E-2</v>
      </c>
    </row>
    <row r="833" spans="7:8" x14ac:dyDescent="0.25">
      <c r="G833" t="s">
        <v>1143</v>
      </c>
      <c r="H833">
        <v>0.24099999999999999</v>
      </c>
    </row>
    <row r="834" spans="7:8" x14ac:dyDescent="0.25">
      <c r="G834" t="s">
        <v>1009</v>
      </c>
      <c r="H834">
        <v>0.13500000000000001</v>
      </c>
    </row>
    <row r="835" spans="7:8" x14ac:dyDescent="0.25">
      <c r="G835" t="s">
        <v>907</v>
      </c>
      <c r="H835">
        <v>7.8E-2</v>
      </c>
    </row>
    <row r="836" spans="7:8" x14ac:dyDescent="0.25">
      <c r="G836" t="s">
        <v>836</v>
      </c>
      <c r="H836">
        <v>0</v>
      </c>
    </row>
    <row r="837" spans="7:8" x14ac:dyDescent="0.25">
      <c r="G837" t="s">
        <v>1122</v>
      </c>
      <c r="H837">
        <v>7.1999999999999995E-2</v>
      </c>
    </row>
    <row r="838" spans="7:8" x14ac:dyDescent="0.25">
      <c r="G838" t="s">
        <v>1268</v>
      </c>
      <c r="H838">
        <v>0.19</v>
      </c>
    </row>
    <row r="839" spans="7:8" x14ac:dyDescent="0.25">
      <c r="G839" t="s">
        <v>1299</v>
      </c>
      <c r="H839">
        <v>9.1999999999999998E-2</v>
      </c>
    </row>
    <row r="840" spans="7:8" x14ac:dyDescent="0.25">
      <c r="G840" t="s">
        <v>1159</v>
      </c>
      <c r="H840">
        <v>0.25</v>
      </c>
    </row>
    <row r="841" spans="7:8" x14ac:dyDescent="0.25">
      <c r="G841" t="s">
        <v>786</v>
      </c>
      <c r="H841">
        <v>0</v>
      </c>
    </row>
    <row r="842" spans="7:8" x14ac:dyDescent="0.25">
      <c r="G842" t="s">
        <v>926</v>
      </c>
      <c r="H842">
        <v>0.23599999999999999</v>
      </c>
    </row>
    <row r="843" spans="7:8" x14ac:dyDescent="0.25">
      <c r="G843" t="s">
        <v>1141</v>
      </c>
      <c r="H843">
        <v>0.19600000000000001</v>
      </c>
    </row>
    <row r="844" spans="7:8" x14ac:dyDescent="0.25">
      <c r="G844" t="s">
        <v>851</v>
      </c>
      <c r="H844">
        <v>0.184</v>
      </c>
    </row>
    <row r="845" spans="7:8" x14ac:dyDescent="0.25">
      <c r="G845" t="s">
        <v>1130</v>
      </c>
      <c r="H845">
        <v>0.24099999999999999</v>
      </c>
    </row>
    <row r="846" spans="7:8" x14ac:dyDescent="0.25">
      <c r="G846" t="s">
        <v>1158</v>
      </c>
      <c r="H846">
        <v>0.17299999999999999</v>
      </c>
    </row>
    <row r="847" spans="7:8" x14ac:dyDescent="0.25">
      <c r="G847" t="s">
        <v>806</v>
      </c>
      <c r="H847">
        <v>0.185</v>
      </c>
    </row>
    <row r="848" spans="7:8" x14ac:dyDescent="0.25">
      <c r="G848" t="s">
        <v>739</v>
      </c>
      <c r="H848">
        <v>0</v>
      </c>
    </row>
    <row r="849" spans="7:8" x14ac:dyDescent="0.25">
      <c r="G849" t="s">
        <v>1332</v>
      </c>
      <c r="H849">
        <v>8.9999999999999993E-3</v>
      </c>
    </row>
    <row r="850" spans="7:8" x14ac:dyDescent="0.25">
      <c r="G850" t="s">
        <v>1164</v>
      </c>
      <c r="H850">
        <v>0</v>
      </c>
    </row>
    <row r="851" spans="7:8" x14ac:dyDescent="0.25">
      <c r="G851" t="s">
        <v>1155</v>
      </c>
      <c r="H851">
        <v>0.157</v>
      </c>
    </row>
    <row r="852" spans="7:8" x14ac:dyDescent="0.25">
      <c r="G852" t="s">
        <v>1017</v>
      </c>
      <c r="H852">
        <v>0.114</v>
      </c>
    </row>
    <row r="853" spans="7:8" x14ac:dyDescent="0.25">
      <c r="G853" t="s">
        <v>1063</v>
      </c>
      <c r="H853">
        <v>0.2</v>
      </c>
    </row>
    <row r="854" spans="7:8" x14ac:dyDescent="0.25">
      <c r="G854" t="s">
        <v>1120</v>
      </c>
      <c r="H854">
        <v>0.127</v>
      </c>
    </row>
    <row r="855" spans="7:8" x14ac:dyDescent="0.25">
      <c r="G855" t="s">
        <v>845</v>
      </c>
      <c r="H855">
        <v>1.2E-2</v>
      </c>
    </row>
    <row r="856" spans="7:8" x14ac:dyDescent="0.25">
      <c r="G856" t="s">
        <v>958</v>
      </c>
      <c r="H856">
        <v>5.0999999999999997E-2</v>
      </c>
    </row>
    <row r="857" spans="7:8" x14ac:dyDescent="0.25">
      <c r="G857" t="s">
        <v>866</v>
      </c>
      <c r="H857">
        <v>0.22</v>
      </c>
    </row>
    <row r="858" spans="7:8" x14ac:dyDescent="0.25">
      <c r="G858" t="s">
        <v>754</v>
      </c>
      <c r="H858">
        <v>7.1999999999999995E-2</v>
      </c>
    </row>
    <row r="859" spans="7:8" x14ac:dyDescent="0.25">
      <c r="G859" t="s">
        <v>1136</v>
      </c>
      <c r="H859">
        <v>0.126</v>
      </c>
    </row>
    <row r="860" spans="7:8" x14ac:dyDescent="0.25">
      <c r="G860" t="s">
        <v>1018</v>
      </c>
      <c r="H860">
        <v>0.155</v>
      </c>
    </row>
    <row r="861" spans="7:8" x14ac:dyDescent="0.25">
      <c r="G861" t="s">
        <v>767</v>
      </c>
      <c r="H861">
        <v>0</v>
      </c>
    </row>
    <row r="862" spans="7:8" x14ac:dyDescent="0.25">
      <c r="G862" t="s">
        <v>1073</v>
      </c>
      <c r="H862">
        <v>0.29899999999999999</v>
      </c>
    </row>
    <row r="863" spans="7:8" x14ac:dyDescent="0.25">
      <c r="G863" t="s">
        <v>1300</v>
      </c>
      <c r="H863">
        <v>0.19700000000000001</v>
      </c>
    </row>
    <row r="864" spans="7:8" x14ac:dyDescent="0.25">
      <c r="G864" t="s">
        <v>1048</v>
      </c>
      <c r="H864">
        <v>3.1E-2</v>
      </c>
    </row>
    <row r="865" spans="7:8" x14ac:dyDescent="0.25">
      <c r="G865" t="s">
        <v>1005</v>
      </c>
      <c r="H865">
        <v>0.17399999999999999</v>
      </c>
    </row>
    <row r="866" spans="7:8" x14ac:dyDescent="0.25">
      <c r="G866" t="s">
        <v>1325</v>
      </c>
      <c r="H866">
        <v>0.192</v>
      </c>
    </row>
    <row r="867" spans="7:8" x14ac:dyDescent="0.25">
      <c r="G867" t="s">
        <v>950</v>
      </c>
      <c r="H867">
        <v>0.113</v>
      </c>
    </row>
    <row r="868" spans="7:8" x14ac:dyDescent="0.25">
      <c r="G868" t="s">
        <v>920</v>
      </c>
      <c r="H868">
        <v>0.21099999999999999</v>
      </c>
    </row>
    <row r="869" spans="7:8" x14ac:dyDescent="0.25">
      <c r="G869" t="s">
        <v>939</v>
      </c>
      <c r="H869">
        <v>2.9000000000000001E-2</v>
      </c>
    </row>
    <row r="870" spans="7:8" x14ac:dyDescent="0.25">
      <c r="G870" t="s">
        <v>830</v>
      </c>
      <c r="H870">
        <v>0.14599999999999999</v>
      </c>
    </row>
    <row r="871" spans="7:8" x14ac:dyDescent="0.25">
      <c r="G871" t="s">
        <v>1138</v>
      </c>
      <c r="H871">
        <v>6.4000000000000001E-2</v>
      </c>
    </row>
    <row r="872" spans="7:8" x14ac:dyDescent="0.25">
      <c r="G872" t="s">
        <v>901</v>
      </c>
      <c r="H872">
        <v>0.254</v>
      </c>
    </row>
    <row r="873" spans="7:8" x14ac:dyDescent="0.25">
      <c r="G873" t="s">
        <v>874</v>
      </c>
      <c r="H873">
        <v>0.11799999999999999</v>
      </c>
    </row>
    <row r="874" spans="7:8" x14ac:dyDescent="0.25">
      <c r="G874" t="s">
        <v>802</v>
      </c>
      <c r="H874">
        <v>0.20399999999999999</v>
      </c>
    </row>
    <row r="875" spans="7:8" x14ac:dyDescent="0.25">
      <c r="G875" t="s">
        <v>1206</v>
      </c>
      <c r="H875">
        <v>0.126</v>
      </c>
    </row>
    <row r="876" spans="7:8" x14ac:dyDescent="0.25">
      <c r="G876" t="s">
        <v>1243</v>
      </c>
      <c r="H876">
        <v>0.20899999999999999</v>
      </c>
    </row>
    <row r="877" spans="7:8" x14ac:dyDescent="0.25">
      <c r="G877" t="s">
        <v>951</v>
      </c>
      <c r="H877">
        <v>0.19600000000000001</v>
      </c>
    </row>
    <row r="878" spans="7:8" x14ac:dyDescent="0.25">
      <c r="G878" t="s">
        <v>849</v>
      </c>
      <c r="H878">
        <v>0.108</v>
      </c>
    </row>
    <row r="879" spans="7:8" x14ac:dyDescent="0.25">
      <c r="G879" t="s">
        <v>981</v>
      </c>
      <c r="H879">
        <v>0.151</v>
      </c>
    </row>
    <row r="880" spans="7:8" x14ac:dyDescent="0.25">
      <c r="G880" t="s">
        <v>1331</v>
      </c>
      <c r="H880">
        <v>0.13300000000000001</v>
      </c>
    </row>
    <row r="881" spans="7:8" x14ac:dyDescent="0.25">
      <c r="G881" t="s">
        <v>823</v>
      </c>
      <c r="H881">
        <v>6.6000000000000003E-2</v>
      </c>
    </row>
    <row r="882" spans="7:8" x14ac:dyDescent="0.25">
      <c r="G882" t="s">
        <v>1062</v>
      </c>
      <c r="H882">
        <v>0.34599999999999997</v>
      </c>
    </row>
    <row r="883" spans="7:8" x14ac:dyDescent="0.25">
      <c r="G883" t="s">
        <v>983</v>
      </c>
      <c r="H883">
        <v>0.107</v>
      </c>
    </row>
    <row r="884" spans="7:8" x14ac:dyDescent="0.25">
      <c r="G884" t="s">
        <v>869</v>
      </c>
      <c r="H884">
        <v>9.4E-2</v>
      </c>
    </row>
    <row r="885" spans="7:8" x14ac:dyDescent="0.25">
      <c r="G885" t="s">
        <v>1007</v>
      </c>
      <c r="H885">
        <v>0.16400000000000001</v>
      </c>
    </row>
    <row r="886" spans="7:8" x14ac:dyDescent="0.25">
      <c r="G886" t="s">
        <v>1161</v>
      </c>
      <c r="H886">
        <v>0</v>
      </c>
    </row>
    <row r="887" spans="7:8" x14ac:dyDescent="0.25">
      <c r="G887" t="s">
        <v>817</v>
      </c>
      <c r="H887">
        <v>0.215</v>
      </c>
    </row>
    <row r="888" spans="7:8" x14ac:dyDescent="0.25">
      <c r="G888" t="s">
        <v>1132</v>
      </c>
      <c r="H888">
        <v>0.122</v>
      </c>
    </row>
    <row r="889" spans="7:8" x14ac:dyDescent="0.25">
      <c r="G889" t="s">
        <v>855</v>
      </c>
      <c r="H889">
        <v>6.9000000000000006E-2</v>
      </c>
    </row>
    <row r="890" spans="7:8" x14ac:dyDescent="0.25">
      <c r="G890" t="s">
        <v>1359</v>
      </c>
      <c r="H890">
        <v>0.151</v>
      </c>
    </row>
    <row r="891" spans="7:8" x14ac:dyDescent="0.25">
      <c r="G891" t="s">
        <v>1152</v>
      </c>
      <c r="H891">
        <v>0.22600000000000001</v>
      </c>
    </row>
    <row r="892" spans="7:8" x14ac:dyDescent="0.25">
      <c r="G892" t="s">
        <v>1349</v>
      </c>
      <c r="H892">
        <v>0.10199999999999999</v>
      </c>
    </row>
    <row r="893" spans="7:8" x14ac:dyDescent="0.25">
      <c r="G893" t="s">
        <v>923</v>
      </c>
      <c r="H893">
        <v>1.2E-2</v>
      </c>
    </row>
    <row r="894" spans="7:8" x14ac:dyDescent="0.25">
      <c r="G894" t="s">
        <v>1085</v>
      </c>
      <c r="H894">
        <v>0.113</v>
      </c>
    </row>
    <row r="895" spans="7:8" x14ac:dyDescent="0.25">
      <c r="G895" t="s">
        <v>1283</v>
      </c>
      <c r="H895">
        <v>0.21199999999999999</v>
      </c>
    </row>
    <row r="896" spans="7:8" x14ac:dyDescent="0.25">
      <c r="G896" t="s">
        <v>1031</v>
      </c>
      <c r="H896">
        <v>0.108</v>
      </c>
    </row>
    <row r="897" spans="7:8" x14ac:dyDescent="0.25">
      <c r="G897" t="s">
        <v>785</v>
      </c>
      <c r="H897">
        <v>0.29499999999999998</v>
      </c>
    </row>
    <row r="898" spans="7:8" x14ac:dyDescent="0.25">
      <c r="G898" t="s">
        <v>986</v>
      </c>
      <c r="H898">
        <v>0.22500000000000001</v>
      </c>
    </row>
    <row r="899" spans="7:8" x14ac:dyDescent="0.25">
      <c r="G899" t="s">
        <v>1106</v>
      </c>
      <c r="H899">
        <v>0.107</v>
      </c>
    </row>
    <row r="900" spans="7:8" x14ac:dyDescent="0.25">
      <c r="G900" t="s">
        <v>1166</v>
      </c>
      <c r="H900">
        <v>5.8999999999999997E-2</v>
      </c>
    </row>
    <row r="901" spans="7:8" x14ac:dyDescent="0.25">
      <c r="G901" t="s">
        <v>1233</v>
      </c>
      <c r="H901">
        <v>4.1000000000000002E-2</v>
      </c>
    </row>
    <row r="902" spans="7:8" x14ac:dyDescent="0.25">
      <c r="G902" t="s">
        <v>789</v>
      </c>
      <c r="H902">
        <v>0.14699999999999999</v>
      </c>
    </row>
    <row r="903" spans="7:8" x14ac:dyDescent="0.25">
      <c r="G903" t="s">
        <v>938</v>
      </c>
      <c r="H903">
        <v>5.5E-2</v>
      </c>
    </row>
    <row r="904" spans="7:8" x14ac:dyDescent="0.25">
      <c r="G904" t="s">
        <v>1190</v>
      </c>
      <c r="H904">
        <v>0.13600000000000001</v>
      </c>
    </row>
    <row r="905" spans="7:8" x14ac:dyDescent="0.25">
      <c r="G905" t="s">
        <v>864</v>
      </c>
      <c r="H905">
        <v>6.3E-2</v>
      </c>
    </row>
    <row r="906" spans="7:8" x14ac:dyDescent="0.25">
      <c r="G906" t="s">
        <v>797</v>
      </c>
      <c r="H906">
        <v>0.255</v>
      </c>
    </row>
    <row r="907" spans="7:8" x14ac:dyDescent="0.25">
      <c r="G907" t="s">
        <v>967</v>
      </c>
      <c r="H907">
        <v>0.187</v>
      </c>
    </row>
    <row r="908" spans="7:8" x14ac:dyDescent="0.25">
      <c r="G908" t="s">
        <v>912</v>
      </c>
      <c r="H908">
        <v>5.6000000000000001E-2</v>
      </c>
    </row>
    <row r="909" spans="7:8" x14ac:dyDescent="0.25">
      <c r="G909" t="s">
        <v>1039</v>
      </c>
      <c r="H909">
        <v>3.7999999999999999E-2</v>
      </c>
    </row>
    <row r="910" spans="7:8" x14ac:dyDescent="0.25">
      <c r="G910" t="s">
        <v>1181</v>
      </c>
      <c r="H910">
        <v>0.104</v>
      </c>
    </row>
    <row r="911" spans="7:8" x14ac:dyDescent="0.25">
      <c r="G911" t="s">
        <v>1014</v>
      </c>
      <c r="H911">
        <v>0.112</v>
      </c>
    </row>
    <row r="912" spans="7:8" x14ac:dyDescent="0.25">
      <c r="G912" t="s">
        <v>1032</v>
      </c>
      <c r="H912">
        <v>0.11899999999999999</v>
      </c>
    </row>
    <row r="913" spans="7:8" x14ac:dyDescent="0.25">
      <c r="G913" t="s">
        <v>917</v>
      </c>
      <c r="H913">
        <v>0.10100000000000001</v>
      </c>
    </row>
    <row r="914" spans="7:8" x14ac:dyDescent="0.25">
      <c r="G914" t="s">
        <v>1097</v>
      </c>
      <c r="H914">
        <v>0.27200000000000002</v>
      </c>
    </row>
    <row r="915" spans="7:8" x14ac:dyDescent="0.25">
      <c r="G915" t="s">
        <v>1123</v>
      </c>
      <c r="H915">
        <v>8.9999999999999993E-3</v>
      </c>
    </row>
    <row r="916" spans="7:8" x14ac:dyDescent="0.25">
      <c r="G916" t="s">
        <v>1295</v>
      </c>
      <c r="H916">
        <v>0.13700000000000001</v>
      </c>
    </row>
    <row r="917" spans="7:8" x14ac:dyDescent="0.25">
      <c r="G917" t="s">
        <v>1306</v>
      </c>
      <c r="H917">
        <v>5.6000000000000001E-2</v>
      </c>
    </row>
    <row r="918" spans="7:8" x14ac:dyDescent="0.25">
      <c r="G918" t="s">
        <v>1256</v>
      </c>
      <c r="H918">
        <v>9.4E-2</v>
      </c>
    </row>
    <row r="919" spans="7:8" x14ac:dyDescent="0.25">
      <c r="G919" t="s">
        <v>1281</v>
      </c>
      <c r="H919">
        <v>0.17499999999999999</v>
      </c>
    </row>
    <row r="920" spans="7:8" x14ac:dyDescent="0.25">
      <c r="G920" t="s">
        <v>1044</v>
      </c>
      <c r="H920">
        <v>0.185</v>
      </c>
    </row>
    <row r="921" spans="7:8" x14ac:dyDescent="0.25">
      <c r="G921" t="s">
        <v>929</v>
      </c>
      <c r="H921">
        <v>0.159</v>
      </c>
    </row>
    <row r="922" spans="7:8" x14ac:dyDescent="0.25">
      <c r="G922" t="s">
        <v>899</v>
      </c>
      <c r="H922">
        <v>5.2999999999999999E-2</v>
      </c>
    </row>
    <row r="923" spans="7:8" x14ac:dyDescent="0.25">
      <c r="G923" t="s">
        <v>801</v>
      </c>
      <c r="H923">
        <v>0.105</v>
      </c>
    </row>
    <row r="924" spans="7:8" x14ac:dyDescent="0.25">
      <c r="G924" t="s">
        <v>1187</v>
      </c>
      <c r="H924">
        <v>1.7000000000000001E-2</v>
      </c>
    </row>
    <row r="925" spans="7:8" x14ac:dyDescent="0.25">
      <c r="G925" t="s">
        <v>742</v>
      </c>
      <c r="H925">
        <v>3.1E-2</v>
      </c>
    </row>
    <row r="926" spans="7:8" x14ac:dyDescent="0.25">
      <c r="G926" t="s">
        <v>909</v>
      </c>
      <c r="H926">
        <v>0.255</v>
      </c>
    </row>
    <row r="927" spans="7:8" x14ac:dyDescent="0.25">
      <c r="G927" t="s">
        <v>1290</v>
      </c>
      <c r="H927">
        <v>0.21099999999999999</v>
      </c>
    </row>
    <row r="928" spans="7:8" x14ac:dyDescent="0.25">
      <c r="G928" t="s">
        <v>1180</v>
      </c>
      <c r="H928">
        <v>0.29299999999999998</v>
      </c>
    </row>
    <row r="929" spans="7:8" x14ac:dyDescent="0.25">
      <c r="G929" t="s">
        <v>1314</v>
      </c>
      <c r="H929">
        <v>0.22600000000000001</v>
      </c>
    </row>
    <row r="930" spans="7:8" x14ac:dyDescent="0.25">
      <c r="G930" t="s">
        <v>925</v>
      </c>
      <c r="H930">
        <v>9.4E-2</v>
      </c>
    </row>
    <row r="931" spans="7:8" x14ac:dyDescent="0.25">
      <c r="G931" t="s">
        <v>902</v>
      </c>
      <c r="H931">
        <v>0.185</v>
      </c>
    </row>
    <row r="932" spans="7:8" x14ac:dyDescent="0.25">
      <c r="G932" t="s">
        <v>1117</v>
      </c>
      <c r="H932">
        <v>5.8000000000000003E-2</v>
      </c>
    </row>
    <row r="933" spans="7:8" x14ac:dyDescent="0.25">
      <c r="G933" t="s">
        <v>992</v>
      </c>
      <c r="H933">
        <v>0.20499999999999999</v>
      </c>
    </row>
    <row r="934" spans="7:8" x14ac:dyDescent="0.25">
      <c r="G934" t="s">
        <v>945</v>
      </c>
      <c r="H934">
        <v>0.10199999999999999</v>
      </c>
    </row>
    <row r="935" spans="7:8" x14ac:dyDescent="0.25">
      <c r="G935" t="s">
        <v>922</v>
      </c>
      <c r="H935">
        <v>0.11799999999999999</v>
      </c>
    </row>
    <row r="936" spans="7:8" x14ac:dyDescent="0.25">
      <c r="G936" t="s">
        <v>813</v>
      </c>
      <c r="H936">
        <v>0.186</v>
      </c>
    </row>
    <row r="937" spans="7:8" x14ac:dyDescent="0.25">
      <c r="G937" t="s">
        <v>1344</v>
      </c>
      <c r="H937">
        <v>0</v>
      </c>
    </row>
    <row r="938" spans="7:8" x14ac:dyDescent="0.25">
      <c r="G938" t="s">
        <v>1278</v>
      </c>
      <c r="H938">
        <v>0.23699999999999999</v>
      </c>
    </row>
    <row r="939" spans="7:8" x14ac:dyDescent="0.25">
      <c r="G939" t="s">
        <v>740</v>
      </c>
      <c r="H939">
        <v>0.14699999999999999</v>
      </c>
    </row>
    <row r="940" spans="7:8" x14ac:dyDescent="0.25">
      <c r="G940" t="s">
        <v>1006</v>
      </c>
      <c r="H940">
        <v>0.13900000000000001</v>
      </c>
    </row>
    <row r="941" spans="7:8" x14ac:dyDescent="0.25">
      <c r="G941" t="s">
        <v>1274</v>
      </c>
      <c r="H941">
        <v>0.13300000000000001</v>
      </c>
    </row>
    <row r="942" spans="7:8" x14ac:dyDescent="0.25">
      <c r="G942" t="s">
        <v>1165</v>
      </c>
      <c r="H942">
        <v>5.6000000000000001E-2</v>
      </c>
    </row>
    <row r="943" spans="7:8" x14ac:dyDescent="0.25">
      <c r="G943" t="s">
        <v>918</v>
      </c>
      <c r="H943">
        <v>0.153</v>
      </c>
    </row>
    <row r="944" spans="7:8" x14ac:dyDescent="0.25">
      <c r="G944" t="s">
        <v>1228</v>
      </c>
      <c r="H944">
        <v>0.113</v>
      </c>
    </row>
    <row r="945" spans="7:8" x14ac:dyDescent="0.25">
      <c r="G945" t="s">
        <v>988</v>
      </c>
      <c r="H945">
        <v>5.2999999999999999E-2</v>
      </c>
    </row>
    <row r="946" spans="7:8" x14ac:dyDescent="0.25">
      <c r="G946" t="s">
        <v>822</v>
      </c>
      <c r="H946">
        <v>0.03</v>
      </c>
    </row>
    <row r="947" spans="7:8" x14ac:dyDescent="0.25">
      <c r="G947" t="s">
        <v>852</v>
      </c>
      <c r="H947">
        <v>7.0999999999999994E-2</v>
      </c>
    </row>
    <row r="948" spans="7:8" x14ac:dyDescent="0.25">
      <c r="G948" t="s">
        <v>1265</v>
      </c>
      <c r="H948">
        <v>0.114</v>
      </c>
    </row>
    <row r="949" spans="7:8" x14ac:dyDescent="0.25">
      <c r="G949" t="s">
        <v>897</v>
      </c>
      <c r="H949">
        <v>0.14000000000000001</v>
      </c>
    </row>
    <row r="950" spans="7:8" x14ac:dyDescent="0.25">
      <c r="G950" t="s">
        <v>1232</v>
      </c>
      <c r="H950">
        <v>0.218</v>
      </c>
    </row>
    <row r="951" spans="7:8" x14ac:dyDescent="0.25">
      <c r="G951" t="s">
        <v>1052</v>
      </c>
      <c r="H951">
        <v>1.4E-2</v>
      </c>
    </row>
    <row r="952" spans="7:8" x14ac:dyDescent="0.25">
      <c r="G952" t="s">
        <v>1129</v>
      </c>
      <c r="H952">
        <v>0.10299999999999999</v>
      </c>
    </row>
    <row r="953" spans="7:8" x14ac:dyDescent="0.25">
      <c r="G953" t="s">
        <v>1000</v>
      </c>
      <c r="H953">
        <v>0.184</v>
      </c>
    </row>
    <row r="954" spans="7:8" x14ac:dyDescent="0.25">
      <c r="G954" t="s">
        <v>894</v>
      </c>
      <c r="H954">
        <v>0.157</v>
      </c>
    </row>
    <row r="955" spans="7:8" x14ac:dyDescent="0.25">
      <c r="G955" t="s">
        <v>774</v>
      </c>
      <c r="H955">
        <v>3.6999999999999998E-2</v>
      </c>
    </row>
    <row r="956" spans="7:8" x14ac:dyDescent="0.25">
      <c r="G956" t="s">
        <v>1230</v>
      </c>
      <c r="H956">
        <v>4.2000000000000003E-2</v>
      </c>
    </row>
    <row r="957" spans="7:8" x14ac:dyDescent="0.25">
      <c r="G957" t="s">
        <v>1045</v>
      </c>
      <c r="H957">
        <v>4.4999999999999998E-2</v>
      </c>
    </row>
    <row r="958" spans="7:8" x14ac:dyDescent="0.25">
      <c r="G958" t="s">
        <v>1229</v>
      </c>
      <c r="H958">
        <v>0.14199999999999999</v>
      </c>
    </row>
    <row r="959" spans="7:8" x14ac:dyDescent="0.25">
      <c r="G959" t="s">
        <v>1324</v>
      </c>
      <c r="H959">
        <v>0.14599999999999999</v>
      </c>
    </row>
    <row r="960" spans="7:8" x14ac:dyDescent="0.25">
      <c r="G960" t="s">
        <v>1114</v>
      </c>
      <c r="H960">
        <v>0.17599999999999999</v>
      </c>
    </row>
    <row r="961" spans="7:8" x14ac:dyDescent="0.25">
      <c r="G961" t="s">
        <v>775</v>
      </c>
      <c r="H961">
        <v>0</v>
      </c>
    </row>
    <row r="962" spans="7:8" x14ac:dyDescent="0.25">
      <c r="G962" t="s">
        <v>957</v>
      </c>
      <c r="H962">
        <v>5.0999999999999997E-2</v>
      </c>
    </row>
    <row r="963" spans="7:8" x14ac:dyDescent="0.25">
      <c r="G963" t="s">
        <v>960</v>
      </c>
      <c r="H963">
        <v>0.13100000000000001</v>
      </c>
    </row>
    <row r="964" spans="7:8" x14ac:dyDescent="0.25">
      <c r="G964" t="s">
        <v>1036</v>
      </c>
      <c r="H964">
        <v>0.129</v>
      </c>
    </row>
    <row r="965" spans="7:8" x14ac:dyDescent="0.25">
      <c r="G965" t="s">
        <v>832</v>
      </c>
      <c r="H965">
        <v>9.1999999999999998E-2</v>
      </c>
    </row>
    <row r="966" spans="7:8" x14ac:dyDescent="0.25">
      <c r="G966" t="s">
        <v>1075</v>
      </c>
      <c r="H966">
        <v>0.28199999999999997</v>
      </c>
    </row>
    <row r="967" spans="7:8" x14ac:dyDescent="0.25">
      <c r="G967" t="s">
        <v>807</v>
      </c>
      <c r="H967">
        <v>4.7E-2</v>
      </c>
    </row>
    <row r="968" spans="7:8" x14ac:dyDescent="0.25">
      <c r="G968" t="s">
        <v>1213</v>
      </c>
      <c r="H968">
        <v>7.5999999999999998E-2</v>
      </c>
    </row>
    <row r="969" spans="7:8" x14ac:dyDescent="0.25">
      <c r="G969" t="s">
        <v>824</v>
      </c>
      <c r="H969">
        <v>7.3999999999999996E-2</v>
      </c>
    </row>
    <row r="970" spans="7:8" x14ac:dyDescent="0.25">
      <c r="G970" t="s">
        <v>779</v>
      </c>
      <c r="H970">
        <v>0.16900000000000001</v>
      </c>
    </row>
    <row r="971" spans="7:8" x14ac:dyDescent="0.25">
      <c r="G971" t="s">
        <v>781</v>
      </c>
      <c r="H971">
        <v>0</v>
      </c>
    </row>
    <row r="972" spans="7:8" x14ac:dyDescent="0.25">
      <c r="G972" t="s">
        <v>878</v>
      </c>
      <c r="H972">
        <v>8.2000000000000003E-2</v>
      </c>
    </row>
    <row r="973" spans="7:8" x14ac:dyDescent="0.25">
      <c r="G973" t="s">
        <v>991</v>
      </c>
      <c r="H973">
        <v>0.19700000000000001</v>
      </c>
    </row>
    <row r="974" spans="7:8" x14ac:dyDescent="0.25">
      <c r="G974" t="s">
        <v>1357</v>
      </c>
      <c r="H974">
        <v>0.114</v>
      </c>
    </row>
    <row r="975" spans="7:8" x14ac:dyDescent="0.25">
      <c r="G975" t="s">
        <v>1172</v>
      </c>
      <c r="H975">
        <v>4.1000000000000002E-2</v>
      </c>
    </row>
    <row r="976" spans="7:8" x14ac:dyDescent="0.25">
      <c r="G976" t="s">
        <v>1296</v>
      </c>
      <c r="H976">
        <v>6.8000000000000005E-2</v>
      </c>
    </row>
    <row r="977" spans="7:8" x14ac:dyDescent="0.25">
      <c r="G977" t="s">
        <v>982</v>
      </c>
      <c r="H977">
        <v>0.11</v>
      </c>
    </row>
    <row r="978" spans="7:8" x14ac:dyDescent="0.25">
      <c r="G978" t="s">
        <v>1217</v>
      </c>
      <c r="H978">
        <v>0.123</v>
      </c>
    </row>
    <row r="979" spans="7:8" x14ac:dyDescent="0.25">
      <c r="G979" t="s">
        <v>1311</v>
      </c>
      <c r="H979">
        <v>6.7000000000000004E-2</v>
      </c>
    </row>
    <row r="980" spans="7:8" x14ac:dyDescent="0.25">
      <c r="G980" t="s">
        <v>848</v>
      </c>
      <c r="H980">
        <v>0</v>
      </c>
    </row>
    <row r="981" spans="7:8" x14ac:dyDescent="0.25">
      <c r="G981" t="s">
        <v>755</v>
      </c>
      <c r="H981">
        <v>0.14299999999999999</v>
      </c>
    </row>
    <row r="982" spans="7:8" x14ac:dyDescent="0.25">
      <c r="G982" t="s">
        <v>1133</v>
      </c>
      <c r="H982">
        <v>2.5000000000000001E-2</v>
      </c>
    </row>
    <row r="983" spans="7:8" x14ac:dyDescent="0.25">
      <c r="G983" t="s">
        <v>932</v>
      </c>
      <c r="H983">
        <v>0.186</v>
      </c>
    </row>
    <row r="984" spans="7:8" x14ac:dyDescent="0.25">
      <c r="G984" t="s">
        <v>1110</v>
      </c>
      <c r="H984">
        <v>9.9000000000000005E-2</v>
      </c>
    </row>
    <row r="985" spans="7:8" x14ac:dyDescent="0.25">
      <c r="G985" t="s">
        <v>1309</v>
      </c>
      <c r="H985">
        <v>7.1999999999999995E-2</v>
      </c>
    </row>
    <row r="986" spans="7:8" x14ac:dyDescent="0.25">
      <c r="G986" t="s">
        <v>1240</v>
      </c>
      <c r="H986">
        <v>0.02</v>
      </c>
    </row>
    <row r="987" spans="7:8" x14ac:dyDescent="0.25">
      <c r="G987" t="s">
        <v>1041</v>
      </c>
      <c r="H987">
        <v>0.17599999999999999</v>
      </c>
    </row>
    <row r="988" spans="7:8" x14ac:dyDescent="0.25">
      <c r="G988" t="s">
        <v>1308</v>
      </c>
      <c r="H988">
        <v>7.1999999999999995E-2</v>
      </c>
    </row>
    <row r="989" spans="7:8" x14ac:dyDescent="0.25">
      <c r="G989" t="s">
        <v>1116</v>
      </c>
      <c r="H989">
        <v>0.09</v>
      </c>
    </row>
    <row r="990" spans="7:8" x14ac:dyDescent="0.25">
      <c r="G990" t="s">
        <v>1091</v>
      </c>
      <c r="H990">
        <v>0.17</v>
      </c>
    </row>
    <row r="991" spans="7:8" x14ac:dyDescent="0.25">
      <c r="G991" t="s">
        <v>1051</v>
      </c>
      <c r="H991">
        <v>7.4999999999999997E-2</v>
      </c>
    </row>
    <row r="992" spans="7:8" x14ac:dyDescent="0.25">
      <c r="G992" t="s">
        <v>863</v>
      </c>
      <c r="H992">
        <v>0.111</v>
      </c>
    </row>
    <row r="993" spans="7:8" x14ac:dyDescent="0.25">
      <c r="G993" t="s">
        <v>1251</v>
      </c>
      <c r="H993">
        <v>0.13800000000000001</v>
      </c>
    </row>
    <row r="994" spans="7:8" x14ac:dyDescent="0.25">
      <c r="G994" t="s">
        <v>846</v>
      </c>
      <c r="H994">
        <v>0.11799999999999999</v>
      </c>
    </row>
    <row r="995" spans="7:8" x14ac:dyDescent="0.25">
      <c r="G995" t="s">
        <v>1282</v>
      </c>
      <c r="H995">
        <v>0.17</v>
      </c>
    </row>
    <row r="996" spans="7:8" x14ac:dyDescent="0.25">
      <c r="G996" t="s">
        <v>1055</v>
      </c>
      <c r="H996">
        <v>0.215</v>
      </c>
    </row>
    <row r="997" spans="7:8" x14ac:dyDescent="0.25">
      <c r="G997" t="s">
        <v>1354</v>
      </c>
      <c r="H997">
        <v>0.192</v>
      </c>
    </row>
    <row r="998" spans="7:8" x14ac:dyDescent="0.25">
      <c r="G998" t="s">
        <v>1356</v>
      </c>
      <c r="H998">
        <v>0.161</v>
      </c>
    </row>
    <row r="999" spans="7:8" x14ac:dyDescent="0.25">
      <c r="G999" t="s">
        <v>814</v>
      </c>
      <c r="H999">
        <v>0.161</v>
      </c>
    </row>
    <row r="1000" spans="7:8" x14ac:dyDescent="0.25">
      <c r="G1000" t="s">
        <v>1056</v>
      </c>
      <c r="H1000">
        <v>0.10299999999999999</v>
      </c>
    </row>
    <row r="1001" spans="7:8" x14ac:dyDescent="0.25">
      <c r="G1001" t="s">
        <v>1277</v>
      </c>
      <c r="H1001">
        <v>0.21199999999999999</v>
      </c>
    </row>
    <row r="1002" spans="7:8" x14ac:dyDescent="0.25">
      <c r="G1002" t="s">
        <v>782</v>
      </c>
      <c r="H1002">
        <v>0.187</v>
      </c>
    </row>
    <row r="1003" spans="7:8" x14ac:dyDescent="0.25">
      <c r="G1003" t="s">
        <v>1196</v>
      </c>
      <c r="H1003">
        <v>0.124</v>
      </c>
    </row>
    <row r="1004" spans="7:8" x14ac:dyDescent="0.25">
      <c r="G1004" t="s">
        <v>1346</v>
      </c>
      <c r="H1004">
        <v>0.17100000000000001</v>
      </c>
    </row>
    <row r="1005" spans="7:8" x14ac:dyDescent="0.25">
      <c r="G1005" t="s">
        <v>1113</v>
      </c>
      <c r="H1005">
        <v>3.2000000000000001E-2</v>
      </c>
    </row>
    <row r="1006" spans="7:8" x14ac:dyDescent="0.25">
      <c r="G1006" t="s">
        <v>1010</v>
      </c>
      <c r="H1006">
        <v>0.115</v>
      </c>
    </row>
    <row r="1007" spans="7:8" x14ac:dyDescent="0.25">
      <c r="G1007" t="s">
        <v>928</v>
      </c>
      <c r="H1007">
        <v>9.4E-2</v>
      </c>
    </row>
    <row r="1008" spans="7:8" x14ac:dyDescent="0.25">
      <c r="G1008" t="s">
        <v>1345</v>
      </c>
      <c r="H1008">
        <v>2.1999999999999999E-2</v>
      </c>
    </row>
    <row r="1009" spans="7:8" x14ac:dyDescent="0.25">
      <c r="G1009" t="s">
        <v>1200</v>
      </c>
      <c r="H1009">
        <v>7.0999999999999994E-2</v>
      </c>
    </row>
    <row r="1010" spans="7:8" x14ac:dyDescent="0.25">
      <c r="G1010" t="s">
        <v>937</v>
      </c>
      <c r="H1010">
        <v>0.24299999999999999</v>
      </c>
    </row>
    <row r="1011" spans="7:8" x14ac:dyDescent="0.25">
      <c r="G1011" t="s">
        <v>1334</v>
      </c>
      <c r="H1011">
        <v>7.0999999999999994E-2</v>
      </c>
    </row>
    <row r="1012" spans="7:8" x14ac:dyDescent="0.25">
      <c r="G1012" t="s">
        <v>1237</v>
      </c>
      <c r="H1012">
        <v>7.0000000000000007E-2</v>
      </c>
    </row>
    <row r="1013" spans="7:8" x14ac:dyDescent="0.25">
      <c r="G1013" t="s">
        <v>854</v>
      </c>
      <c r="H1013">
        <v>0.123</v>
      </c>
    </row>
    <row r="1014" spans="7:8" x14ac:dyDescent="0.25">
      <c r="G1014" t="s">
        <v>842</v>
      </c>
      <c r="H1014">
        <v>0</v>
      </c>
    </row>
    <row r="1015" spans="7:8" x14ac:dyDescent="0.25">
      <c r="G1015" t="s">
        <v>1269</v>
      </c>
      <c r="H1015">
        <v>0.14899999999999999</v>
      </c>
    </row>
    <row r="1016" spans="7:8" x14ac:dyDescent="0.25">
      <c r="G1016" t="s">
        <v>1147</v>
      </c>
      <c r="H1016">
        <v>7.1999999999999995E-2</v>
      </c>
    </row>
    <row r="1017" spans="7:8" x14ac:dyDescent="0.25">
      <c r="G1017" t="s">
        <v>818</v>
      </c>
      <c r="H1017">
        <v>0.104</v>
      </c>
    </row>
    <row r="1018" spans="7:8" x14ac:dyDescent="0.25">
      <c r="G1018" t="s">
        <v>1284</v>
      </c>
      <c r="H1018">
        <v>0.157</v>
      </c>
    </row>
    <row r="1019" spans="7:8" x14ac:dyDescent="0.25">
      <c r="G1019" t="s">
        <v>949</v>
      </c>
      <c r="H1019">
        <v>0.20100000000000001</v>
      </c>
    </row>
    <row r="1020" spans="7:8" x14ac:dyDescent="0.25">
      <c r="G1020" t="s">
        <v>1112</v>
      </c>
      <c r="H1020">
        <v>9.1999999999999998E-2</v>
      </c>
    </row>
    <row r="1021" spans="7:8" x14ac:dyDescent="0.25">
      <c r="G1021" t="s">
        <v>889</v>
      </c>
      <c r="H1021">
        <v>0.111</v>
      </c>
    </row>
    <row r="1022" spans="7:8" x14ac:dyDescent="0.25">
      <c r="G1022" t="s">
        <v>766</v>
      </c>
      <c r="H1022">
        <v>8.4000000000000005E-2</v>
      </c>
    </row>
    <row r="1023" spans="7:8" x14ac:dyDescent="0.25">
      <c r="G1023" t="s">
        <v>1167</v>
      </c>
      <c r="H1023">
        <v>0.214</v>
      </c>
    </row>
    <row r="1024" spans="7:8" x14ac:dyDescent="0.25">
      <c r="G1024" t="s">
        <v>1236</v>
      </c>
      <c r="H1024">
        <v>0.10100000000000001</v>
      </c>
    </row>
    <row r="1025" spans="7:8" x14ac:dyDescent="0.25">
      <c r="G1025" t="s">
        <v>1015</v>
      </c>
      <c r="H1025">
        <v>0.317</v>
      </c>
    </row>
    <row r="1026" spans="7:8" x14ac:dyDescent="0.25">
      <c r="G1026" t="s">
        <v>857</v>
      </c>
      <c r="H1026">
        <v>5.7000000000000002E-2</v>
      </c>
    </row>
    <row r="1027" spans="7:8" x14ac:dyDescent="0.25">
      <c r="G1027" t="s">
        <v>1353</v>
      </c>
      <c r="H1027">
        <v>0.186</v>
      </c>
    </row>
    <row r="1028" spans="7:8" x14ac:dyDescent="0.25">
      <c r="G1028" t="s">
        <v>890</v>
      </c>
      <c r="H1028">
        <v>1.7999999999999999E-2</v>
      </c>
    </row>
    <row r="1029" spans="7:8" x14ac:dyDescent="0.25">
      <c r="G1029" t="s">
        <v>1272</v>
      </c>
      <c r="H1029">
        <v>8.8999999999999996E-2</v>
      </c>
    </row>
    <row r="1030" spans="7:8" x14ac:dyDescent="0.25">
      <c r="G1030" t="s">
        <v>1348</v>
      </c>
      <c r="H1030">
        <v>4.0000000000000001E-3</v>
      </c>
    </row>
    <row r="1031" spans="7:8" x14ac:dyDescent="0.25">
      <c r="G1031" t="s">
        <v>1087</v>
      </c>
      <c r="H1031">
        <v>0.17899999999999999</v>
      </c>
    </row>
    <row r="1032" spans="7:8" x14ac:dyDescent="0.25">
      <c r="G1032" t="s">
        <v>1065</v>
      </c>
      <c r="H1032">
        <v>0.23899999999999999</v>
      </c>
    </row>
    <row r="1033" spans="7:8" x14ac:dyDescent="0.25">
      <c r="G1033" t="s">
        <v>996</v>
      </c>
      <c r="H1033">
        <v>0.216</v>
      </c>
    </row>
    <row r="1034" spans="7:8" x14ac:dyDescent="0.25">
      <c r="G1034" t="s">
        <v>1301</v>
      </c>
      <c r="H1034">
        <v>0</v>
      </c>
    </row>
    <row r="1035" spans="7:8" x14ac:dyDescent="0.25">
      <c r="G1035" t="s">
        <v>1263</v>
      </c>
      <c r="H1035">
        <v>3.7999999999999999E-2</v>
      </c>
    </row>
    <row r="1036" spans="7:8" x14ac:dyDescent="0.25">
      <c r="G1036" t="s">
        <v>1078</v>
      </c>
      <c r="H1036">
        <v>7.0999999999999994E-2</v>
      </c>
    </row>
    <row r="1037" spans="7:8" x14ac:dyDescent="0.25">
      <c r="G1037" t="s">
        <v>736</v>
      </c>
      <c r="H1037">
        <v>0.13100000000000001</v>
      </c>
    </row>
    <row r="1038" spans="7:8" x14ac:dyDescent="0.25">
      <c r="G1038" t="s">
        <v>763</v>
      </c>
      <c r="H1038">
        <v>0.13900000000000001</v>
      </c>
    </row>
    <row r="1039" spans="7:8" x14ac:dyDescent="0.25">
      <c r="G1039" t="s">
        <v>1169</v>
      </c>
      <c r="H1039">
        <v>0.113</v>
      </c>
    </row>
    <row r="1040" spans="7:8" x14ac:dyDescent="0.25">
      <c r="G1040" t="s">
        <v>1021</v>
      </c>
      <c r="H1040">
        <v>0.13400000000000001</v>
      </c>
    </row>
    <row r="1041" spans="7:8" x14ac:dyDescent="0.25">
      <c r="G1041" t="s">
        <v>788</v>
      </c>
      <c r="H1041">
        <v>0.14399999999999999</v>
      </c>
    </row>
    <row r="1042" spans="7:8" x14ac:dyDescent="0.25">
      <c r="G1042" t="s">
        <v>1154</v>
      </c>
      <c r="H1042">
        <v>1.9E-2</v>
      </c>
    </row>
    <row r="1043" spans="7:8" x14ac:dyDescent="0.25">
      <c r="G1043" t="s">
        <v>751</v>
      </c>
      <c r="H1043">
        <v>0.183</v>
      </c>
    </row>
    <row r="1044" spans="7:8" x14ac:dyDescent="0.25">
      <c r="G1044" t="s">
        <v>1016</v>
      </c>
      <c r="H1044">
        <v>0</v>
      </c>
    </row>
    <row r="1045" spans="7:8" x14ac:dyDescent="0.25">
      <c r="G1045" t="s">
        <v>1081</v>
      </c>
      <c r="H1045">
        <v>0</v>
      </c>
    </row>
    <row r="1046" spans="7:8" x14ac:dyDescent="0.25">
      <c r="G1046" t="s">
        <v>947</v>
      </c>
      <c r="H1046">
        <v>0</v>
      </c>
    </row>
    <row r="1047" spans="7:8" x14ac:dyDescent="0.25">
      <c r="G1047" t="s">
        <v>1077</v>
      </c>
      <c r="H1047">
        <v>0.26100000000000001</v>
      </c>
    </row>
    <row r="1048" spans="7:8" x14ac:dyDescent="0.25">
      <c r="G1048" t="s">
        <v>762</v>
      </c>
      <c r="H1048">
        <v>0</v>
      </c>
    </row>
    <row r="1049" spans="7:8" x14ac:dyDescent="0.25">
      <c r="G1049" t="s">
        <v>1294</v>
      </c>
      <c r="H1049">
        <v>5.5E-2</v>
      </c>
    </row>
    <row r="1050" spans="7:8" x14ac:dyDescent="0.25">
      <c r="G1050" t="s">
        <v>1246</v>
      </c>
      <c r="H1050">
        <v>3.2000000000000001E-2</v>
      </c>
    </row>
    <row r="1051" spans="7:8" x14ac:dyDescent="0.25">
      <c r="G1051" t="s">
        <v>936</v>
      </c>
      <c r="H1051">
        <v>0</v>
      </c>
    </row>
    <row r="1052" spans="7:8" x14ac:dyDescent="0.25">
      <c r="G1052" t="s">
        <v>1105</v>
      </c>
      <c r="H1052">
        <v>0</v>
      </c>
    </row>
    <row r="1053" spans="7:8" x14ac:dyDescent="0.25">
      <c r="G1053" t="s">
        <v>1061</v>
      </c>
      <c r="H1053">
        <v>0.109</v>
      </c>
    </row>
    <row r="1054" spans="7:8" x14ac:dyDescent="0.25">
      <c r="G1054" t="s">
        <v>841</v>
      </c>
      <c r="H1054">
        <v>0.123</v>
      </c>
    </row>
    <row r="1055" spans="7:8" x14ac:dyDescent="0.25">
      <c r="G1055" t="s">
        <v>1182</v>
      </c>
      <c r="H1055">
        <v>0.216</v>
      </c>
    </row>
    <row r="1056" spans="7:8" x14ac:dyDescent="0.25">
      <c r="G1056" t="s">
        <v>972</v>
      </c>
      <c r="H1056">
        <v>0.23499999999999999</v>
      </c>
    </row>
    <row r="1057" spans="7:8" x14ac:dyDescent="0.25">
      <c r="G1057" t="s">
        <v>1216</v>
      </c>
      <c r="H1057">
        <v>5.2999999999999999E-2</v>
      </c>
    </row>
    <row r="1058" spans="7:8" x14ac:dyDescent="0.25">
      <c r="G1058" t="s">
        <v>965</v>
      </c>
      <c r="H1058">
        <v>0.109</v>
      </c>
    </row>
    <row r="1059" spans="7:8" x14ac:dyDescent="0.25">
      <c r="G1059" t="s">
        <v>1156</v>
      </c>
      <c r="H1059">
        <v>0.16800000000000001</v>
      </c>
    </row>
    <row r="1060" spans="7:8" x14ac:dyDescent="0.25">
      <c r="G1060" t="s">
        <v>867</v>
      </c>
      <c r="H1060">
        <v>0.187</v>
      </c>
    </row>
    <row r="1061" spans="7:8" x14ac:dyDescent="0.25">
      <c r="G1061" t="s">
        <v>1264</v>
      </c>
      <c r="H1061">
        <v>0.122</v>
      </c>
    </row>
    <row r="1062" spans="7:8" x14ac:dyDescent="0.25">
      <c r="G1062" t="s">
        <v>1002</v>
      </c>
      <c r="H1062">
        <v>0</v>
      </c>
    </row>
    <row r="1063" spans="7:8" x14ac:dyDescent="0.25">
      <c r="G1063" t="s">
        <v>1160</v>
      </c>
      <c r="H1063">
        <v>0.314</v>
      </c>
    </row>
    <row r="1064" spans="7:8" x14ac:dyDescent="0.25">
      <c r="G1064" t="s">
        <v>934</v>
      </c>
      <c r="H1064">
        <v>5.7000000000000002E-2</v>
      </c>
    </row>
    <row r="1065" spans="7:8" x14ac:dyDescent="0.25">
      <c r="G1065" t="s">
        <v>1126</v>
      </c>
      <c r="H1065">
        <v>0.254</v>
      </c>
    </row>
    <row r="1066" spans="7:8" x14ac:dyDescent="0.25">
      <c r="G1066" t="s">
        <v>825</v>
      </c>
      <c r="H1066">
        <v>0.14399999999999999</v>
      </c>
    </row>
    <row r="1067" spans="7:8" x14ac:dyDescent="0.25">
      <c r="G1067" t="s">
        <v>975</v>
      </c>
      <c r="H1067">
        <v>9.5000000000000001E-2</v>
      </c>
    </row>
    <row r="1068" spans="7:8" x14ac:dyDescent="0.25">
      <c r="G1068" t="s">
        <v>1020</v>
      </c>
      <c r="H1068">
        <v>0.13400000000000001</v>
      </c>
    </row>
    <row r="1069" spans="7:8" x14ac:dyDescent="0.25">
      <c r="G1069" t="s">
        <v>997</v>
      </c>
      <c r="H1069">
        <v>5.7000000000000002E-2</v>
      </c>
    </row>
    <row r="1070" spans="7:8" x14ac:dyDescent="0.25">
      <c r="G1070" t="s">
        <v>1068</v>
      </c>
      <c r="H1070">
        <v>0.14499999999999999</v>
      </c>
    </row>
    <row r="1071" spans="7:8" x14ac:dyDescent="0.25">
      <c r="G1071" t="s">
        <v>1146</v>
      </c>
      <c r="H1071">
        <v>8.3000000000000004E-2</v>
      </c>
    </row>
    <row r="1072" spans="7:8" x14ac:dyDescent="0.25">
      <c r="G1072" t="s">
        <v>1174</v>
      </c>
      <c r="H1072">
        <v>0.14799999999999999</v>
      </c>
    </row>
    <row r="1073" spans="7:8" x14ac:dyDescent="0.25">
      <c r="G1073" t="s">
        <v>862</v>
      </c>
      <c r="H1073">
        <v>0.187</v>
      </c>
    </row>
    <row r="1074" spans="7:8" x14ac:dyDescent="0.25">
      <c r="G1074" t="s">
        <v>1304</v>
      </c>
      <c r="H1074">
        <v>6.4000000000000001E-2</v>
      </c>
    </row>
    <row r="1075" spans="7:8" x14ac:dyDescent="0.25">
      <c r="G1075" t="s">
        <v>737</v>
      </c>
      <c r="H1075">
        <v>7.1999999999999995E-2</v>
      </c>
    </row>
    <row r="1076" spans="7:8" x14ac:dyDescent="0.25">
      <c r="G1076" t="s">
        <v>1317</v>
      </c>
      <c r="H1076">
        <v>4.1000000000000002E-2</v>
      </c>
    </row>
    <row r="1077" spans="7:8" x14ac:dyDescent="0.25">
      <c r="G1077" t="s">
        <v>883</v>
      </c>
      <c r="H1077">
        <v>2.1000000000000001E-2</v>
      </c>
    </row>
    <row r="1078" spans="7:8" x14ac:dyDescent="0.25">
      <c r="G1078" t="s">
        <v>799</v>
      </c>
      <c r="H1078">
        <v>0.184</v>
      </c>
    </row>
    <row r="1079" spans="7:8" x14ac:dyDescent="0.25">
      <c r="G1079" t="s">
        <v>1360</v>
      </c>
      <c r="H1079">
        <v>0</v>
      </c>
    </row>
    <row r="1080" spans="7:8" x14ac:dyDescent="0.25">
      <c r="G1080" t="s">
        <v>979</v>
      </c>
      <c r="H1080">
        <v>0.16700000000000001</v>
      </c>
    </row>
    <row r="1081" spans="7:8" x14ac:dyDescent="0.25">
      <c r="G1081" t="s">
        <v>765</v>
      </c>
      <c r="H1081">
        <v>8.8999999999999996E-2</v>
      </c>
    </row>
    <row r="1082" spans="7:8" x14ac:dyDescent="0.25">
      <c r="G1082" t="s">
        <v>1109</v>
      </c>
      <c r="H1082">
        <v>6.3E-2</v>
      </c>
    </row>
    <row r="1083" spans="7:8" x14ac:dyDescent="0.25">
      <c r="G1083" t="s">
        <v>931</v>
      </c>
      <c r="H1083">
        <v>5.0999999999999997E-2</v>
      </c>
    </row>
    <row r="1084" spans="7:8" x14ac:dyDescent="0.25">
      <c r="G1084" t="s">
        <v>1037</v>
      </c>
      <c r="H1084">
        <v>0.17399999999999999</v>
      </c>
    </row>
    <row r="1085" spans="7:8" x14ac:dyDescent="0.25">
      <c r="G1085" t="s">
        <v>1318</v>
      </c>
      <c r="H1085">
        <v>0</v>
      </c>
    </row>
    <row r="1086" spans="7:8" x14ac:dyDescent="0.25">
      <c r="G1086" t="s">
        <v>1095</v>
      </c>
      <c r="H1086">
        <v>7.8E-2</v>
      </c>
    </row>
    <row r="1087" spans="7:8" x14ac:dyDescent="0.25">
      <c r="G1087" t="s">
        <v>896</v>
      </c>
      <c r="H1087">
        <v>0.13300000000000001</v>
      </c>
    </row>
    <row r="1088" spans="7:8" x14ac:dyDescent="0.25">
      <c r="G1088" t="s">
        <v>1186</v>
      </c>
      <c r="H1088">
        <v>0.115</v>
      </c>
    </row>
    <row r="1089" spans="7:8" x14ac:dyDescent="0.25">
      <c r="G1089" t="s">
        <v>1162</v>
      </c>
      <c r="H1089">
        <v>0.17499999999999999</v>
      </c>
    </row>
    <row r="1090" spans="7:8" x14ac:dyDescent="0.25">
      <c r="G1090" t="s">
        <v>1140</v>
      </c>
      <c r="H1090">
        <v>0.13800000000000001</v>
      </c>
    </row>
    <row r="1091" spans="7:8" x14ac:dyDescent="0.25">
      <c r="G1091" t="s">
        <v>1219</v>
      </c>
      <c r="H1091">
        <v>0.222</v>
      </c>
    </row>
    <row r="1092" spans="7:8" x14ac:dyDescent="0.25">
      <c r="G1092" t="s">
        <v>1287</v>
      </c>
      <c r="H1092">
        <v>0.125</v>
      </c>
    </row>
    <row r="1093" spans="7:8" x14ac:dyDescent="0.25">
      <c r="G1093" t="s">
        <v>1050</v>
      </c>
      <c r="H1093">
        <v>0.14099999999999999</v>
      </c>
    </row>
    <row r="1094" spans="7:8" x14ac:dyDescent="0.25">
      <c r="G1094" t="s">
        <v>1064</v>
      </c>
      <c r="H1094">
        <v>6.5000000000000002E-2</v>
      </c>
    </row>
    <row r="1095" spans="7:8" x14ac:dyDescent="0.25">
      <c r="G1095" t="s">
        <v>1222</v>
      </c>
      <c r="H1095">
        <v>0.13500000000000001</v>
      </c>
    </row>
    <row r="1096" spans="7:8" x14ac:dyDescent="0.25">
      <c r="G1096" t="s">
        <v>1189</v>
      </c>
      <c r="H1096">
        <v>0</v>
      </c>
    </row>
    <row r="1097" spans="7:8" x14ac:dyDescent="0.25">
      <c r="G1097" t="s">
        <v>1019</v>
      </c>
      <c r="H1097">
        <v>0.22</v>
      </c>
    </row>
    <row r="1098" spans="7:8" x14ac:dyDescent="0.25">
      <c r="G1098" t="s">
        <v>1012</v>
      </c>
      <c r="H1098">
        <v>0.12</v>
      </c>
    </row>
    <row r="1099" spans="7:8" x14ac:dyDescent="0.25">
      <c r="G1099" t="s">
        <v>761</v>
      </c>
      <c r="H1099">
        <v>0.125</v>
      </c>
    </row>
    <row r="1100" spans="7:8" x14ac:dyDescent="0.25">
      <c r="G1100" t="s">
        <v>1100</v>
      </c>
      <c r="H1100">
        <v>0.192</v>
      </c>
    </row>
    <row r="1101" spans="7:8" x14ac:dyDescent="0.25">
      <c r="G1101" t="s">
        <v>828</v>
      </c>
      <c r="H1101">
        <v>0.16</v>
      </c>
    </row>
    <row r="1102" spans="7:8" x14ac:dyDescent="0.25">
      <c r="G1102" t="s">
        <v>745</v>
      </c>
      <c r="H1102">
        <v>0.25</v>
      </c>
    </row>
    <row r="1103" spans="7:8" x14ac:dyDescent="0.25">
      <c r="G1103" t="s">
        <v>978</v>
      </c>
      <c r="H1103">
        <v>0.17499999999999999</v>
      </c>
    </row>
    <row r="1104" spans="7:8" x14ac:dyDescent="0.25">
      <c r="G1104" t="s">
        <v>959</v>
      </c>
      <c r="H1104">
        <v>0.14699999999999999</v>
      </c>
    </row>
    <row r="1105" spans="7:8" x14ac:dyDescent="0.25">
      <c r="G1105" t="s">
        <v>1339</v>
      </c>
      <c r="H1105">
        <v>9.7000000000000003E-2</v>
      </c>
    </row>
    <row r="1106" spans="7:8" x14ac:dyDescent="0.25">
      <c r="G1106" t="s">
        <v>915</v>
      </c>
      <c r="H1106">
        <v>6.3E-2</v>
      </c>
    </row>
    <row r="1107" spans="7:8" x14ac:dyDescent="0.25">
      <c r="G1107" t="s">
        <v>1312</v>
      </c>
      <c r="H1107">
        <v>0.13200000000000001</v>
      </c>
    </row>
    <row r="1108" spans="7:8" x14ac:dyDescent="0.25">
      <c r="G1108" t="s">
        <v>1070</v>
      </c>
      <c r="H1108">
        <v>6.6000000000000003E-2</v>
      </c>
    </row>
    <row r="1109" spans="7:8" x14ac:dyDescent="0.25">
      <c r="G1109" t="s">
        <v>1226</v>
      </c>
      <c r="H1109">
        <v>0.13200000000000001</v>
      </c>
    </row>
    <row r="1110" spans="7:8" x14ac:dyDescent="0.25">
      <c r="G1110" t="s">
        <v>856</v>
      </c>
      <c r="H1110">
        <v>0.20300000000000001</v>
      </c>
    </row>
    <row r="1111" spans="7:8" x14ac:dyDescent="0.25">
      <c r="G1111" t="s">
        <v>1108</v>
      </c>
      <c r="H1111">
        <v>0.25600000000000001</v>
      </c>
    </row>
    <row r="1112" spans="7:8" x14ac:dyDescent="0.25">
      <c r="G1112" t="s">
        <v>871</v>
      </c>
      <c r="H1112">
        <v>0.26500000000000001</v>
      </c>
    </row>
    <row r="1113" spans="7:8" x14ac:dyDescent="0.25">
      <c r="G1113" t="s">
        <v>875</v>
      </c>
      <c r="H1113">
        <v>0.01</v>
      </c>
    </row>
    <row r="1114" spans="7:8" x14ac:dyDescent="0.25">
      <c r="G1114" t="s">
        <v>1266</v>
      </c>
      <c r="H1114">
        <v>6.6000000000000003E-2</v>
      </c>
    </row>
    <row r="1115" spans="7:8" x14ac:dyDescent="0.25">
      <c r="G1115" t="s">
        <v>796</v>
      </c>
      <c r="H1115">
        <v>0.2</v>
      </c>
    </row>
    <row r="1116" spans="7:8" x14ac:dyDescent="0.25">
      <c r="G1116" t="s">
        <v>834</v>
      </c>
      <c r="H1116">
        <v>0</v>
      </c>
    </row>
    <row r="1117" spans="7:8" x14ac:dyDescent="0.25">
      <c r="G1117" t="s">
        <v>1153</v>
      </c>
      <c r="H1117">
        <v>0.151</v>
      </c>
    </row>
    <row r="1118" spans="7:8" x14ac:dyDescent="0.25">
      <c r="G1118" t="s">
        <v>1145</v>
      </c>
      <c r="H1118">
        <v>0.112</v>
      </c>
    </row>
    <row r="1119" spans="7:8" x14ac:dyDescent="0.25">
      <c r="G1119" t="s">
        <v>1239</v>
      </c>
      <c r="H1119">
        <v>0.23499999999999999</v>
      </c>
    </row>
    <row r="1120" spans="7:8" x14ac:dyDescent="0.25">
      <c r="G1120" t="s">
        <v>970</v>
      </c>
      <c r="H1120">
        <v>0.126</v>
      </c>
    </row>
    <row r="1121" spans="7:8" x14ac:dyDescent="0.25">
      <c r="G1121" t="s">
        <v>1168</v>
      </c>
      <c r="H1121">
        <v>0</v>
      </c>
    </row>
    <row r="1122" spans="7:8" x14ac:dyDescent="0.25">
      <c r="G1122" t="s">
        <v>840</v>
      </c>
      <c r="H1122">
        <v>0.13700000000000001</v>
      </c>
    </row>
    <row r="1123" spans="7:8" x14ac:dyDescent="0.25">
      <c r="G1123" t="s">
        <v>1234</v>
      </c>
      <c r="H1123">
        <v>0.16700000000000001</v>
      </c>
    </row>
    <row r="1124" spans="7:8" x14ac:dyDescent="0.25">
      <c r="G1124" t="s">
        <v>1362</v>
      </c>
      <c r="H1124">
        <v>0.13900000000000001</v>
      </c>
    </row>
    <row r="1125" spans="7:8" x14ac:dyDescent="0.25">
      <c r="G1125" t="s">
        <v>893</v>
      </c>
      <c r="H1125">
        <v>0.18099999999999999</v>
      </c>
    </row>
    <row r="1126" spans="7:8" x14ac:dyDescent="0.25">
      <c r="G1126" t="s">
        <v>1054</v>
      </c>
      <c r="H1126">
        <v>7.5999999999999998E-2</v>
      </c>
    </row>
    <row r="1127" spans="7:8" x14ac:dyDescent="0.25">
      <c r="G1127" t="s">
        <v>1207</v>
      </c>
      <c r="H1127">
        <v>0.20499999999999999</v>
      </c>
    </row>
    <row r="1128" spans="7:8" x14ac:dyDescent="0.25">
      <c r="G1128" t="s">
        <v>1320</v>
      </c>
      <c r="H1128">
        <v>0.10299999999999999</v>
      </c>
    </row>
    <row r="1129" spans="7:8" x14ac:dyDescent="0.25">
      <c r="G1129" t="s">
        <v>930</v>
      </c>
      <c r="H1129">
        <v>0.185</v>
      </c>
    </row>
    <row r="1130" spans="7:8" x14ac:dyDescent="0.25">
      <c r="G1130" t="s">
        <v>1235</v>
      </c>
      <c r="H1130">
        <v>6.9000000000000006E-2</v>
      </c>
    </row>
    <row r="1131" spans="7:8" x14ac:dyDescent="0.25">
      <c r="G1131" t="s">
        <v>1069</v>
      </c>
      <c r="H1131">
        <v>0.158</v>
      </c>
    </row>
    <row r="1132" spans="7:8" x14ac:dyDescent="0.25">
      <c r="G1132" t="s">
        <v>966</v>
      </c>
      <c r="H1132">
        <v>0.11600000000000001</v>
      </c>
    </row>
    <row r="1133" spans="7:8" x14ac:dyDescent="0.25">
      <c r="G1133" t="s">
        <v>1124</v>
      </c>
      <c r="H1133">
        <v>0.105</v>
      </c>
    </row>
    <row r="1134" spans="7:8" x14ac:dyDescent="0.25">
      <c r="G1134" t="s">
        <v>1208</v>
      </c>
      <c r="H1134">
        <v>4.2000000000000003E-2</v>
      </c>
    </row>
    <row r="1135" spans="7:8" x14ac:dyDescent="0.25">
      <c r="G1135" t="s">
        <v>999</v>
      </c>
      <c r="H1135">
        <v>0.19600000000000001</v>
      </c>
    </row>
    <row r="1136" spans="7:8" x14ac:dyDescent="0.25">
      <c r="G1136" t="s">
        <v>1220</v>
      </c>
      <c r="H1136">
        <v>7.3999999999999996E-2</v>
      </c>
    </row>
    <row r="1137" spans="7:8" x14ac:dyDescent="0.25">
      <c r="G1137" t="s">
        <v>783</v>
      </c>
      <c r="H1137">
        <v>0.126</v>
      </c>
    </row>
    <row r="1138" spans="7:8" x14ac:dyDescent="0.25">
      <c r="G1138" t="s">
        <v>1260</v>
      </c>
      <c r="H1138">
        <v>0</v>
      </c>
    </row>
    <row r="1139" spans="7:8" x14ac:dyDescent="0.25">
      <c r="G1139" t="s">
        <v>1271</v>
      </c>
      <c r="H1139">
        <v>0.107</v>
      </c>
    </row>
    <row r="1140" spans="7:8" x14ac:dyDescent="0.25">
      <c r="G1140" t="s">
        <v>1144</v>
      </c>
      <c r="H1140">
        <v>0.23899999999999999</v>
      </c>
    </row>
    <row r="1141" spans="7:8" x14ac:dyDescent="0.25">
      <c r="G1141" t="s">
        <v>1249</v>
      </c>
      <c r="H1141">
        <v>0.157</v>
      </c>
    </row>
    <row r="1142" spans="7:8" x14ac:dyDescent="0.25">
      <c r="G1142" t="s">
        <v>1259</v>
      </c>
      <c r="H1142">
        <v>0.13500000000000001</v>
      </c>
    </row>
    <row r="1143" spans="7:8" x14ac:dyDescent="0.25">
      <c r="G1143" t="s">
        <v>1173</v>
      </c>
      <c r="H1143">
        <v>0.15</v>
      </c>
    </row>
    <row r="1144" spans="7:8" x14ac:dyDescent="0.25">
      <c r="G1144" t="s">
        <v>962</v>
      </c>
      <c r="H1144">
        <v>0.123</v>
      </c>
    </row>
    <row r="1145" spans="7:8" x14ac:dyDescent="0.25">
      <c r="G1145" t="s">
        <v>1047</v>
      </c>
      <c r="H1145">
        <v>0</v>
      </c>
    </row>
    <row r="1146" spans="7:8" x14ac:dyDescent="0.25">
      <c r="G1146" t="s">
        <v>1183</v>
      </c>
      <c r="H1146">
        <v>0.16500000000000001</v>
      </c>
    </row>
    <row r="1147" spans="7:8" x14ac:dyDescent="0.25">
      <c r="G1147" t="s">
        <v>1289</v>
      </c>
      <c r="H1147">
        <v>5.3999999999999999E-2</v>
      </c>
    </row>
    <row r="1148" spans="7:8" x14ac:dyDescent="0.25">
      <c r="G1148" t="s">
        <v>1163</v>
      </c>
      <c r="H1148">
        <v>0.115</v>
      </c>
    </row>
    <row r="1149" spans="7:8" x14ac:dyDescent="0.25">
      <c r="G1149" t="s">
        <v>780</v>
      </c>
      <c r="H1149">
        <v>0</v>
      </c>
    </row>
    <row r="1150" spans="7:8" x14ac:dyDescent="0.25">
      <c r="G1150" t="s">
        <v>1258</v>
      </c>
      <c r="H1150">
        <v>0.22500000000000001</v>
      </c>
    </row>
    <row r="1151" spans="7:8" x14ac:dyDescent="0.25">
      <c r="G1151" t="s">
        <v>953</v>
      </c>
      <c r="H1151">
        <v>0.26600000000000001</v>
      </c>
    </row>
    <row r="1152" spans="7:8" x14ac:dyDescent="0.25">
      <c r="G1152" t="s">
        <v>987</v>
      </c>
      <c r="H1152">
        <v>0.122</v>
      </c>
    </row>
    <row r="1153" spans="7:8" x14ac:dyDescent="0.25">
      <c r="G1153" t="s">
        <v>1042</v>
      </c>
      <c r="H1153">
        <v>0.153</v>
      </c>
    </row>
    <row r="1154" spans="7:8" x14ac:dyDescent="0.25">
      <c r="G1154" t="s">
        <v>946</v>
      </c>
      <c r="H1154">
        <v>0.128</v>
      </c>
    </row>
    <row r="1155" spans="7:8" x14ac:dyDescent="0.25">
      <c r="G1155" t="s">
        <v>776</v>
      </c>
      <c r="H1155">
        <v>0.318</v>
      </c>
    </row>
    <row r="1156" spans="7:8" x14ac:dyDescent="0.25">
      <c r="G1156" t="s">
        <v>1202</v>
      </c>
      <c r="H1156">
        <v>4.5999999999999999E-2</v>
      </c>
    </row>
    <row r="1157" spans="7:8" x14ac:dyDescent="0.25">
      <c r="G1157" t="s">
        <v>1098</v>
      </c>
      <c r="H1157">
        <v>0.13200000000000001</v>
      </c>
    </row>
    <row r="1158" spans="7:8" x14ac:dyDescent="0.25">
      <c r="G1158" t="s">
        <v>1103</v>
      </c>
      <c r="H1158">
        <v>0.115</v>
      </c>
    </row>
    <row r="1159" spans="7:8" x14ac:dyDescent="0.25">
      <c r="G1159" t="s">
        <v>908</v>
      </c>
      <c r="H1159">
        <v>2.1999999999999999E-2</v>
      </c>
    </row>
    <row r="1160" spans="7:8" x14ac:dyDescent="0.25">
      <c r="G1160" t="s">
        <v>1214</v>
      </c>
      <c r="H1160">
        <v>9.0999999999999998E-2</v>
      </c>
    </row>
    <row r="1161" spans="7:8" x14ac:dyDescent="0.25">
      <c r="G1161" t="s">
        <v>898</v>
      </c>
      <c r="H1161">
        <v>0.02</v>
      </c>
    </row>
    <row r="1162" spans="7:8" x14ac:dyDescent="0.25">
      <c r="G1162" t="s">
        <v>760</v>
      </c>
      <c r="H1162">
        <v>0</v>
      </c>
    </row>
    <row r="1163" spans="7:8" x14ac:dyDescent="0.25">
      <c r="G1163" t="s">
        <v>882</v>
      </c>
      <c r="H1163">
        <v>0.188</v>
      </c>
    </row>
    <row r="1164" spans="7:8" x14ac:dyDescent="0.25">
      <c r="G1164" t="s">
        <v>877</v>
      </c>
      <c r="H1164">
        <v>0.245</v>
      </c>
    </row>
    <row r="1165" spans="7:8" x14ac:dyDescent="0.25">
      <c r="G1165" t="s">
        <v>769</v>
      </c>
      <c r="H1165">
        <v>0.10100000000000001</v>
      </c>
    </row>
    <row r="1166" spans="7:8" x14ac:dyDescent="0.25">
      <c r="G1166" t="s">
        <v>1262</v>
      </c>
      <c r="H1166">
        <v>0</v>
      </c>
    </row>
    <row r="1167" spans="7:8" x14ac:dyDescent="0.25">
      <c r="G1167" t="s">
        <v>1329</v>
      </c>
      <c r="H1167">
        <v>0.14000000000000001</v>
      </c>
    </row>
    <row r="1168" spans="7:8" x14ac:dyDescent="0.25">
      <c r="G1168" t="s">
        <v>868</v>
      </c>
      <c r="H1168">
        <v>0.192</v>
      </c>
    </row>
    <row r="1169" spans="7:8" x14ac:dyDescent="0.25">
      <c r="G1169" t="s">
        <v>1176</v>
      </c>
      <c r="H1169">
        <v>4.2999999999999997E-2</v>
      </c>
    </row>
    <row r="1170" spans="7:8" x14ac:dyDescent="0.25">
      <c r="G1170" t="s">
        <v>1076</v>
      </c>
      <c r="H1170">
        <v>0</v>
      </c>
    </row>
    <row r="1171" spans="7:8" x14ac:dyDescent="0.25">
      <c r="G1171" t="s">
        <v>1343</v>
      </c>
      <c r="H1171">
        <v>0.19400000000000001</v>
      </c>
    </row>
    <row r="1172" spans="7:8" x14ac:dyDescent="0.25">
      <c r="G1172" t="s">
        <v>872</v>
      </c>
      <c r="H1172">
        <v>0.129</v>
      </c>
    </row>
    <row r="1173" spans="7:8" x14ac:dyDescent="0.25">
      <c r="G1173" t="s">
        <v>927</v>
      </c>
      <c r="H1173">
        <v>7.1999999999999995E-2</v>
      </c>
    </row>
    <row r="1174" spans="7:8" x14ac:dyDescent="0.25">
      <c r="G1174" t="s">
        <v>974</v>
      </c>
      <c r="H1174">
        <v>8.5999999999999993E-2</v>
      </c>
    </row>
    <row r="1175" spans="7:8" x14ac:dyDescent="0.25">
      <c r="G1175" t="s">
        <v>1336</v>
      </c>
      <c r="H1175">
        <v>0.19</v>
      </c>
    </row>
    <row r="1176" spans="7:8" x14ac:dyDescent="0.25">
      <c r="G1176" t="s">
        <v>910</v>
      </c>
      <c r="H1176">
        <v>9.0999999999999998E-2</v>
      </c>
    </row>
    <row r="1177" spans="7:8" x14ac:dyDescent="0.25">
      <c r="G1177" t="s">
        <v>1347</v>
      </c>
      <c r="H1177">
        <v>8.1000000000000003E-2</v>
      </c>
    </row>
    <row r="1178" spans="7:8" x14ac:dyDescent="0.25">
      <c r="G1178" t="s">
        <v>1071</v>
      </c>
      <c r="H1178">
        <v>0.21</v>
      </c>
    </row>
    <row r="1179" spans="7:8" x14ac:dyDescent="0.25">
      <c r="G1179" t="s">
        <v>977</v>
      </c>
      <c r="H1179">
        <v>0.23799999999999999</v>
      </c>
    </row>
    <row r="1180" spans="7:8" x14ac:dyDescent="0.25">
      <c r="G1180" t="s">
        <v>1340</v>
      </c>
      <c r="H1180">
        <v>0.16300000000000001</v>
      </c>
    </row>
    <row r="1181" spans="7:8" x14ac:dyDescent="0.25">
      <c r="G1181" t="s">
        <v>1134</v>
      </c>
      <c r="H1181">
        <v>0.18</v>
      </c>
    </row>
    <row r="1182" spans="7:8" x14ac:dyDescent="0.25">
      <c r="G1182" t="s">
        <v>952</v>
      </c>
      <c r="H1182">
        <v>4.0000000000000001E-3</v>
      </c>
    </row>
    <row r="1183" spans="7:8" x14ac:dyDescent="0.25">
      <c r="G1183" t="s">
        <v>1350</v>
      </c>
      <c r="H1183">
        <v>0.109</v>
      </c>
    </row>
    <row r="1184" spans="7:8" x14ac:dyDescent="0.25">
      <c r="G1184" t="s">
        <v>1221</v>
      </c>
      <c r="H1184">
        <v>0.19700000000000001</v>
      </c>
    </row>
    <row r="1185" spans="7:8" x14ac:dyDescent="0.25">
      <c r="G1185" t="s">
        <v>1151</v>
      </c>
      <c r="H1185">
        <v>0.217</v>
      </c>
    </row>
    <row r="1186" spans="7:8" x14ac:dyDescent="0.25">
      <c r="G1186" t="s">
        <v>1115</v>
      </c>
      <c r="H1186">
        <v>7.8E-2</v>
      </c>
    </row>
    <row r="1187" spans="7:8" x14ac:dyDescent="0.25">
      <c r="G1187" t="s">
        <v>942</v>
      </c>
      <c r="H1187">
        <v>0.20300000000000001</v>
      </c>
    </row>
    <row r="1188" spans="7:8" x14ac:dyDescent="0.25">
      <c r="G1188" t="s">
        <v>1335</v>
      </c>
      <c r="H1188">
        <v>0.15</v>
      </c>
    </row>
    <row r="1189" spans="7:8" x14ac:dyDescent="0.25">
      <c r="G1189" t="s">
        <v>884</v>
      </c>
      <c r="H1189">
        <v>0.13100000000000001</v>
      </c>
    </row>
    <row r="1190" spans="7:8" x14ac:dyDescent="0.25">
      <c r="G1190" t="s">
        <v>741</v>
      </c>
      <c r="H1190">
        <v>0.19400000000000001</v>
      </c>
    </row>
    <row r="1191" spans="7:8" x14ac:dyDescent="0.25">
      <c r="G1191" t="s">
        <v>1157</v>
      </c>
      <c r="H1191">
        <v>0.24299999999999999</v>
      </c>
    </row>
    <row r="1192" spans="7:8" x14ac:dyDescent="0.25">
      <c r="G1192" t="s">
        <v>850</v>
      </c>
      <c r="H1192">
        <v>0.157</v>
      </c>
    </row>
    <row r="1193" spans="7:8" x14ac:dyDescent="0.25">
      <c r="G1193" t="s">
        <v>826</v>
      </c>
      <c r="H1193">
        <v>9.6000000000000002E-2</v>
      </c>
    </row>
    <row r="1194" spans="7:8" x14ac:dyDescent="0.25">
      <c r="G1194" t="s">
        <v>1035</v>
      </c>
      <c r="H1194">
        <v>0.19400000000000001</v>
      </c>
    </row>
    <row r="1195" spans="7:8" x14ac:dyDescent="0.25">
      <c r="G1195" t="s">
        <v>773</v>
      </c>
      <c r="H1195">
        <v>0.129</v>
      </c>
    </row>
    <row r="1196" spans="7:8" x14ac:dyDescent="0.25">
      <c r="G1196" t="s">
        <v>1292</v>
      </c>
      <c r="H1196">
        <v>0.12</v>
      </c>
    </row>
    <row r="1197" spans="7:8" x14ac:dyDescent="0.25">
      <c r="G1197" t="s">
        <v>1093</v>
      </c>
      <c r="H1197">
        <v>0.17599999999999999</v>
      </c>
    </row>
    <row r="1198" spans="7:8" x14ac:dyDescent="0.25">
      <c r="G1198" t="s">
        <v>1003</v>
      </c>
      <c r="H1198">
        <v>0.154</v>
      </c>
    </row>
    <row r="1199" spans="7:8" x14ac:dyDescent="0.25">
      <c r="G1199" t="s">
        <v>750</v>
      </c>
      <c r="H1199">
        <v>0.109</v>
      </c>
    </row>
    <row r="1200" spans="7:8" x14ac:dyDescent="0.25">
      <c r="G1200" t="s">
        <v>1195</v>
      </c>
      <c r="H1200">
        <v>0.152</v>
      </c>
    </row>
    <row r="1201" spans="7:8" x14ac:dyDescent="0.25">
      <c r="G1201" t="s">
        <v>933</v>
      </c>
      <c r="H1201">
        <v>0.155</v>
      </c>
    </row>
    <row r="1202" spans="7:8" x14ac:dyDescent="0.25">
      <c r="G1202" t="s">
        <v>963</v>
      </c>
      <c r="H1202">
        <v>0.189</v>
      </c>
    </row>
    <row r="1203" spans="7:8" x14ac:dyDescent="0.25">
      <c r="G1203" t="s">
        <v>1204</v>
      </c>
      <c r="H1203">
        <v>0.13800000000000001</v>
      </c>
    </row>
    <row r="1204" spans="7:8" x14ac:dyDescent="0.25">
      <c r="G1204" t="s">
        <v>887</v>
      </c>
      <c r="H1204">
        <v>0.13600000000000001</v>
      </c>
    </row>
    <row r="1205" spans="7:8" x14ac:dyDescent="0.25">
      <c r="G1205" t="s">
        <v>772</v>
      </c>
      <c r="H1205">
        <v>0.17499999999999999</v>
      </c>
    </row>
    <row r="1206" spans="7:8" x14ac:dyDescent="0.25">
      <c r="G1206" t="s">
        <v>1084</v>
      </c>
      <c r="H1206">
        <v>0.188</v>
      </c>
    </row>
    <row r="1207" spans="7:8" x14ac:dyDescent="0.25">
      <c r="G1207" t="s">
        <v>969</v>
      </c>
      <c r="H1207">
        <v>6.8000000000000005E-2</v>
      </c>
    </row>
    <row r="1208" spans="7:8" x14ac:dyDescent="0.25">
      <c r="G1208" t="s">
        <v>1030</v>
      </c>
      <c r="H1208">
        <v>0.16900000000000001</v>
      </c>
    </row>
    <row r="1209" spans="7:8" x14ac:dyDescent="0.25">
      <c r="G1209" t="s">
        <v>1178</v>
      </c>
      <c r="H1209">
        <v>2.8000000000000001E-2</v>
      </c>
    </row>
    <row r="1210" spans="7:8" x14ac:dyDescent="0.25">
      <c r="G1210" t="s">
        <v>738</v>
      </c>
      <c r="H1210">
        <v>0.10199999999999999</v>
      </c>
    </row>
    <row r="1211" spans="7:8" x14ac:dyDescent="0.25">
      <c r="G1211" t="s">
        <v>913</v>
      </c>
      <c r="H1211">
        <v>0.17299999999999999</v>
      </c>
    </row>
    <row r="1212" spans="7:8" x14ac:dyDescent="0.25">
      <c r="G1212" t="s">
        <v>886</v>
      </c>
      <c r="H1212">
        <v>0.184</v>
      </c>
    </row>
    <row r="1213" spans="7:8" x14ac:dyDescent="0.25">
      <c r="G1213" t="s">
        <v>747</v>
      </c>
      <c r="H1213">
        <v>0</v>
      </c>
    </row>
    <row r="1214" spans="7:8" x14ac:dyDescent="0.25">
      <c r="G1214" t="s">
        <v>935</v>
      </c>
      <c r="H1214">
        <v>0.25800000000000001</v>
      </c>
    </row>
    <row r="1215" spans="7:8" x14ac:dyDescent="0.25">
      <c r="G1215" t="s">
        <v>1107</v>
      </c>
      <c r="H1215">
        <v>3.4000000000000002E-2</v>
      </c>
    </row>
    <row r="1216" spans="7:8" x14ac:dyDescent="0.25">
      <c r="G1216" t="s">
        <v>1008</v>
      </c>
      <c r="H1216">
        <v>0.13500000000000001</v>
      </c>
    </row>
    <row r="1217" spans="7:8" x14ac:dyDescent="0.25">
      <c r="G1217" t="s">
        <v>1025</v>
      </c>
      <c r="H1217">
        <v>0.156</v>
      </c>
    </row>
    <row r="1218" spans="7:8" x14ac:dyDescent="0.25">
      <c r="G1218" t="s">
        <v>1119</v>
      </c>
      <c r="H1218">
        <v>0.104</v>
      </c>
    </row>
    <row r="1219" spans="7:8" x14ac:dyDescent="0.25">
      <c r="G1219" t="s">
        <v>829</v>
      </c>
      <c r="H1219">
        <v>3.4000000000000002E-2</v>
      </c>
    </row>
    <row r="1220" spans="7:8" x14ac:dyDescent="0.25">
      <c r="G1220" t="s">
        <v>1342</v>
      </c>
      <c r="H1220">
        <v>0.104</v>
      </c>
    </row>
    <row r="1221" spans="7:8" x14ac:dyDescent="0.25">
      <c r="G1221" t="s">
        <v>735</v>
      </c>
      <c r="H1221">
        <v>0.23699999999999999</v>
      </c>
    </row>
    <row r="1222" spans="7:8" x14ac:dyDescent="0.25">
      <c r="G1222" t="s">
        <v>1139</v>
      </c>
      <c r="H1222">
        <v>7.6999999999999999E-2</v>
      </c>
    </row>
    <row r="1223" spans="7:8" x14ac:dyDescent="0.25">
      <c r="G1223" t="s">
        <v>1203</v>
      </c>
      <c r="H1223">
        <v>4.9000000000000002E-2</v>
      </c>
    </row>
    <row r="1224" spans="7:8" x14ac:dyDescent="0.25">
      <c r="G1224" t="s">
        <v>1090</v>
      </c>
      <c r="H1224">
        <v>0</v>
      </c>
    </row>
    <row r="1225" spans="7:8" x14ac:dyDescent="0.25">
      <c r="G1225" t="s">
        <v>1177</v>
      </c>
      <c r="H1225">
        <v>0</v>
      </c>
    </row>
    <row r="1226" spans="7:8" x14ac:dyDescent="0.25">
      <c r="G1226" t="s">
        <v>1280</v>
      </c>
      <c r="H1226">
        <v>0.123</v>
      </c>
    </row>
    <row r="1227" spans="7:8" x14ac:dyDescent="0.25">
      <c r="G1227" t="s">
        <v>815</v>
      </c>
      <c r="H1227">
        <v>0.24099999999999999</v>
      </c>
    </row>
    <row r="1228" spans="7:8" x14ac:dyDescent="0.25">
      <c r="G1228" t="s">
        <v>777</v>
      </c>
      <c r="H1228">
        <v>0.14599999999999999</v>
      </c>
    </row>
    <row r="1229" spans="7:8" x14ac:dyDescent="0.25">
      <c r="G1229" t="s">
        <v>1333</v>
      </c>
      <c r="H1229">
        <v>0.16</v>
      </c>
    </row>
    <row r="1230" spans="7:8" x14ac:dyDescent="0.25">
      <c r="G1230" t="s">
        <v>1330</v>
      </c>
      <c r="H1230">
        <v>0.187</v>
      </c>
    </row>
    <row r="1231" spans="7:8" x14ac:dyDescent="0.25">
      <c r="G1231" t="s">
        <v>1088</v>
      </c>
      <c r="H1231">
        <v>0.128</v>
      </c>
    </row>
    <row r="1232" spans="7:8" x14ac:dyDescent="0.25">
      <c r="G1232" t="s">
        <v>1148</v>
      </c>
      <c r="H1232">
        <v>3.2000000000000001E-2</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683D9-37EC-49CD-B460-2E2191846EE0}">
  <dimension ref="A3:B8"/>
  <sheetViews>
    <sheetView workbookViewId="0">
      <selection activeCell="B5" sqref="B5"/>
    </sheetView>
  </sheetViews>
  <sheetFormatPr defaultRowHeight="15" x14ac:dyDescent="0.25"/>
  <cols>
    <col min="1" max="1" width="13.140625" bestFit="1" customWidth="1"/>
    <col min="2" max="2" width="16.140625" bestFit="1" customWidth="1"/>
  </cols>
  <sheetData>
    <row r="3" spans="1:2" x14ac:dyDescent="0.25">
      <c r="A3" s="6" t="s">
        <v>1434</v>
      </c>
      <c r="B3" t="s">
        <v>1468</v>
      </c>
    </row>
    <row r="4" spans="1:2" x14ac:dyDescent="0.25">
      <c r="A4" s="7" t="s">
        <v>646</v>
      </c>
      <c r="B4">
        <v>145</v>
      </c>
    </row>
    <row r="5" spans="1:2" x14ac:dyDescent="0.25">
      <c r="A5" s="7" t="s">
        <v>648</v>
      </c>
      <c r="B5">
        <v>157</v>
      </c>
    </row>
    <row r="6" spans="1:2" x14ac:dyDescent="0.25">
      <c r="A6" s="7" t="s">
        <v>647</v>
      </c>
      <c r="B6">
        <v>171</v>
      </c>
    </row>
    <row r="7" spans="1:2" x14ac:dyDescent="0.25">
      <c r="A7" s="7" t="s">
        <v>649</v>
      </c>
      <c r="B7">
        <v>159</v>
      </c>
    </row>
    <row r="8" spans="1:2" x14ac:dyDescent="0.25">
      <c r="A8" s="7" t="s">
        <v>1435</v>
      </c>
      <c r="B8">
        <v>632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01703-1075-4076-B233-EC65E2751986}">
  <sheetPr codeName="Sheet11"/>
  <dimension ref="A1:AM641"/>
  <sheetViews>
    <sheetView topLeftCell="BK1" zoomScaleNormal="100" workbookViewId="0">
      <selection activeCell="AE641" sqref="AE641"/>
    </sheetView>
  </sheetViews>
  <sheetFormatPr defaultRowHeight="15" x14ac:dyDescent="0.25"/>
  <cols>
    <col min="1" max="1" width="16.42578125" bestFit="1" customWidth="1"/>
    <col min="2" max="2" width="14.85546875" bestFit="1" customWidth="1"/>
    <col min="3" max="3" width="24.140625" style="12" bestFit="1" customWidth="1"/>
    <col min="4" max="4" width="22.7109375" bestFit="1" customWidth="1"/>
    <col min="5" max="5" width="15.42578125" customWidth="1"/>
    <col min="6" max="6" width="15.42578125" style="15" customWidth="1"/>
    <col min="7" max="7" width="9.28515625" customWidth="1"/>
    <col min="8" max="8" width="15.42578125" bestFit="1" customWidth="1"/>
    <col min="9" max="9" width="13.5703125" bestFit="1" customWidth="1"/>
    <col min="10" max="10" width="19.5703125" customWidth="1"/>
    <col min="11" max="11" width="12" bestFit="1" customWidth="1"/>
    <col min="12" max="12" width="13.85546875" customWidth="1"/>
    <col min="13" max="13" width="17.85546875" customWidth="1"/>
    <col min="14" max="14" width="10.28515625" bestFit="1" customWidth="1"/>
    <col min="15" max="15" width="10.85546875" style="29" customWidth="1"/>
    <col min="16" max="16" width="20" bestFit="1" customWidth="1"/>
    <col min="17" max="17" width="20" customWidth="1"/>
    <col min="18" max="18" width="18.5703125" bestFit="1" customWidth="1"/>
    <col min="19" max="19" width="18.5703125" style="5" customWidth="1"/>
    <col min="20" max="20" width="18" bestFit="1" customWidth="1"/>
    <col min="21" max="21" width="18" style="11" bestFit="1" customWidth="1"/>
    <col min="22" max="22" width="18" style="15" customWidth="1"/>
    <col min="23" max="23" width="18" style="11" customWidth="1"/>
    <col min="24" max="27" width="18" style="17" customWidth="1"/>
    <col min="28" max="29" width="18" style="12" customWidth="1"/>
    <col min="30" max="30" width="13.5703125" style="5" customWidth="1"/>
    <col min="31" max="31" width="23.7109375" style="12" bestFit="1" customWidth="1"/>
    <col min="32" max="32" width="15.7109375" bestFit="1" customWidth="1"/>
    <col min="33" max="34" width="15.7109375" customWidth="1"/>
    <col min="35" max="35" width="26.28515625" bestFit="1" customWidth="1"/>
    <col min="36" max="36" width="24.42578125" bestFit="1" customWidth="1"/>
    <col min="37" max="37" width="17.7109375" style="29" bestFit="1" customWidth="1"/>
    <col min="38" max="38" width="16.140625" bestFit="1" customWidth="1"/>
    <col min="39" max="39" width="17.7109375" bestFit="1" customWidth="1"/>
  </cols>
  <sheetData>
    <row r="1" spans="1:39" x14ac:dyDescent="0.25">
      <c r="A1" s="3" t="s">
        <v>0</v>
      </c>
      <c r="B1" s="18" t="s">
        <v>1</v>
      </c>
      <c r="C1" s="18" t="s">
        <v>1441</v>
      </c>
      <c r="D1" s="3" t="s">
        <v>1439</v>
      </c>
      <c r="E1" s="3" t="s">
        <v>2</v>
      </c>
      <c r="F1" s="14" t="s">
        <v>1442</v>
      </c>
      <c r="G1" s="3" t="s">
        <v>3</v>
      </c>
      <c r="H1" s="3" t="s">
        <v>4</v>
      </c>
      <c r="I1" s="3" t="s">
        <v>5</v>
      </c>
      <c r="J1" s="3" t="s">
        <v>6</v>
      </c>
      <c r="K1" s="3" t="s">
        <v>7</v>
      </c>
      <c r="L1" s="3" t="s">
        <v>8</v>
      </c>
      <c r="M1" s="3" t="s">
        <v>9</v>
      </c>
      <c r="N1" s="3" t="s">
        <v>10</v>
      </c>
      <c r="O1" s="30" t="s">
        <v>11</v>
      </c>
      <c r="P1" s="3" t="s">
        <v>1431</v>
      </c>
      <c r="Q1" s="3" t="s">
        <v>1433</v>
      </c>
      <c r="R1" s="3" t="s">
        <v>12</v>
      </c>
      <c r="S1" s="4" t="s">
        <v>1437</v>
      </c>
      <c r="T1" s="3" t="s">
        <v>1432</v>
      </c>
      <c r="U1" s="10" t="s">
        <v>13</v>
      </c>
      <c r="V1" s="14" t="s">
        <v>1514</v>
      </c>
      <c r="W1" s="10" t="s">
        <v>1447</v>
      </c>
      <c r="X1" s="16" t="s">
        <v>1445</v>
      </c>
      <c r="Y1" s="16" t="s">
        <v>1446</v>
      </c>
      <c r="Z1" s="16" t="s">
        <v>1443</v>
      </c>
      <c r="AA1" s="16" t="s">
        <v>1451</v>
      </c>
      <c r="AB1" s="18" t="s">
        <v>1450</v>
      </c>
      <c r="AC1" s="18" t="s">
        <v>1549</v>
      </c>
      <c r="AD1" s="3" t="s">
        <v>14</v>
      </c>
      <c r="AE1" s="18" t="s">
        <v>1457</v>
      </c>
      <c r="AF1" s="3" t="s">
        <v>1458</v>
      </c>
      <c r="AG1" s="3" t="s">
        <v>1525</v>
      </c>
      <c r="AH1" s="3" t="s">
        <v>1524</v>
      </c>
      <c r="AI1" s="3" t="s">
        <v>1532</v>
      </c>
      <c r="AJ1" s="3" t="s">
        <v>1531</v>
      </c>
      <c r="AK1" s="30" t="s">
        <v>1523</v>
      </c>
      <c r="AL1" s="14" t="s">
        <v>1510</v>
      </c>
      <c r="AM1" s="13" t="s">
        <v>1459</v>
      </c>
    </row>
    <row r="2" spans="1:39" x14ac:dyDescent="0.25">
      <c r="A2" t="s">
        <v>15</v>
      </c>
      <c r="B2" s="12">
        <v>45362</v>
      </c>
      <c r="C2" s="12">
        <f t="shared" ref="C2:C65" si="0">IF(D2="Check",B2+7,E2)</f>
        <v>45388</v>
      </c>
      <c r="D2" s="2" t="str">
        <f>IF(Table1[[#This Row],[RequiredDate]]&lt;Table1[[#This Row],[OrderDate]],"Check","OK")</f>
        <v>OK</v>
      </c>
      <c r="E2" s="2">
        <v>45388</v>
      </c>
      <c r="F2" s="15">
        <f t="shared" ref="F2:F65" si="1">C2-B2</f>
        <v>26</v>
      </c>
      <c r="G2" t="s">
        <v>646</v>
      </c>
      <c r="H2" t="s">
        <v>650</v>
      </c>
      <c r="I2" t="s">
        <v>662</v>
      </c>
      <c r="J2" t="s">
        <v>701</v>
      </c>
      <c r="K2" t="s">
        <v>707</v>
      </c>
      <c r="L2" t="s">
        <v>712</v>
      </c>
      <c r="M2" t="s">
        <v>727</v>
      </c>
      <c r="N2" t="s">
        <v>734</v>
      </c>
      <c r="O2" s="29">
        <v>279.24</v>
      </c>
      <c r="P2" t="str">
        <f>IF(Table1[[#This Row],[UnitPrice]]&lt;=0,"Check","OK")</f>
        <v>OK</v>
      </c>
      <c r="Q2" s="29">
        <f t="shared" ref="Q2:Q65" si="2">IF(R2&lt;0,0,R2)</f>
        <v>608.9</v>
      </c>
      <c r="R2" s="29">
        <v>608.9</v>
      </c>
      <c r="S2" s="5">
        <f>IF(Table1[[#This Row],[Discount_Flag]]="Check", MIN(MAX(Table1[[#This Row],[DiscountPct]],0),0.3), Table1[[#This Row],[DiscountPct]])</f>
        <v>0.112</v>
      </c>
      <c r="T2" t="str">
        <f>IF(OR(Table1[[#This Row],[DiscountPct]]&lt;0,Table1[[#This Row],[DiscountPct]]&gt;0.3),"Check","OK")</f>
        <v>OK</v>
      </c>
      <c r="U2" s="11">
        <v>0.112</v>
      </c>
      <c r="V2" s="15">
        <f t="shared" ref="V2:V65" si="3">IF(U2&gt;0.2,1,0)</f>
        <v>0</v>
      </c>
      <c r="W2" s="11">
        <f t="shared" ref="W2:W65" si="4">IF(Z2=0, 0, Y2/Z2)</f>
        <v>0.48356140670149533</v>
      </c>
      <c r="X2" s="17">
        <f t="shared" ref="X2:X65" si="5">O2*AD2</f>
        <v>2513.16</v>
      </c>
      <c r="Y2" s="17">
        <f t="shared" ref="Y2:Y65" si="6">Z2-X2</f>
        <v>2353.1687999999995</v>
      </c>
      <c r="Z2" s="17">
        <f t="shared" ref="Z2:Z65" si="7">Q2*AD2*(1-S2)</f>
        <v>4866.3287999999993</v>
      </c>
      <c r="AA2" s="17" t="str">
        <f t="shared" ref="AA2:AA65" si="8">"Q"&amp;ROUNDUP(MONTH(B2)/3,0)&amp;"-"&amp;YEAR(B2)</f>
        <v>Q1-2024</v>
      </c>
      <c r="AB2" s="12" t="str">
        <f t="shared" ref="AB2:AB65" si="9">TEXT(B2,"MMM-YYYY")</f>
        <v>Mar-2024</v>
      </c>
      <c r="AC2" s="12" t="str">
        <f t="shared" ref="AC2:AC65" si="10">IF(Q2&lt;=$AE$639,"Low",IF(Q2&lt;=$AE$641,"Medium","High"))</f>
        <v>Medium</v>
      </c>
      <c r="AD2">
        <v>9</v>
      </c>
      <c r="AE2" s="12">
        <f>_xlfn.MINIFS(Table1[MonthDate], Table1[Country], Table1[[#This Row],[Country]])</f>
        <v>44927</v>
      </c>
      <c r="AF2" s="12">
        <f t="shared" ref="AF2:AF65" si="11">DATE(YEAR(B2), MONTH(B2), 1)</f>
        <v>45352</v>
      </c>
      <c r="AG2">
        <f>AD2*(1 + Scenario_Control!$B$4)</f>
        <v>9.9</v>
      </c>
      <c r="AH2">
        <f>O2*(1 + Scenario_Control!$B$3)</f>
        <v>293.202</v>
      </c>
      <c r="AI2">
        <f t="shared" ref="AI2:AI65" si="12">AK2 * AG2 * (1 - U2)</f>
        <v>1070.5923360000002</v>
      </c>
      <c r="AJ2">
        <f t="shared" ref="AJ2:AJ65" si="13">AI2 - (AH2 * AG2)</f>
        <v>-1832.1074639999997</v>
      </c>
      <c r="AK2" s="29">
        <f>MIN(Q2*(1-U2), Scenario_Control!$B$2*Q2)</f>
        <v>121.78</v>
      </c>
      <c r="AL2" s="15">
        <f t="shared" ref="AL2:AL65" si="14">IF(F2&lt;=7,1,0)</f>
        <v>0</v>
      </c>
      <c r="AM2" s="8">
        <f>DATEDIF(Table1[[#This Row],[Country_FirstMonth]], Table1[[#This Row],[MonthDate]], "m")</f>
        <v>14</v>
      </c>
    </row>
    <row r="3" spans="1:39" x14ac:dyDescent="0.25">
      <c r="A3" t="s">
        <v>16</v>
      </c>
      <c r="B3" s="12">
        <v>45588</v>
      </c>
      <c r="C3" s="12">
        <f>IF(D3="Check",B3+7,E3)</f>
        <v>45595</v>
      </c>
      <c r="D3" s="2" t="str">
        <f>IF(Table1[[#This Row],[RequiredDate]]&lt;Table1[[#This Row],[OrderDate]],"Check","OK")</f>
        <v>Check</v>
      </c>
      <c r="E3" s="2">
        <v>45587</v>
      </c>
      <c r="F3" s="15">
        <f t="shared" si="1"/>
        <v>7</v>
      </c>
      <c r="G3" t="s">
        <v>646</v>
      </c>
      <c r="H3" t="s">
        <v>651</v>
      </c>
      <c r="I3" t="s">
        <v>663</v>
      </c>
      <c r="J3" t="s">
        <v>702</v>
      </c>
      <c r="K3" t="s">
        <v>708</v>
      </c>
      <c r="L3" t="s">
        <v>713</v>
      </c>
      <c r="M3" t="s">
        <v>728</v>
      </c>
      <c r="N3" t="s">
        <v>735</v>
      </c>
      <c r="O3" s="29">
        <v>1084.3900000000001</v>
      </c>
      <c r="P3" t="str">
        <f>IF(Table1[[#This Row],[UnitPrice]]&lt;=0,"Check","OK")</f>
        <v>OK</v>
      </c>
      <c r="Q3" s="29">
        <f t="shared" si="2"/>
        <v>759.33</v>
      </c>
      <c r="R3">
        <v>759.33</v>
      </c>
      <c r="S3" s="5">
        <f>IF(Table1[[#This Row],[Discount_Flag]]="Check", MIN(MAX(Table1[[#This Row],[DiscountPct]],0),0.3), Table1[[#This Row],[DiscountPct]])</f>
        <v>0.23699999999999999</v>
      </c>
      <c r="T3" t="str">
        <f>IF(OR(Table1[[#This Row],[DiscountPct]]&lt;0,Table1[[#This Row],[DiscountPct]]&gt;0.3),"Check","OK")</f>
        <v>OK</v>
      </c>
      <c r="U3" s="11">
        <v>0.23699999999999999</v>
      </c>
      <c r="V3" s="15">
        <f t="shared" si="3"/>
        <v>1</v>
      </c>
      <c r="W3" s="11">
        <f t="shared" si="4"/>
        <v>-0.87167486187856302</v>
      </c>
      <c r="X3" s="17">
        <f t="shared" si="5"/>
        <v>33616.090000000004</v>
      </c>
      <c r="Y3" s="17">
        <f t="shared" si="6"/>
        <v>-15655.657510000005</v>
      </c>
      <c r="Z3" s="17">
        <f t="shared" si="7"/>
        <v>17960.432489999999</v>
      </c>
      <c r="AA3" s="17" t="str">
        <f t="shared" si="8"/>
        <v>Q4-2024</v>
      </c>
      <c r="AB3" s="12" t="str">
        <f t="shared" si="9"/>
        <v>Oct-2024</v>
      </c>
      <c r="AC3" s="12" t="str">
        <f t="shared" si="10"/>
        <v>Medium</v>
      </c>
      <c r="AD3">
        <v>31</v>
      </c>
      <c r="AE3" s="12">
        <f>_xlfn.MINIFS(Table1[MonthDate], Table1[Country], Table1[[#This Row],[Country]])</f>
        <v>44927</v>
      </c>
      <c r="AF3" s="12">
        <f t="shared" si="11"/>
        <v>45566</v>
      </c>
      <c r="AG3">
        <f>AD3*(1 + Scenario_Control!$B$4)</f>
        <v>34.1</v>
      </c>
      <c r="AH3">
        <f>O3*(1 + Scenario_Control!$B$3)</f>
        <v>1138.6095000000003</v>
      </c>
      <c r="AI3">
        <f t="shared" si="12"/>
        <v>3951.2951478000004</v>
      </c>
      <c r="AJ3">
        <f t="shared" si="13"/>
        <v>-34875.288802200004</v>
      </c>
      <c r="AK3" s="29">
        <f>MIN(Q3*(1-U3), Scenario_Control!$B$2*Q3)</f>
        <v>151.86600000000001</v>
      </c>
      <c r="AL3" s="15">
        <f t="shared" si="14"/>
        <v>1</v>
      </c>
      <c r="AM3" s="8">
        <f>DATEDIF(Table1[[#This Row],[Country_FirstMonth]], Table1[[#This Row],[MonthDate]], "m")</f>
        <v>21</v>
      </c>
    </row>
    <row r="4" spans="1:39" x14ac:dyDescent="0.25">
      <c r="A4" t="s">
        <v>17</v>
      </c>
      <c r="B4" s="12">
        <v>44985</v>
      </c>
      <c r="C4" s="12">
        <f t="shared" si="0"/>
        <v>45010</v>
      </c>
      <c r="D4" s="2" t="str">
        <f>IF(Table1[[#This Row],[RequiredDate]]&lt;Table1[[#This Row],[OrderDate]],"Check","OK")</f>
        <v>OK</v>
      </c>
      <c r="E4" s="2">
        <v>45010</v>
      </c>
      <c r="F4" s="15">
        <f t="shared" si="1"/>
        <v>25</v>
      </c>
      <c r="G4" t="s">
        <v>646</v>
      </c>
      <c r="H4" t="s">
        <v>650</v>
      </c>
      <c r="I4" t="s">
        <v>664</v>
      </c>
      <c r="J4" t="s">
        <v>701</v>
      </c>
      <c r="K4" t="s">
        <v>707</v>
      </c>
      <c r="L4" t="s">
        <v>714</v>
      </c>
      <c r="M4" t="s">
        <v>729</v>
      </c>
      <c r="N4" t="s">
        <v>736</v>
      </c>
      <c r="O4" s="29">
        <v>1460.76</v>
      </c>
      <c r="P4" t="str">
        <f>IF(Table1[[#This Row],[UnitPrice]]&lt;=0,"Check","OK")</f>
        <v>Check</v>
      </c>
      <c r="Q4" s="29">
        <f t="shared" si="2"/>
        <v>0</v>
      </c>
      <c r="R4">
        <v>-30.66</v>
      </c>
      <c r="S4" s="5">
        <f>IF(Table1[[#This Row],[Discount_Flag]]="Check", MIN(MAX(Table1[[#This Row],[DiscountPct]],0),0.3), Table1[[#This Row],[DiscountPct]])</f>
        <v>0.13100000000000001</v>
      </c>
      <c r="T4" t="str">
        <f>IF(OR(Table1[[#This Row],[DiscountPct]]&lt;0,Table1[[#This Row],[DiscountPct]]&gt;0.3),"Check","OK")</f>
        <v>OK</v>
      </c>
      <c r="U4" s="11">
        <v>0.13100000000000001</v>
      </c>
      <c r="V4" s="15">
        <f t="shared" si="3"/>
        <v>0</v>
      </c>
      <c r="W4" s="11">
        <f t="shared" si="4"/>
        <v>0</v>
      </c>
      <c r="X4" s="17">
        <f t="shared" si="5"/>
        <v>17529.12</v>
      </c>
      <c r="Y4" s="17">
        <f t="shared" si="6"/>
        <v>-17529.12</v>
      </c>
      <c r="Z4" s="17">
        <f t="shared" si="7"/>
        <v>0</v>
      </c>
      <c r="AA4" s="17" t="str">
        <f t="shared" si="8"/>
        <v>Q1-2023</v>
      </c>
      <c r="AB4" s="12" t="str">
        <f t="shared" si="9"/>
        <v>Feb-2023</v>
      </c>
      <c r="AC4" s="12" t="str">
        <f t="shared" si="10"/>
        <v>Low</v>
      </c>
      <c r="AD4">
        <v>12</v>
      </c>
      <c r="AE4" s="12">
        <f>_xlfn.MINIFS(Table1[MonthDate], Table1[Country], Table1[[#This Row],[Country]])</f>
        <v>44927</v>
      </c>
      <c r="AF4" s="12">
        <f t="shared" si="11"/>
        <v>44958</v>
      </c>
      <c r="AG4">
        <f>AD4*(1 + Scenario_Control!$B$4)</f>
        <v>13.200000000000001</v>
      </c>
      <c r="AH4">
        <f>O4*(1 + Scenario_Control!$B$3)</f>
        <v>1533.798</v>
      </c>
      <c r="AI4">
        <f t="shared" si="12"/>
        <v>0</v>
      </c>
      <c r="AJ4">
        <f t="shared" si="13"/>
        <v>-20246.133600000001</v>
      </c>
      <c r="AK4" s="29">
        <f>MIN(Q4*(1-U4), Scenario_Control!$B$2*Q4)</f>
        <v>0</v>
      </c>
      <c r="AL4" s="15">
        <f t="shared" si="14"/>
        <v>0</v>
      </c>
      <c r="AM4" s="8">
        <f>DATEDIF(Table1[[#This Row],[Country_FirstMonth]], Table1[[#This Row],[MonthDate]], "m")</f>
        <v>1</v>
      </c>
    </row>
    <row r="5" spans="1:39" x14ac:dyDescent="0.25">
      <c r="A5" t="s">
        <v>18</v>
      </c>
      <c r="B5" s="12">
        <v>45745</v>
      </c>
      <c r="C5" s="12">
        <f t="shared" si="0"/>
        <v>45749</v>
      </c>
      <c r="D5" s="2" t="str">
        <f>IF(Table1[[#This Row],[RequiredDate]]&lt;Table1[[#This Row],[OrderDate]],"Check","OK")</f>
        <v>OK</v>
      </c>
      <c r="E5" s="2">
        <v>45749</v>
      </c>
      <c r="F5" s="15">
        <f t="shared" si="1"/>
        <v>4</v>
      </c>
      <c r="G5" t="s">
        <v>646</v>
      </c>
      <c r="H5" t="s">
        <v>651</v>
      </c>
      <c r="I5" t="s">
        <v>665</v>
      </c>
      <c r="J5" t="s">
        <v>703</v>
      </c>
      <c r="K5" t="s">
        <v>709</v>
      </c>
      <c r="L5" t="s">
        <v>715</v>
      </c>
      <c r="M5" t="s">
        <v>730</v>
      </c>
      <c r="N5" t="s">
        <v>737</v>
      </c>
      <c r="O5" s="29">
        <v>259.93</v>
      </c>
      <c r="P5" t="str">
        <f>IF(Table1[[#This Row],[UnitPrice]]&lt;=0,"Check","OK")</f>
        <v>OK</v>
      </c>
      <c r="Q5" s="29">
        <f t="shared" si="2"/>
        <v>255.94</v>
      </c>
      <c r="R5">
        <v>255.94</v>
      </c>
      <c r="S5" s="5">
        <f>IF(Table1[[#This Row],[Discount_Flag]]="Check", MIN(MAX(Table1[[#This Row],[DiscountPct]],0),0.3), Table1[[#This Row],[DiscountPct]])</f>
        <v>7.1999999999999995E-2</v>
      </c>
      <c r="T5" t="str">
        <f>IF(OR(Table1[[#This Row],[DiscountPct]]&lt;0,Table1[[#This Row],[DiscountPct]]&gt;0.3),"Check","OK")</f>
        <v>OK</v>
      </c>
      <c r="U5" s="11">
        <v>7.1999999999999995E-2</v>
      </c>
      <c r="V5" s="15">
        <f t="shared" si="3"/>
        <v>0</v>
      </c>
      <c r="W5" s="11">
        <f t="shared" si="4"/>
        <v>-9.4385335463861311E-2</v>
      </c>
      <c r="X5" s="17">
        <f t="shared" si="5"/>
        <v>5718.46</v>
      </c>
      <c r="Y5" s="17">
        <f t="shared" si="6"/>
        <v>-493.1889599999995</v>
      </c>
      <c r="Z5" s="17">
        <f t="shared" si="7"/>
        <v>5225.2710400000005</v>
      </c>
      <c r="AA5" s="17" t="str">
        <f t="shared" si="8"/>
        <v>Q1-2025</v>
      </c>
      <c r="AB5" s="12" t="str">
        <f t="shared" si="9"/>
        <v>Mar-2025</v>
      </c>
      <c r="AC5" s="12" t="str">
        <f t="shared" si="10"/>
        <v>Low</v>
      </c>
      <c r="AD5">
        <v>22</v>
      </c>
      <c r="AE5" s="12">
        <f>_xlfn.MINIFS(Table1[MonthDate], Table1[Country], Table1[[#This Row],[Country]])</f>
        <v>44927</v>
      </c>
      <c r="AF5" s="12">
        <f t="shared" si="11"/>
        <v>45717</v>
      </c>
      <c r="AG5">
        <f>AD5*(1 + Scenario_Control!$B$4)</f>
        <v>24.200000000000003</v>
      </c>
      <c r="AH5">
        <f>O5*(1 + Scenario_Control!$B$3)</f>
        <v>272.92650000000003</v>
      </c>
      <c r="AI5">
        <f t="shared" si="12"/>
        <v>1149.5596288000002</v>
      </c>
      <c r="AJ5">
        <f t="shared" si="13"/>
        <v>-5455.2616712000017</v>
      </c>
      <c r="AK5" s="29">
        <f>MIN(Q5*(1-U5), Scenario_Control!$B$2*Q5)</f>
        <v>51.188000000000002</v>
      </c>
      <c r="AL5" s="15">
        <f t="shared" si="14"/>
        <v>1</v>
      </c>
      <c r="AM5" s="8">
        <f>DATEDIF(Table1[[#This Row],[Country_FirstMonth]], Table1[[#This Row],[MonthDate]], "m")</f>
        <v>26</v>
      </c>
    </row>
    <row r="6" spans="1:39" x14ac:dyDescent="0.25">
      <c r="A6" t="s">
        <v>19</v>
      </c>
      <c r="B6" s="12">
        <v>45266</v>
      </c>
      <c r="C6" s="12">
        <f t="shared" si="0"/>
        <v>45291</v>
      </c>
      <c r="D6" s="2" t="str">
        <f>IF(Table1[[#This Row],[RequiredDate]]&lt;Table1[[#This Row],[OrderDate]],"Check","OK")</f>
        <v>OK</v>
      </c>
      <c r="E6" s="2">
        <v>45291</v>
      </c>
      <c r="F6" s="15">
        <f t="shared" si="1"/>
        <v>25</v>
      </c>
      <c r="G6" t="s">
        <v>647</v>
      </c>
      <c r="H6" t="s">
        <v>652</v>
      </c>
      <c r="I6" t="s">
        <v>666</v>
      </c>
      <c r="J6" t="s">
        <v>704</v>
      </c>
      <c r="K6" t="s">
        <v>707</v>
      </c>
      <c r="L6" t="s">
        <v>716</v>
      </c>
      <c r="M6" t="s">
        <v>728</v>
      </c>
      <c r="N6" t="s">
        <v>738</v>
      </c>
      <c r="O6" s="29">
        <v>663.03</v>
      </c>
      <c r="P6" t="str">
        <f>IF(Table1[[#This Row],[UnitPrice]]&lt;=0,"Check","OK")</f>
        <v>OK</v>
      </c>
      <c r="Q6" s="29">
        <f t="shared" si="2"/>
        <v>813.51</v>
      </c>
      <c r="R6">
        <v>813.51</v>
      </c>
      <c r="S6" s="5">
        <f>IF(Table1[[#This Row],[Discount_Flag]]="Check", MIN(MAX(Table1[[#This Row],[DiscountPct]],0),0.3), Table1[[#This Row],[DiscountPct]])</f>
        <v>0.10199999999999999</v>
      </c>
      <c r="T6" t="str">
        <f>IF(OR(Table1[[#This Row],[DiscountPct]]&lt;0,Table1[[#This Row],[DiscountPct]]&gt;0.3),"Check","OK")</f>
        <v>OK</v>
      </c>
      <c r="U6" s="11">
        <v>0.10199999999999999</v>
      </c>
      <c r="V6" s="15">
        <f t="shared" si="3"/>
        <v>0</v>
      </c>
      <c r="W6" s="11">
        <f t="shared" si="4"/>
        <v>9.2401129379715952E-2</v>
      </c>
      <c r="X6" s="17">
        <f t="shared" si="5"/>
        <v>9945.4499999999989</v>
      </c>
      <c r="Y6" s="17">
        <f t="shared" si="6"/>
        <v>1012.529700000001</v>
      </c>
      <c r="Z6" s="17">
        <f t="shared" si="7"/>
        <v>10957.9797</v>
      </c>
      <c r="AA6" s="17" t="str">
        <f t="shared" si="8"/>
        <v>Q4-2023</v>
      </c>
      <c r="AB6" s="12" t="str">
        <f t="shared" si="9"/>
        <v>Dec-2023</v>
      </c>
      <c r="AC6" s="12" t="str">
        <f t="shared" si="10"/>
        <v>Medium</v>
      </c>
      <c r="AD6">
        <v>15</v>
      </c>
      <c r="AE6" s="12">
        <f>_xlfn.MINIFS(Table1[MonthDate], Table1[Country], Table1[[#This Row],[Country]])</f>
        <v>44986</v>
      </c>
      <c r="AF6" s="12">
        <f t="shared" si="11"/>
        <v>45261</v>
      </c>
      <c r="AG6">
        <f>AD6*(1 + Scenario_Control!$B$4)</f>
        <v>16.5</v>
      </c>
      <c r="AH6">
        <f>O6*(1 + Scenario_Control!$B$3)</f>
        <v>696.18150000000003</v>
      </c>
      <c r="AI6">
        <f t="shared" si="12"/>
        <v>2410.7555340000004</v>
      </c>
      <c r="AJ6">
        <f t="shared" si="13"/>
        <v>-9076.2392159999999</v>
      </c>
      <c r="AK6" s="29">
        <f>MIN(Q6*(1-U6), Scenario_Control!$B$2*Q6)</f>
        <v>162.702</v>
      </c>
      <c r="AL6" s="15">
        <f t="shared" si="14"/>
        <v>0</v>
      </c>
      <c r="AM6" s="8">
        <f>DATEDIF(Table1[[#This Row],[Country_FirstMonth]], Table1[[#This Row],[MonthDate]], "m")</f>
        <v>9</v>
      </c>
    </row>
    <row r="7" spans="1:39" x14ac:dyDescent="0.25">
      <c r="A7" t="s">
        <v>20</v>
      </c>
      <c r="B7" s="12">
        <v>44928</v>
      </c>
      <c r="C7" s="12">
        <f t="shared" si="0"/>
        <v>44931</v>
      </c>
      <c r="D7" s="2" t="str">
        <f>IF(Table1[[#This Row],[RequiredDate]]&lt;Table1[[#This Row],[OrderDate]],"Check","OK")</f>
        <v>OK</v>
      </c>
      <c r="E7" s="2">
        <v>44931</v>
      </c>
      <c r="F7" s="15">
        <f t="shared" si="1"/>
        <v>3</v>
      </c>
      <c r="G7" t="s">
        <v>648</v>
      </c>
      <c r="H7" t="s">
        <v>653</v>
      </c>
      <c r="I7" t="s">
        <v>667</v>
      </c>
      <c r="J7" t="s">
        <v>701</v>
      </c>
      <c r="K7" t="s">
        <v>710</v>
      </c>
      <c r="L7" t="s">
        <v>717</v>
      </c>
      <c r="M7" t="s">
        <v>731</v>
      </c>
      <c r="N7" t="s">
        <v>739</v>
      </c>
      <c r="O7" s="29">
        <v>315.87</v>
      </c>
      <c r="P7" t="str">
        <f>IF(Table1[[#This Row],[UnitPrice]]&lt;=0,"Check","OK")</f>
        <v>OK</v>
      </c>
      <c r="Q7" s="29">
        <f t="shared" si="2"/>
        <v>591.67999999999995</v>
      </c>
      <c r="R7">
        <v>591.67999999999995</v>
      </c>
      <c r="S7" s="5">
        <f>IF(Table1[[#This Row],[Discount_Flag]]="Check", MIN(MAX(Table1[[#This Row],[DiscountPct]],0),0.3), Table1[[#This Row],[DiscountPct]])</f>
        <v>0</v>
      </c>
      <c r="T7" t="str">
        <f>IF(OR(Table1[[#This Row],[DiscountPct]]&lt;0,Table1[[#This Row],[DiscountPct]]&gt;0.3),"Check","OK")</f>
        <v>OK</v>
      </c>
      <c r="U7" s="11">
        <v>0</v>
      </c>
      <c r="V7" s="15">
        <f t="shared" si="3"/>
        <v>0</v>
      </c>
      <c r="W7" s="11">
        <f t="shared" si="4"/>
        <v>0.46614724175229844</v>
      </c>
      <c r="X7" s="17">
        <f t="shared" si="5"/>
        <v>2211.09</v>
      </c>
      <c r="Y7" s="17">
        <f t="shared" si="6"/>
        <v>1930.6699999999992</v>
      </c>
      <c r="Z7" s="17">
        <f t="shared" si="7"/>
        <v>4141.7599999999993</v>
      </c>
      <c r="AA7" s="17" t="str">
        <f t="shared" si="8"/>
        <v>Q1-2023</v>
      </c>
      <c r="AB7" s="12" t="str">
        <f t="shared" si="9"/>
        <v>Jan-2023</v>
      </c>
      <c r="AC7" s="12" t="str">
        <f t="shared" si="10"/>
        <v>Low</v>
      </c>
      <c r="AD7">
        <v>7</v>
      </c>
      <c r="AE7" s="12">
        <f>_xlfn.MINIFS(Table1[MonthDate], Table1[Country], Table1[[#This Row],[Country]])</f>
        <v>44927</v>
      </c>
      <c r="AF7" s="12">
        <f t="shared" si="11"/>
        <v>44927</v>
      </c>
      <c r="AG7">
        <f>AD7*(1 + Scenario_Control!$B$4)</f>
        <v>7.7000000000000011</v>
      </c>
      <c r="AH7">
        <f>O7*(1 + Scenario_Control!$B$3)</f>
        <v>331.6635</v>
      </c>
      <c r="AI7">
        <f t="shared" si="12"/>
        <v>911.18720000000008</v>
      </c>
      <c r="AJ7">
        <f t="shared" si="13"/>
        <v>-1642.6217500000005</v>
      </c>
      <c r="AK7" s="29">
        <f>MIN(Q7*(1-U7), Scenario_Control!$B$2*Q7)</f>
        <v>118.336</v>
      </c>
      <c r="AL7" s="15">
        <f t="shared" si="14"/>
        <v>1</v>
      </c>
      <c r="AM7" s="8">
        <f>DATEDIF(Table1[[#This Row],[Country_FirstMonth]], Table1[[#This Row],[MonthDate]], "m")</f>
        <v>0</v>
      </c>
    </row>
    <row r="8" spans="1:39" x14ac:dyDescent="0.25">
      <c r="A8" t="s">
        <v>21</v>
      </c>
      <c r="B8" s="12">
        <v>45653</v>
      </c>
      <c r="C8" s="12">
        <f t="shared" si="0"/>
        <v>45671</v>
      </c>
      <c r="D8" s="2" t="str">
        <f>IF(Table1[[#This Row],[RequiredDate]]&lt;Table1[[#This Row],[OrderDate]],"Check","OK")</f>
        <v>OK</v>
      </c>
      <c r="E8" s="2">
        <v>45671</v>
      </c>
      <c r="F8" s="15">
        <f t="shared" si="1"/>
        <v>18</v>
      </c>
      <c r="G8" t="s">
        <v>647</v>
      </c>
      <c r="H8" t="s">
        <v>654</v>
      </c>
      <c r="I8" t="s">
        <v>668</v>
      </c>
      <c r="J8" t="s">
        <v>705</v>
      </c>
      <c r="K8" t="s">
        <v>709</v>
      </c>
      <c r="L8" t="s">
        <v>718</v>
      </c>
      <c r="M8" t="s">
        <v>732</v>
      </c>
      <c r="N8" t="s">
        <v>740</v>
      </c>
      <c r="O8" s="29">
        <v>586.07000000000005</v>
      </c>
      <c r="P8" t="str">
        <f>IF(Table1[[#This Row],[UnitPrice]]&lt;=0,"Check","OK")</f>
        <v>OK</v>
      </c>
      <c r="Q8" s="29">
        <f t="shared" si="2"/>
        <v>845.97</v>
      </c>
      <c r="R8">
        <v>845.97</v>
      </c>
      <c r="S8" s="5">
        <f>IF(Table1[[#This Row],[Discount_Flag]]="Check", MIN(MAX(Table1[[#This Row],[DiscountPct]],0),0.3), Table1[[#This Row],[DiscountPct]])</f>
        <v>0.14699999999999999</v>
      </c>
      <c r="T8" t="str">
        <f>IF(OR(Table1[[#This Row],[DiscountPct]]&lt;0,Table1[[#This Row],[DiscountPct]]&gt;0.3),"Check","OK")</f>
        <v>OK</v>
      </c>
      <c r="U8" s="11">
        <v>0.14699999999999999</v>
      </c>
      <c r="V8" s="15">
        <f t="shared" si="3"/>
        <v>0</v>
      </c>
      <c r="W8" s="11">
        <f t="shared" si="4"/>
        <v>0.18783270370862928</v>
      </c>
      <c r="X8" s="17">
        <f t="shared" si="5"/>
        <v>2344.2800000000002</v>
      </c>
      <c r="Y8" s="17">
        <f t="shared" si="6"/>
        <v>542.16963999999962</v>
      </c>
      <c r="Z8" s="17">
        <f t="shared" si="7"/>
        <v>2886.4496399999998</v>
      </c>
      <c r="AA8" s="17" t="str">
        <f t="shared" si="8"/>
        <v>Q4-2024</v>
      </c>
      <c r="AB8" s="12" t="str">
        <f t="shared" si="9"/>
        <v>Dec-2024</v>
      </c>
      <c r="AC8" s="12" t="str">
        <f t="shared" si="10"/>
        <v>Medium</v>
      </c>
      <c r="AD8">
        <v>4</v>
      </c>
      <c r="AE8" s="12">
        <f>_xlfn.MINIFS(Table1[MonthDate], Table1[Country], Table1[[#This Row],[Country]])</f>
        <v>44927</v>
      </c>
      <c r="AF8" s="12">
        <f t="shared" si="11"/>
        <v>45627</v>
      </c>
      <c r="AG8">
        <f>AD8*(1 + Scenario_Control!$B$4)</f>
        <v>4.4000000000000004</v>
      </c>
      <c r="AH8">
        <f>O8*(1 + Scenario_Control!$B$3)</f>
        <v>615.37350000000004</v>
      </c>
      <c r="AI8">
        <f t="shared" si="12"/>
        <v>635.01892080000016</v>
      </c>
      <c r="AJ8">
        <f t="shared" si="13"/>
        <v>-2072.6244792000002</v>
      </c>
      <c r="AK8" s="29">
        <f>MIN(Q8*(1-U8), Scenario_Control!$B$2*Q8)</f>
        <v>169.19400000000002</v>
      </c>
      <c r="AL8" s="15">
        <f t="shared" si="14"/>
        <v>0</v>
      </c>
      <c r="AM8" s="8">
        <f>DATEDIF(Table1[[#This Row],[Country_FirstMonth]], Table1[[#This Row],[MonthDate]], "m")</f>
        <v>23</v>
      </c>
    </row>
    <row r="9" spans="1:39" x14ac:dyDescent="0.25">
      <c r="A9" t="s">
        <v>22</v>
      </c>
      <c r="B9" s="12">
        <v>44941</v>
      </c>
      <c r="C9" s="12">
        <f t="shared" si="0"/>
        <v>44948</v>
      </c>
      <c r="D9" s="2" t="str">
        <f>IF(Table1[[#This Row],[RequiredDate]]&lt;Table1[[#This Row],[OrderDate]],"Check","OK")</f>
        <v>Check</v>
      </c>
      <c r="E9" s="2">
        <v>44939</v>
      </c>
      <c r="F9" s="15">
        <f t="shared" si="1"/>
        <v>7</v>
      </c>
      <c r="G9" t="s">
        <v>646</v>
      </c>
      <c r="H9" t="s">
        <v>651</v>
      </c>
      <c r="I9" t="s">
        <v>669</v>
      </c>
      <c r="J9" t="s">
        <v>702</v>
      </c>
      <c r="K9" t="s">
        <v>708</v>
      </c>
      <c r="L9" t="s">
        <v>719</v>
      </c>
      <c r="M9" t="s">
        <v>728</v>
      </c>
      <c r="N9" t="s">
        <v>741</v>
      </c>
      <c r="O9" s="29">
        <v>28.38</v>
      </c>
      <c r="P9" t="str">
        <f>IF(Table1[[#This Row],[UnitPrice]]&lt;=0,"Check","OK")</f>
        <v>OK</v>
      </c>
      <c r="Q9" s="29">
        <f t="shared" si="2"/>
        <v>47.22</v>
      </c>
      <c r="R9">
        <v>47.22</v>
      </c>
      <c r="S9" s="5">
        <f>IF(Table1[[#This Row],[Discount_Flag]]="Check", MIN(MAX(Table1[[#This Row],[DiscountPct]],0),0.3), Table1[[#This Row],[DiscountPct]])</f>
        <v>0.19400000000000001</v>
      </c>
      <c r="T9" t="str">
        <f>IF(OR(Table1[[#This Row],[DiscountPct]]&lt;0,Table1[[#This Row],[DiscountPct]]&gt;0.3),"Check","OK")</f>
        <v>OK</v>
      </c>
      <c r="U9" s="11">
        <v>0.19400000000000001</v>
      </c>
      <c r="V9" s="15">
        <f t="shared" si="3"/>
        <v>0</v>
      </c>
      <c r="W9" s="11">
        <f t="shared" si="4"/>
        <v>0.25432193743871417</v>
      </c>
      <c r="X9" s="17">
        <f t="shared" si="5"/>
        <v>510.84</v>
      </c>
      <c r="Y9" s="17">
        <f t="shared" si="6"/>
        <v>174.22776000000005</v>
      </c>
      <c r="Z9" s="17">
        <f t="shared" si="7"/>
        <v>685.06776000000002</v>
      </c>
      <c r="AA9" s="17" t="str">
        <f t="shared" si="8"/>
        <v>Q1-2023</v>
      </c>
      <c r="AB9" s="12" t="str">
        <f t="shared" si="9"/>
        <v>Jan-2023</v>
      </c>
      <c r="AC9" s="12" t="str">
        <f t="shared" si="10"/>
        <v>Low</v>
      </c>
      <c r="AD9">
        <v>18</v>
      </c>
      <c r="AE9" s="12">
        <f>_xlfn.MINIFS(Table1[MonthDate], Table1[Country], Table1[[#This Row],[Country]])</f>
        <v>44927</v>
      </c>
      <c r="AF9" s="12">
        <f t="shared" si="11"/>
        <v>44927</v>
      </c>
      <c r="AG9">
        <f>AD9*(1 + Scenario_Control!$B$4)</f>
        <v>19.8</v>
      </c>
      <c r="AH9">
        <f>O9*(1 + Scenario_Control!$B$3)</f>
        <v>29.798999999999999</v>
      </c>
      <c r="AI9">
        <f t="shared" si="12"/>
        <v>150.71490720000003</v>
      </c>
      <c r="AJ9">
        <f t="shared" si="13"/>
        <v>-439.30529280000002</v>
      </c>
      <c r="AK9" s="29">
        <f>MIN(Q9*(1-U9), Scenario_Control!$B$2*Q9)</f>
        <v>9.4440000000000008</v>
      </c>
      <c r="AL9" s="15">
        <f t="shared" si="14"/>
        <v>1</v>
      </c>
      <c r="AM9" s="8">
        <f>DATEDIF(Table1[[#This Row],[Country_FirstMonth]], Table1[[#This Row],[MonthDate]], "m")</f>
        <v>0</v>
      </c>
    </row>
    <row r="10" spans="1:39" x14ac:dyDescent="0.25">
      <c r="A10" t="s">
        <v>23</v>
      </c>
      <c r="B10" s="12">
        <v>45416</v>
      </c>
      <c r="C10" s="12">
        <f t="shared" si="0"/>
        <v>45441</v>
      </c>
      <c r="D10" s="2" t="str">
        <f>IF(Table1[[#This Row],[RequiredDate]]&lt;Table1[[#This Row],[OrderDate]],"Check","OK")</f>
        <v>OK</v>
      </c>
      <c r="E10" s="2">
        <v>45441</v>
      </c>
      <c r="F10" s="15">
        <f t="shared" si="1"/>
        <v>25</v>
      </c>
      <c r="G10" t="s">
        <v>646</v>
      </c>
      <c r="H10" t="s">
        <v>651</v>
      </c>
      <c r="I10" t="s">
        <v>669</v>
      </c>
      <c r="J10" t="s">
        <v>703</v>
      </c>
      <c r="K10" t="s">
        <v>709</v>
      </c>
      <c r="L10" t="s">
        <v>719</v>
      </c>
      <c r="M10" t="s">
        <v>732</v>
      </c>
      <c r="N10" t="s">
        <v>742</v>
      </c>
      <c r="O10" s="29">
        <v>1295.3399999999999</v>
      </c>
      <c r="P10" t="str">
        <f>IF(Table1[[#This Row],[UnitPrice]]&lt;=0,"Check","OK")</f>
        <v>OK</v>
      </c>
      <c r="Q10" s="29">
        <f t="shared" si="2"/>
        <v>2530.81</v>
      </c>
      <c r="R10">
        <v>2530.81</v>
      </c>
      <c r="S10" s="5">
        <f>IF(Table1[[#This Row],[Discount_Flag]]="Check", MIN(MAX(Table1[[#This Row],[DiscountPct]],0),0.3), Table1[[#This Row],[DiscountPct]])</f>
        <v>3.1E-2</v>
      </c>
      <c r="T10" t="str">
        <f>IF(OR(Table1[[#This Row],[DiscountPct]]&lt;0,Table1[[#This Row],[DiscountPct]]&gt;0.3),"Check","OK")</f>
        <v>OK</v>
      </c>
      <c r="U10" s="11">
        <v>3.1E-2</v>
      </c>
      <c r="V10" s="15">
        <f t="shared" si="3"/>
        <v>0</v>
      </c>
      <c r="W10" s="11">
        <f t="shared" si="4"/>
        <v>0.4717974933880798</v>
      </c>
      <c r="X10" s="17">
        <f t="shared" si="5"/>
        <v>7772.0399999999991</v>
      </c>
      <c r="Y10" s="17">
        <f t="shared" si="6"/>
        <v>6942.0893400000004</v>
      </c>
      <c r="Z10" s="17">
        <f t="shared" si="7"/>
        <v>14714.12934</v>
      </c>
      <c r="AA10" s="17" t="str">
        <f t="shared" si="8"/>
        <v>Q2-2024</v>
      </c>
      <c r="AB10" s="12" t="str">
        <f t="shared" si="9"/>
        <v>May-2024</v>
      </c>
      <c r="AC10" s="12" t="str">
        <f t="shared" si="10"/>
        <v>High</v>
      </c>
      <c r="AD10">
        <v>6</v>
      </c>
      <c r="AE10" s="12">
        <f>_xlfn.MINIFS(Table1[MonthDate], Table1[Country], Table1[[#This Row],[Country]])</f>
        <v>44927</v>
      </c>
      <c r="AF10" s="12">
        <f t="shared" si="11"/>
        <v>45413</v>
      </c>
      <c r="AG10">
        <f>AD10*(1 + Scenario_Control!$B$4)</f>
        <v>6.6000000000000005</v>
      </c>
      <c r="AH10">
        <f>O10*(1 + Scenario_Control!$B$3)</f>
        <v>1360.107</v>
      </c>
      <c r="AI10">
        <f t="shared" si="12"/>
        <v>3237.1084548000003</v>
      </c>
      <c r="AJ10">
        <f t="shared" si="13"/>
        <v>-5739.5977452000006</v>
      </c>
      <c r="AK10" s="29">
        <f>MIN(Q10*(1-U10), Scenario_Control!$B$2*Q10)</f>
        <v>506.16200000000003</v>
      </c>
      <c r="AL10" s="15">
        <f t="shared" si="14"/>
        <v>0</v>
      </c>
      <c r="AM10" s="8">
        <f>DATEDIF(Table1[[#This Row],[Country_FirstMonth]], Table1[[#This Row],[MonthDate]], "m")</f>
        <v>16</v>
      </c>
    </row>
    <row r="11" spans="1:39" x14ac:dyDescent="0.25">
      <c r="A11" t="s">
        <v>24</v>
      </c>
      <c r="B11" s="12">
        <v>45798</v>
      </c>
      <c r="C11" s="12">
        <f t="shared" si="0"/>
        <v>45817</v>
      </c>
      <c r="D11" s="2" t="str">
        <f>IF(Table1[[#This Row],[RequiredDate]]&lt;Table1[[#This Row],[OrderDate]],"Check","OK")</f>
        <v>OK</v>
      </c>
      <c r="E11" s="2">
        <v>45817</v>
      </c>
      <c r="F11" s="15">
        <f t="shared" si="1"/>
        <v>19</v>
      </c>
      <c r="G11" t="s">
        <v>648</v>
      </c>
      <c r="H11" t="s">
        <v>655</v>
      </c>
      <c r="I11" t="s">
        <v>670</v>
      </c>
      <c r="J11" t="s">
        <v>703</v>
      </c>
      <c r="K11" t="s">
        <v>708</v>
      </c>
      <c r="L11" t="s">
        <v>720</v>
      </c>
      <c r="M11" t="s">
        <v>727</v>
      </c>
      <c r="N11" t="s">
        <v>743</v>
      </c>
      <c r="O11" s="29">
        <v>1331.38</v>
      </c>
      <c r="P11" t="str">
        <f>IF(Table1[[#This Row],[UnitPrice]]&lt;=0,"Check","OK")</f>
        <v>OK</v>
      </c>
      <c r="Q11" s="29">
        <f t="shared" si="2"/>
        <v>2309.56</v>
      </c>
      <c r="R11">
        <v>2309.56</v>
      </c>
      <c r="S11" s="5">
        <f>IF(Table1[[#This Row],[Discount_Flag]]="Check", MIN(MAX(Table1[[#This Row],[DiscountPct]],0),0.3), Table1[[#This Row],[DiscountPct]])</f>
        <v>0.14899999999999999</v>
      </c>
      <c r="T11" t="str">
        <f>IF(OR(Table1[[#This Row],[DiscountPct]]&lt;0,Table1[[#This Row],[DiscountPct]]&gt;0.3),"Check","OK")</f>
        <v>OK</v>
      </c>
      <c r="U11" s="11">
        <v>0.14899999999999999</v>
      </c>
      <c r="V11" s="15">
        <f t="shared" si="3"/>
        <v>0</v>
      </c>
      <c r="W11" s="11">
        <f t="shared" si="4"/>
        <v>0.32260307735553528</v>
      </c>
      <c r="X11" s="17">
        <f t="shared" si="5"/>
        <v>41272.780000000006</v>
      </c>
      <c r="Y11" s="17">
        <f t="shared" si="6"/>
        <v>19655.722359999992</v>
      </c>
      <c r="Z11" s="17">
        <f t="shared" si="7"/>
        <v>60928.502359999999</v>
      </c>
      <c r="AA11" s="17" t="str">
        <f t="shared" si="8"/>
        <v>Q2-2025</v>
      </c>
      <c r="AB11" s="12" t="str">
        <f t="shared" si="9"/>
        <v>May-2025</v>
      </c>
      <c r="AC11" s="12" t="str">
        <f t="shared" si="10"/>
        <v>High</v>
      </c>
      <c r="AD11">
        <v>31</v>
      </c>
      <c r="AE11" s="12">
        <f>_xlfn.MINIFS(Table1[MonthDate], Table1[Country], Table1[[#This Row],[Country]])</f>
        <v>44927</v>
      </c>
      <c r="AF11" s="12">
        <f t="shared" si="11"/>
        <v>45778</v>
      </c>
      <c r="AG11">
        <f>AD11*(1 + Scenario_Control!$B$4)</f>
        <v>34.1</v>
      </c>
      <c r="AH11">
        <f>O11*(1 + Scenario_Control!$B$3)</f>
        <v>1397.9490000000001</v>
      </c>
      <c r="AI11">
        <f t="shared" si="12"/>
        <v>13404.270519200001</v>
      </c>
      <c r="AJ11">
        <f t="shared" si="13"/>
        <v>-34265.790380800005</v>
      </c>
      <c r="AK11" s="29">
        <f>MIN(Q11*(1-U11), Scenario_Control!$B$2*Q11)</f>
        <v>461.91200000000003</v>
      </c>
      <c r="AL11" s="15">
        <f t="shared" si="14"/>
        <v>0</v>
      </c>
      <c r="AM11" s="8">
        <f>DATEDIF(Table1[[#This Row],[Country_FirstMonth]], Table1[[#This Row],[MonthDate]], "m")</f>
        <v>28</v>
      </c>
    </row>
    <row r="12" spans="1:39" x14ac:dyDescent="0.25">
      <c r="A12" t="s">
        <v>25</v>
      </c>
      <c r="B12" s="12">
        <v>45319</v>
      </c>
      <c r="C12" s="12">
        <f t="shared" si="0"/>
        <v>45331</v>
      </c>
      <c r="D12" s="2" t="str">
        <f>IF(Table1[[#This Row],[RequiredDate]]&lt;Table1[[#This Row],[OrderDate]],"Check","OK")</f>
        <v>OK</v>
      </c>
      <c r="E12" s="2">
        <v>45331</v>
      </c>
      <c r="F12" s="15">
        <f t="shared" si="1"/>
        <v>12</v>
      </c>
      <c r="G12" t="s">
        <v>649</v>
      </c>
      <c r="H12" t="s">
        <v>656</v>
      </c>
      <c r="I12" t="s">
        <v>671</v>
      </c>
      <c r="J12" t="s">
        <v>701</v>
      </c>
      <c r="K12" t="s">
        <v>708</v>
      </c>
      <c r="L12" t="s">
        <v>715</v>
      </c>
      <c r="M12" t="s">
        <v>733</v>
      </c>
      <c r="N12" t="s">
        <v>744</v>
      </c>
      <c r="O12" s="29">
        <v>644.16999999999996</v>
      </c>
      <c r="P12" t="str">
        <f>IF(Table1[[#This Row],[UnitPrice]]&lt;=0,"Check","OK")</f>
        <v>OK</v>
      </c>
      <c r="Q12" s="29">
        <f t="shared" si="2"/>
        <v>700.12</v>
      </c>
      <c r="R12">
        <v>700.12</v>
      </c>
      <c r="S12" s="5">
        <f>IF(Table1[[#This Row],[Discount_Flag]]="Check", MIN(MAX(Table1[[#This Row],[DiscountPct]],0),0.3), Table1[[#This Row],[DiscountPct]])</f>
        <v>6.0000000000000001E-3</v>
      </c>
      <c r="T12" t="str">
        <f>IF(OR(Table1[[#This Row],[DiscountPct]]&lt;0,Table1[[#This Row],[DiscountPct]]&gt;0.3),"Check","OK")</f>
        <v>OK</v>
      </c>
      <c r="U12" s="11">
        <v>6.0000000000000001E-3</v>
      </c>
      <c r="V12" s="15">
        <f t="shared" si="3"/>
        <v>0</v>
      </c>
      <c r="W12" s="11">
        <f t="shared" si="4"/>
        <v>7.436103796405813E-2</v>
      </c>
      <c r="X12" s="17">
        <f t="shared" si="5"/>
        <v>14815.91</v>
      </c>
      <c r="Y12" s="17">
        <f t="shared" si="6"/>
        <v>1190.23344</v>
      </c>
      <c r="Z12" s="17">
        <f t="shared" si="7"/>
        <v>16006.14344</v>
      </c>
      <c r="AA12" s="17" t="str">
        <f t="shared" si="8"/>
        <v>Q1-2024</v>
      </c>
      <c r="AB12" s="12" t="str">
        <f t="shared" si="9"/>
        <v>Jan-2024</v>
      </c>
      <c r="AC12" s="12" t="str">
        <f t="shared" si="10"/>
        <v>Medium</v>
      </c>
      <c r="AD12">
        <v>23</v>
      </c>
      <c r="AE12" s="12">
        <f>_xlfn.MINIFS(Table1[MonthDate], Table1[Country], Table1[[#This Row],[Country]])</f>
        <v>44927</v>
      </c>
      <c r="AF12" s="12">
        <f t="shared" si="11"/>
        <v>45292</v>
      </c>
      <c r="AG12">
        <f>AD12*(1 + Scenario_Control!$B$4)</f>
        <v>25.3</v>
      </c>
      <c r="AH12">
        <f>O12*(1 + Scenario_Control!$B$3)</f>
        <v>676.37850000000003</v>
      </c>
      <c r="AI12">
        <f t="shared" si="12"/>
        <v>3521.3515567999998</v>
      </c>
      <c r="AJ12">
        <f t="shared" si="13"/>
        <v>-13591.024493200002</v>
      </c>
      <c r="AK12" s="29">
        <f>MIN(Q12*(1-U12), Scenario_Control!$B$2*Q12)</f>
        <v>140.024</v>
      </c>
      <c r="AL12" s="15">
        <f t="shared" si="14"/>
        <v>0</v>
      </c>
      <c r="AM12" s="8">
        <f>DATEDIF(Table1[[#This Row],[Country_FirstMonth]], Table1[[#This Row],[MonthDate]], "m")</f>
        <v>12</v>
      </c>
    </row>
    <row r="13" spans="1:39" x14ac:dyDescent="0.25">
      <c r="A13" t="s">
        <v>26</v>
      </c>
      <c r="B13" s="12">
        <v>45660</v>
      </c>
      <c r="C13" s="12">
        <f t="shared" si="0"/>
        <v>45680</v>
      </c>
      <c r="D13" s="2" t="str">
        <f>IF(Table1[[#This Row],[RequiredDate]]&lt;Table1[[#This Row],[OrderDate]],"Check","OK")</f>
        <v>OK</v>
      </c>
      <c r="E13" s="2">
        <v>45680</v>
      </c>
      <c r="F13" s="15">
        <f t="shared" si="1"/>
        <v>20</v>
      </c>
      <c r="G13" t="s">
        <v>647</v>
      </c>
      <c r="H13" t="s">
        <v>652</v>
      </c>
      <c r="I13" t="s">
        <v>666</v>
      </c>
      <c r="J13" t="s">
        <v>701</v>
      </c>
      <c r="K13" t="s">
        <v>710</v>
      </c>
      <c r="L13" t="s">
        <v>721</v>
      </c>
      <c r="M13" t="s">
        <v>730</v>
      </c>
      <c r="N13" t="s">
        <v>745</v>
      </c>
      <c r="O13" s="29">
        <v>908.6</v>
      </c>
      <c r="P13" t="str">
        <f>IF(Table1[[#This Row],[UnitPrice]]&lt;=0,"Check","OK")</f>
        <v>OK</v>
      </c>
      <c r="Q13" s="29">
        <f t="shared" si="2"/>
        <v>691.37</v>
      </c>
      <c r="R13">
        <v>691.37</v>
      </c>
      <c r="S13" s="5">
        <f>IF(Table1[[#This Row],[Discount_Flag]]="Check", MIN(MAX(Table1[[#This Row],[DiscountPct]],0),0.3), Table1[[#This Row],[DiscountPct]])</f>
        <v>0.25</v>
      </c>
      <c r="T13" t="str">
        <f>IF(OR(Table1[[#This Row],[DiscountPct]]&lt;0,Table1[[#This Row],[DiscountPct]]&gt;0.3),"Check","OK")</f>
        <v>OK</v>
      </c>
      <c r="U13" s="11">
        <v>0.25</v>
      </c>
      <c r="V13" s="15">
        <f t="shared" si="3"/>
        <v>1</v>
      </c>
      <c r="W13" s="11">
        <f t="shared" si="4"/>
        <v>-0.75226964818645115</v>
      </c>
      <c r="X13" s="17">
        <f t="shared" si="5"/>
        <v>18172</v>
      </c>
      <c r="Y13" s="17">
        <f t="shared" si="6"/>
        <v>-7801.4500000000007</v>
      </c>
      <c r="Z13" s="17">
        <f t="shared" si="7"/>
        <v>10370.549999999999</v>
      </c>
      <c r="AA13" s="17" t="str">
        <f t="shared" si="8"/>
        <v>Q1-2025</v>
      </c>
      <c r="AB13" s="12" t="str">
        <f t="shared" si="9"/>
        <v>Jan-2025</v>
      </c>
      <c r="AC13" s="12" t="str">
        <f t="shared" si="10"/>
        <v>Medium</v>
      </c>
      <c r="AD13">
        <v>20</v>
      </c>
      <c r="AE13" s="12">
        <f>_xlfn.MINIFS(Table1[MonthDate], Table1[Country], Table1[[#This Row],[Country]])</f>
        <v>44986</v>
      </c>
      <c r="AF13" s="12">
        <f t="shared" si="11"/>
        <v>45658</v>
      </c>
      <c r="AG13">
        <f>AD13*(1 + Scenario_Control!$B$4)</f>
        <v>22</v>
      </c>
      <c r="AH13">
        <f>O13*(1 + Scenario_Control!$B$3)</f>
        <v>954.03000000000009</v>
      </c>
      <c r="AI13">
        <f t="shared" si="12"/>
        <v>2281.5210000000002</v>
      </c>
      <c r="AJ13">
        <f t="shared" si="13"/>
        <v>-18707.139000000003</v>
      </c>
      <c r="AK13" s="29">
        <f>MIN(Q13*(1-U13), Scenario_Control!$B$2*Q13)</f>
        <v>138.274</v>
      </c>
      <c r="AL13" s="15">
        <f t="shared" si="14"/>
        <v>0</v>
      </c>
      <c r="AM13" s="8">
        <f>DATEDIF(Table1[[#This Row],[Country_FirstMonth]], Table1[[#This Row],[MonthDate]], "m")</f>
        <v>22</v>
      </c>
    </row>
    <row r="14" spans="1:39" x14ac:dyDescent="0.25">
      <c r="A14" t="s">
        <v>27</v>
      </c>
      <c r="B14" s="12">
        <v>45722</v>
      </c>
      <c r="C14" s="12">
        <f t="shared" si="0"/>
        <v>45747</v>
      </c>
      <c r="D14" s="2" t="str">
        <f>IF(Table1[[#This Row],[RequiredDate]]&lt;Table1[[#This Row],[OrderDate]],"Check","OK")</f>
        <v>OK</v>
      </c>
      <c r="E14" s="2">
        <v>45747</v>
      </c>
      <c r="F14" s="15">
        <f t="shared" si="1"/>
        <v>25</v>
      </c>
      <c r="G14" t="s">
        <v>648</v>
      </c>
      <c r="H14" t="s">
        <v>655</v>
      </c>
      <c r="I14" t="s">
        <v>672</v>
      </c>
      <c r="J14" t="s">
        <v>703</v>
      </c>
      <c r="K14" t="s">
        <v>708</v>
      </c>
      <c r="L14" t="s">
        <v>713</v>
      </c>
      <c r="M14" t="s">
        <v>727</v>
      </c>
      <c r="N14" t="s">
        <v>746</v>
      </c>
      <c r="O14" s="29">
        <v>331.57</v>
      </c>
      <c r="P14" t="str">
        <f>IF(Table1[[#This Row],[UnitPrice]]&lt;=0,"Check","OK")</f>
        <v>OK</v>
      </c>
      <c r="Q14" s="29">
        <f t="shared" si="2"/>
        <v>548.4</v>
      </c>
      <c r="R14">
        <v>548.4</v>
      </c>
      <c r="S14" s="5">
        <f>IF(Table1[[#This Row],[Discount_Flag]]="Check", MIN(MAX(Table1[[#This Row],[DiscountPct]],0),0.3), Table1[[#This Row],[DiscountPct]])</f>
        <v>9.4E-2</v>
      </c>
      <c r="T14" t="str">
        <f>IF(OR(Table1[[#This Row],[DiscountPct]]&lt;0,Table1[[#This Row],[DiscountPct]]&gt;0.3),"Check","OK")</f>
        <v>OK</v>
      </c>
      <c r="U14" s="11">
        <v>9.4E-2</v>
      </c>
      <c r="V14" s="15">
        <f t="shared" si="3"/>
        <v>0</v>
      </c>
      <c r="W14" s="11">
        <f t="shared" si="4"/>
        <v>0.33265626836568918</v>
      </c>
      <c r="X14" s="17">
        <f t="shared" si="5"/>
        <v>3315.7</v>
      </c>
      <c r="Y14" s="17">
        <f t="shared" si="6"/>
        <v>1652.8040000000001</v>
      </c>
      <c r="Z14" s="17">
        <f t="shared" si="7"/>
        <v>4968.5039999999999</v>
      </c>
      <c r="AA14" s="17" t="str">
        <f t="shared" si="8"/>
        <v>Q1-2025</v>
      </c>
      <c r="AB14" s="12" t="str">
        <f t="shared" si="9"/>
        <v>Mar-2025</v>
      </c>
      <c r="AC14" s="12" t="str">
        <f t="shared" si="10"/>
        <v>Low</v>
      </c>
      <c r="AD14">
        <v>10</v>
      </c>
      <c r="AE14" s="12">
        <f>_xlfn.MINIFS(Table1[MonthDate], Table1[Country], Table1[[#This Row],[Country]])</f>
        <v>44927</v>
      </c>
      <c r="AF14" s="12">
        <f t="shared" si="11"/>
        <v>45717</v>
      </c>
      <c r="AG14">
        <f>AD14*(1 + Scenario_Control!$B$4)</f>
        <v>11</v>
      </c>
      <c r="AH14">
        <f>O14*(1 + Scenario_Control!$B$3)</f>
        <v>348.14850000000001</v>
      </c>
      <c r="AI14">
        <f t="shared" si="12"/>
        <v>1093.07088</v>
      </c>
      <c r="AJ14">
        <f t="shared" si="13"/>
        <v>-2736.5626199999997</v>
      </c>
      <c r="AK14" s="29">
        <f>MIN(Q14*(1-U14), Scenario_Control!$B$2*Q14)</f>
        <v>109.68</v>
      </c>
      <c r="AL14" s="15">
        <f t="shared" si="14"/>
        <v>0</v>
      </c>
      <c r="AM14" s="8">
        <f>DATEDIF(Table1[[#This Row],[Country_FirstMonth]], Table1[[#This Row],[MonthDate]], "m")</f>
        <v>26</v>
      </c>
    </row>
    <row r="15" spans="1:39" x14ac:dyDescent="0.25">
      <c r="A15" t="s">
        <v>28</v>
      </c>
      <c r="B15" s="12">
        <v>45311</v>
      </c>
      <c r="C15" s="12">
        <f t="shared" si="0"/>
        <v>45335</v>
      </c>
      <c r="D15" s="2" t="str">
        <f>IF(Table1[[#This Row],[RequiredDate]]&lt;Table1[[#This Row],[OrderDate]],"Check","OK")</f>
        <v>OK</v>
      </c>
      <c r="E15" s="2">
        <v>45335</v>
      </c>
      <c r="F15" s="15">
        <f t="shared" si="1"/>
        <v>24</v>
      </c>
      <c r="G15" t="s">
        <v>649</v>
      </c>
      <c r="H15" t="s">
        <v>657</v>
      </c>
      <c r="I15" t="s">
        <v>673</v>
      </c>
      <c r="J15" t="s">
        <v>701</v>
      </c>
      <c r="K15" t="s">
        <v>707</v>
      </c>
      <c r="L15" t="s">
        <v>722</v>
      </c>
      <c r="M15" t="s">
        <v>728</v>
      </c>
      <c r="N15" t="s">
        <v>747</v>
      </c>
      <c r="O15" s="29">
        <v>643.53</v>
      </c>
      <c r="P15" t="str">
        <f>IF(Table1[[#This Row],[UnitPrice]]&lt;=0,"Check","OK")</f>
        <v>OK</v>
      </c>
      <c r="Q15" s="29">
        <f t="shared" si="2"/>
        <v>1439.01</v>
      </c>
      <c r="R15">
        <v>1439.01</v>
      </c>
      <c r="S15" s="5">
        <f>IF(Table1[[#This Row],[Discount_Flag]]="Check", MIN(MAX(Table1[[#This Row],[DiscountPct]],0),0.3), Table1[[#This Row],[DiscountPct]])</f>
        <v>0</v>
      </c>
      <c r="T15" t="str">
        <f>IF(OR(Table1[[#This Row],[DiscountPct]]&lt;0,Table1[[#This Row],[DiscountPct]]&gt;0.3),"Check","OK")</f>
        <v>OK</v>
      </c>
      <c r="U15" s="11">
        <v>0</v>
      </c>
      <c r="V15" s="15">
        <f t="shared" si="3"/>
        <v>0</v>
      </c>
      <c r="W15" s="11">
        <f t="shared" si="4"/>
        <v>0.55279671440782208</v>
      </c>
      <c r="X15" s="17">
        <f t="shared" si="5"/>
        <v>9652.9499999999989</v>
      </c>
      <c r="Y15" s="17">
        <f t="shared" si="6"/>
        <v>11932.200000000003</v>
      </c>
      <c r="Z15" s="17">
        <f t="shared" si="7"/>
        <v>21585.15</v>
      </c>
      <c r="AA15" s="17" t="str">
        <f t="shared" si="8"/>
        <v>Q1-2024</v>
      </c>
      <c r="AB15" s="12" t="str">
        <f t="shared" si="9"/>
        <v>Jan-2024</v>
      </c>
      <c r="AC15" s="12" t="str">
        <f t="shared" si="10"/>
        <v>Medium</v>
      </c>
      <c r="AD15">
        <v>15</v>
      </c>
      <c r="AE15" s="12">
        <f>_xlfn.MINIFS(Table1[MonthDate], Table1[Country], Table1[[#This Row],[Country]])</f>
        <v>44927</v>
      </c>
      <c r="AF15" s="12">
        <f t="shared" si="11"/>
        <v>45292</v>
      </c>
      <c r="AG15">
        <f>AD15*(1 + Scenario_Control!$B$4)</f>
        <v>16.5</v>
      </c>
      <c r="AH15">
        <f>O15*(1 + Scenario_Control!$B$3)</f>
        <v>675.70650000000001</v>
      </c>
      <c r="AI15">
        <f t="shared" si="12"/>
        <v>4748.7330000000002</v>
      </c>
      <c r="AJ15">
        <f t="shared" si="13"/>
        <v>-6400.42425</v>
      </c>
      <c r="AK15" s="29">
        <f>MIN(Q15*(1-U15), Scenario_Control!$B$2*Q15)</f>
        <v>287.80200000000002</v>
      </c>
      <c r="AL15" s="15">
        <f t="shared" si="14"/>
        <v>0</v>
      </c>
      <c r="AM15" s="8">
        <f>DATEDIF(Table1[[#This Row],[Country_FirstMonth]], Table1[[#This Row],[MonthDate]], "m")</f>
        <v>12</v>
      </c>
    </row>
    <row r="16" spans="1:39" x14ac:dyDescent="0.25">
      <c r="A16" t="s">
        <v>29</v>
      </c>
      <c r="B16" s="12">
        <v>45901</v>
      </c>
      <c r="C16" s="12">
        <f t="shared" si="0"/>
        <v>45930</v>
      </c>
      <c r="D16" s="2" t="str">
        <f>IF(Table1[[#This Row],[RequiredDate]]&lt;Table1[[#This Row],[OrderDate]],"Check","OK")</f>
        <v>OK</v>
      </c>
      <c r="E16" s="2">
        <v>45930</v>
      </c>
      <c r="F16" s="15">
        <f t="shared" si="1"/>
        <v>29</v>
      </c>
      <c r="G16" t="s">
        <v>648</v>
      </c>
      <c r="H16" t="s">
        <v>655</v>
      </c>
      <c r="I16" t="s">
        <v>672</v>
      </c>
      <c r="J16" t="s">
        <v>702</v>
      </c>
      <c r="K16" t="s">
        <v>707</v>
      </c>
      <c r="L16" t="s">
        <v>723</v>
      </c>
      <c r="M16" t="s">
        <v>733</v>
      </c>
      <c r="N16" t="s">
        <v>748</v>
      </c>
      <c r="O16" s="29">
        <v>780.59</v>
      </c>
      <c r="P16" t="str">
        <f>IF(Table1[[#This Row],[UnitPrice]]&lt;=0,"Check","OK")</f>
        <v>OK</v>
      </c>
      <c r="Q16" s="29">
        <f t="shared" si="2"/>
        <v>631.57000000000005</v>
      </c>
      <c r="R16">
        <v>631.57000000000005</v>
      </c>
      <c r="S16" s="5">
        <f>IF(Table1[[#This Row],[Discount_Flag]]="Check", MIN(MAX(Table1[[#This Row],[DiscountPct]],0),0.3), Table1[[#This Row],[DiscountPct]])</f>
        <v>0</v>
      </c>
      <c r="T16" t="str">
        <f>IF(OR(Table1[[#This Row],[DiscountPct]]&lt;0,Table1[[#This Row],[DiscountPct]]&gt;0.3),"Check","OK")</f>
        <v>OK</v>
      </c>
      <c r="U16" s="11">
        <v>0</v>
      </c>
      <c r="V16" s="15">
        <f t="shared" si="3"/>
        <v>0</v>
      </c>
      <c r="W16" s="11">
        <f t="shared" si="4"/>
        <v>-0.23595167598207639</v>
      </c>
      <c r="X16" s="17">
        <f t="shared" si="5"/>
        <v>9367.08</v>
      </c>
      <c r="Y16" s="17">
        <f t="shared" si="6"/>
        <v>-1788.2399999999998</v>
      </c>
      <c r="Z16" s="17">
        <f t="shared" si="7"/>
        <v>7578.84</v>
      </c>
      <c r="AA16" s="17" t="str">
        <f t="shared" si="8"/>
        <v>Q3-2025</v>
      </c>
      <c r="AB16" s="12" t="str">
        <f t="shared" si="9"/>
        <v>Sept-2025</v>
      </c>
      <c r="AC16" s="12" t="str">
        <f t="shared" si="10"/>
        <v>Medium</v>
      </c>
      <c r="AD16">
        <v>12</v>
      </c>
      <c r="AE16" s="12">
        <f>_xlfn.MINIFS(Table1[MonthDate], Table1[Country], Table1[[#This Row],[Country]])</f>
        <v>44927</v>
      </c>
      <c r="AF16" s="12">
        <f t="shared" si="11"/>
        <v>45901</v>
      </c>
      <c r="AG16">
        <f>AD16*(1 + Scenario_Control!$B$4)</f>
        <v>13.200000000000001</v>
      </c>
      <c r="AH16">
        <f>O16*(1 + Scenario_Control!$B$3)</f>
        <v>819.61950000000002</v>
      </c>
      <c r="AI16">
        <f t="shared" si="12"/>
        <v>1667.3448000000003</v>
      </c>
      <c r="AJ16">
        <f t="shared" si="13"/>
        <v>-9151.6326000000008</v>
      </c>
      <c r="AK16" s="29">
        <f>MIN(Q16*(1-U16), Scenario_Control!$B$2*Q16)</f>
        <v>126.31400000000002</v>
      </c>
      <c r="AL16" s="15">
        <f t="shared" si="14"/>
        <v>0</v>
      </c>
      <c r="AM16" s="8">
        <f>DATEDIF(Table1[[#This Row],[Country_FirstMonth]], Table1[[#This Row],[MonthDate]], "m")</f>
        <v>32</v>
      </c>
    </row>
    <row r="17" spans="1:39" x14ac:dyDescent="0.25">
      <c r="A17" t="s">
        <v>30</v>
      </c>
      <c r="B17" s="12">
        <v>45039</v>
      </c>
      <c r="C17" s="12">
        <f t="shared" si="0"/>
        <v>45046</v>
      </c>
      <c r="D17" s="2" t="str">
        <f>IF(Table1[[#This Row],[RequiredDate]]&lt;Table1[[#This Row],[OrderDate]],"Check","OK")</f>
        <v>Check</v>
      </c>
      <c r="E17" s="2">
        <v>45038</v>
      </c>
      <c r="F17" s="15">
        <f t="shared" si="1"/>
        <v>7</v>
      </c>
      <c r="G17" t="s">
        <v>646</v>
      </c>
      <c r="H17" t="s">
        <v>650</v>
      </c>
      <c r="I17" t="s">
        <v>664</v>
      </c>
      <c r="J17" t="s">
        <v>705</v>
      </c>
      <c r="K17" t="s">
        <v>711</v>
      </c>
      <c r="L17" t="s">
        <v>718</v>
      </c>
      <c r="M17" t="s">
        <v>731</v>
      </c>
      <c r="N17" t="s">
        <v>749</v>
      </c>
      <c r="O17" s="29">
        <v>756.51</v>
      </c>
      <c r="P17" t="str">
        <f>IF(Table1[[#This Row],[UnitPrice]]&lt;=0,"Check","OK")</f>
        <v>OK</v>
      </c>
      <c r="Q17" s="29">
        <f t="shared" si="2"/>
        <v>850.8</v>
      </c>
      <c r="R17">
        <v>850.8</v>
      </c>
      <c r="S17" s="5">
        <f>IF(Table1[[#This Row],[Discount_Flag]]="Check", MIN(MAX(Table1[[#This Row],[DiscountPct]],0),0.3), Table1[[#This Row],[DiscountPct]])</f>
        <v>7.3999999999999996E-2</v>
      </c>
      <c r="T17" t="str">
        <f>IF(OR(Table1[[#This Row],[DiscountPct]]&lt;0,Table1[[#This Row],[DiscountPct]]&gt;0.3),"Check","OK")</f>
        <v>OK</v>
      </c>
      <c r="U17" s="11">
        <v>7.3999999999999996E-2</v>
      </c>
      <c r="V17" s="15">
        <f t="shared" si="3"/>
        <v>0</v>
      </c>
      <c r="W17" s="11">
        <f t="shared" si="4"/>
        <v>3.9767932810791252E-2</v>
      </c>
      <c r="X17" s="17">
        <f t="shared" si="5"/>
        <v>6808.59</v>
      </c>
      <c r="Y17" s="17">
        <f t="shared" si="6"/>
        <v>281.97720000000027</v>
      </c>
      <c r="Z17" s="17">
        <f t="shared" si="7"/>
        <v>7090.5672000000004</v>
      </c>
      <c r="AA17" s="17" t="str">
        <f t="shared" si="8"/>
        <v>Q2-2023</v>
      </c>
      <c r="AB17" s="12" t="str">
        <f t="shared" si="9"/>
        <v>Apr-2023</v>
      </c>
      <c r="AC17" s="12" t="str">
        <f t="shared" si="10"/>
        <v>Medium</v>
      </c>
      <c r="AD17">
        <v>9</v>
      </c>
      <c r="AE17" s="12">
        <f>_xlfn.MINIFS(Table1[MonthDate], Table1[Country], Table1[[#This Row],[Country]])</f>
        <v>44927</v>
      </c>
      <c r="AF17" s="12">
        <f t="shared" si="11"/>
        <v>45017</v>
      </c>
      <c r="AG17">
        <f>AD17*(1 + Scenario_Control!$B$4)</f>
        <v>9.9</v>
      </c>
      <c r="AH17">
        <f>O17*(1 + Scenario_Control!$B$3)</f>
        <v>794.33550000000002</v>
      </c>
      <c r="AI17">
        <f t="shared" si="12"/>
        <v>1559.924784</v>
      </c>
      <c r="AJ17">
        <f t="shared" si="13"/>
        <v>-6303.9966660000009</v>
      </c>
      <c r="AK17" s="29">
        <f>MIN(Q17*(1-U17), Scenario_Control!$B$2*Q17)</f>
        <v>170.16</v>
      </c>
      <c r="AL17" s="15">
        <f t="shared" si="14"/>
        <v>1</v>
      </c>
      <c r="AM17" s="8">
        <f>DATEDIF(Table1[[#This Row],[Country_FirstMonth]], Table1[[#This Row],[MonthDate]], "m")</f>
        <v>3</v>
      </c>
    </row>
    <row r="18" spans="1:39" x14ac:dyDescent="0.25">
      <c r="A18" t="s">
        <v>31</v>
      </c>
      <c r="B18" s="12">
        <v>45636</v>
      </c>
      <c r="C18" s="12">
        <f t="shared" si="0"/>
        <v>45665</v>
      </c>
      <c r="D18" s="2" t="str">
        <f>IF(Table1[[#This Row],[RequiredDate]]&lt;Table1[[#This Row],[OrderDate]],"Check","OK")</f>
        <v>OK</v>
      </c>
      <c r="E18" s="2">
        <v>45665</v>
      </c>
      <c r="F18" s="15">
        <f t="shared" si="1"/>
        <v>29</v>
      </c>
      <c r="G18" t="s">
        <v>649</v>
      </c>
      <c r="H18" t="s">
        <v>657</v>
      </c>
      <c r="I18" t="s">
        <v>673</v>
      </c>
      <c r="J18" t="s">
        <v>705</v>
      </c>
      <c r="K18" t="s">
        <v>707</v>
      </c>
      <c r="L18" t="s">
        <v>723</v>
      </c>
      <c r="M18" t="s">
        <v>728</v>
      </c>
      <c r="N18" t="s">
        <v>750</v>
      </c>
      <c r="O18" s="29">
        <v>891.08</v>
      </c>
      <c r="P18" t="str">
        <f>IF(Table1[[#This Row],[UnitPrice]]&lt;=0,"Check","OK")</f>
        <v>OK</v>
      </c>
      <c r="Q18" s="29">
        <f t="shared" si="2"/>
        <v>1040.0999999999999</v>
      </c>
      <c r="R18">
        <v>1040.0999999999999</v>
      </c>
      <c r="S18" s="5">
        <f>IF(Table1[[#This Row],[Discount_Flag]]="Check", MIN(MAX(Table1[[#This Row],[DiscountPct]],0),0.3), Table1[[#This Row],[DiscountPct]])</f>
        <v>0.109</v>
      </c>
      <c r="T18" t="str">
        <f>IF(OR(Table1[[#This Row],[DiscountPct]]&lt;0,Table1[[#This Row],[DiscountPct]]&gt;0.3),"Check","OK")</f>
        <v>OK</v>
      </c>
      <c r="U18" s="11">
        <v>0.109</v>
      </c>
      <c r="V18" s="15">
        <f t="shared" si="3"/>
        <v>0</v>
      </c>
      <c r="W18" s="11">
        <f t="shared" si="4"/>
        <v>3.8467660074556598E-2</v>
      </c>
      <c r="X18" s="17">
        <f t="shared" si="5"/>
        <v>24950.240000000002</v>
      </c>
      <c r="Y18" s="17">
        <f t="shared" si="6"/>
        <v>998.17479999999341</v>
      </c>
      <c r="Z18" s="17">
        <f t="shared" si="7"/>
        <v>25948.414799999995</v>
      </c>
      <c r="AA18" s="17" t="str">
        <f t="shared" si="8"/>
        <v>Q4-2024</v>
      </c>
      <c r="AB18" s="12" t="str">
        <f t="shared" si="9"/>
        <v>Dec-2024</v>
      </c>
      <c r="AC18" s="12" t="str">
        <f t="shared" si="10"/>
        <v>Medium</v>
      </c>
      <c r="AD18">
        <v>28</v>
      </c>
      <c r="AE18" s="12">
        <f>_xlfn.MINIFS(Table1[MonthDate], Table1[Country], Table1[[#This Row],[Country]])</f>
        <v>44927</v>
      </c>
      <c r="AF18" s="12">
        <f t="shared" si="11"/>
        <v>45627</v>
      </c>
      <c r="AG18">
        <f>AD18*(1 + Scenario_Control!$B$4)</f>
        <v>30.800000000000004</v>
      </c>
      <c r="AH18">
        <f>O18*(1 + Scenario_Control!$B$3)</f>
        <v>935.63400000000013</v>
      </c>
      <c r="AI18">
        <f t="shared" si="12"/>
        <v>5708.651256000001</v>
      </c>
      <c r="AJ18">
        <f t="shared" si="13"/>
        <v>-23108.875944000007</v>
      </c>
      <c r="AK18" s="29">
        <f>MIN(Q18*(1-U18), Scenario_Control!$B$2*Q18)</f>
        <v>208.01999999999998</v>
      </c>
      <c r="AL18" s="15">
        <f t="shared" si="14"/>
        <v>0</v>
      </c>
      <c r="AM18" s="8">
        <f>DATEDIF(Table1[[#This Row],[Country_FirstMonth]], Table1[[#This Row],[MonthDate]], "m")</f>
        <v>23</v>
      </c>
    </row>
    <row r="19" spans="1:39" x14ac:dyDescent="0.25">
      <c r="A19" t="s">
        <v>32</v>
      </c>
      <c r="B19" s="12">
        <v>45908</v>
      </c>
      <c r="C19" s="12">
        <f t="shared" si="0"/>
        <v>45916</v>
      </c>
      <c r="D19" s="2" t="str">
        <f>IF(Table1[[#This Row],[RequiredDate]]&lt;Table1[[#This Row],[OrderDate]],"Check","OK")</f>
        <v>OK</v>
      </c>
      <c r="E19" s="2">
        <v>45916</v>
      </c>
      <c r="F19" s="15">
        <f t="shared" si="1"/>
        <v>8</v>
      </c>
      <c r="G19" t="s">
        <v>647</v>
      </c>
      <c r="H19" t="s">
        <v>652</v>
      </c>
      <c r="I19" t="s">
        <v>666</v>
      </c>
      <c r="J19" t="s">
        <v>701</v>
      </c>
      <c r="K19" t="s">
        <v>710</v>
      </c>
      <c r="L19" t="s">
        <v>712</v>
      </c>
      <c r="M19" t="s">
        <v>730</v>
      </c>
      <c r="N19" t="s">
        <v>751</v>
      </c>
      <c r="O19" s="29">
        <v>1225.57</v>
      </c>
      <c r="P19" t="str">
        <f>IF(Table1[[#This Row],[UnitPrice]]&lt;=0,"Check","OK")</f>
        <v>OK</v>
      </c>
      <c r="Q19" s="29">
        <f t="shared" si="2"/>
        <v>2705.57</v>
      </c>
      <c r="R19">
        <v>2705.57</v>
      </c>
      <c r="S19" s="5">
        <f>IF(Table1[[#This Row],[Discount_Flag]]="Check", MIN(MAX(Table1[[#This Row],[DiscountPct]],0),0.3), Table1[[#This Row],[DiscountPct]])</f>
        <v>0.183</v>
      </c>
      <c r="T19" t="str">
        <f>IF(OR(Table1[[#This Row],[DiscountPct]]&lt;0,Table1[[#This Row],[DiscountPct]]&gt;0.3),"Check","OK")</f>
        <v>OK</v>
      </c>
      <c r="U19" s="11">
        <v>0.183</v>
      </c>
      <c r="V19" s="15">
        <f t="shared" si="3"/>
        <v>0</v>
      </c>
      <c r="W19" s="11">
        <f t="shared" si="4"/>
        <v>0.44555650775453404</v>
      </c>
      <c r="X19" s="17">
        <f t="shared" si="5"/>
        <v>19609.12</v>
      </c>
      <c r="Y19" s="17">
        <f t="shared" si="6"/>
        <v>15758.091040000003</v>
      </c>
      <c r="Z19" s="17">
        <f t="shared" si="7"/>
        <v>35367.211040000002</v>
      </c>
      <c r="AA19" s="17" t="str">
        <f t="shared" si="8"/>
        <v>Q3-2025</v>
      </c>
      <c r="AB19" s="12" t="str">
        <f t="shared" si="9"/>
        <v>Sept-2025</v>
      </c>
      <c r="AC19" s="12" t="str">
        <f t="shared" si="10"/>
        <v>High</v>
      </c>
      <c r="AD19">
        <v>16</v>
      </c>
      <c r="AE19" s="12">
        <f>_xlfn.MINIFS(Table1[MonthDate], Table1[Country], Table1[[#This Row],[Country]])</f>
        <v>44986</v>
      </c>
      <c r="AF19" s="12">
        <f t="shared" si="11"/>
        <v>45901</v>
      </c>
      <c r="AG19">
        <f>AD19*(1 + Scenario_Control!$B$4)</f>
        <v>17.600000000000001</v>
      </c>
      <c r="AH19">
        <f>O19*(1 + Scenario_Control!$B$3)</f>
        <v>1286.8485000000001</v>
      </c>
      <c r="AI19">
        <f t="shared" si="12"/>
        <v>7780.7864288000001</v>
      </c>
      <c r="AJ19">
        <f t="shared" si="13"/>
        <v>-14867.747171200002</v>
      </c>
      <c r="AK19" s="29">
        <f>MIN(Q19*(1-U19), Scenario_Control!$B$2*Q19)</f>
        <v>541.11400000000003</v>
      </c>
      <c r="AL19" s="15">
        <f t="shared" si="14"/>
        <v>0</v>
      </c>
      <c r="AM19" s="8">
        <f>DATEDIF(Table1[[#This Row],[Country_FirstMonth]], Table1[[#This Row],[MonthDate]], "m")</f>
        <v>30</v>
      </c>
    </row>
    <row r="20" spans="1:39" x14ac:dyDescent="0.25">
      <c r="A20" t="s">
        <v>33</v>
      </c>
      <c r="B20" s="12">
        <v>45858</v>
      </c>
      <c r="C20" s="12">
        <f t="shared" si="0"/>
        <v>45874</v>
      </c>
      <c r="D20" s="2" t="str">
        <f>IF(Table1[[#This Row],[RequiredDate]]&lt;Table1[[#This Row],[OrderDate]],"Check","OK")</f>
        <v>OK</v>
      </c>
      <c r="E20" s="2">
        <v>45874</v>
      </c>
      <c r="F20" s="15">
        <f t="shared" si="1"/>
        <v>16</v>
      </c>
      <c r="G20" t="s">
        <v>648</v>
      </c>
      <c r="H20" t="s">
        <v>655</v>
      </c>
      <c r="I20" t="s">
        <v>672</v>
      </c>
      <c r="J20" t="s">
        <v>706</v>
      </c>
      <c r="K20" t="s">
        <v>709</v>
      </c>
      <c r="L20" t="s">
        <v>715</v>
      </c>
      <c r="M20" t="s">
        <v>733</v>
      </c>
      <c r="N20" t="s">
        <v>752</v>
      </c>
      <c r="O20" s="29">
        <v>1068.17</v>
      </c>
      <c r="P20" t="str">
        <f>IF(Table1[[#This Row],[UnitPrice]]&lt;=0,"Check","OK")</f>
        <v>OK</v>
      </c>
      <c r="Q20" s="29">
        <f t="shared" si="2"/>
        <v>2375.37</v>
      </c>
      <c r="R20">
        <v>2375.37</v>
      </c>
      <c r="S20" s="5">
        <f>IF(Table1[[#This Row],[Discount_Flag]]="Check", MIN(MAX(Table1[[#This Row],[DiscountPct]],0),0.3), Table1[[#This Row],[DiscountPct]])</f>
        <v>0.109</v>
      </c>
      <c r="T20" t="str">
        <f>IF(OR(Table1[[#This Row],[DiscountPct]]&lt;0,Table1[[#This Row],[DiscountPct]]&gt;0.3),"Check","OK")</f>
        <v>OK</v>
      </c>
      <c r="U20" s="11">
        <v>0.109</v>
      </c>
      <c r="V20" s="15">
        <f t="shared" si="3"/>
        <v>0</v>
      </c>
      <c r="W20" s="11">
        <f t="shared" si="4"/>
        <v>0.49530220744108822</v>
      </c>
      <c r="X20" s="17">
        <f t="shared" si="5"/>
        <v>19227.060000000001</v>
      </c>
      <c r="Y20" s="17">
        <f t="shared" si="6"/>
        <v>18869.124059999998</v>
      </c>
      <c r="Z20" s="17">
        <f t="shared" si="7"/>
        <v>38096.18406</v>
      </c>
      <c r="AA20" s="17" t="str">
        <f t="shared" si="8"/>
        <v>Q3-2025</v>
      </c>
      <c r="AB20" s="12" t="str">
        <f t="shared" si="9"/>
        <v>Jul-2025</v>
      </c>
      <c r="AC20" s="12" t="str">
        <f t="shared" si="10"/>
        <v>High</v>
      </c>
      <c r="AD20">
        <v>18</v>
      </c>
      <c r="AE20" s="12">
        <f>_xlfn.MINIFS(Table1[MonthDate], Table1[Country], Table1[[#This Row],[Country]])</f>
        <v>44927</v>
      </c>
      <c r="AF20" s="12">
        <f t="shared" si="11"/>
        <v>45839</v>
      </c>
      <c r="AG20">
        <f>AD20*(1 + Scenario_Control!$B$4)</f>
        <v>19.8</v>
      </c>
      <c r="AH20">
        <f>O20*(1 + Scenario_Control!$B$3)</f>
        <v>1121.5785000000001</v>
      </c>
      <c r="AI20">
        <f t="shared" si="12"/>
        <v>8381.1604932000009</v>
      </c>
      <c r="AJ20">
        <f t="shared" si="13"/>
        <v>-13826.0938068</v>
      </c>
      <c r="AK20" s="29">
        <f>MIN(Q20*(1-U20), Scenario_Control!$B$2*Q20)</f>
        <v>475.07400000000001</v>
      </c>
      <c r="AL20" s="15">
        <f t="shared" si="14"/>
        <v>0</v>
      </c>
      <c r="AM20" s="8">
        <f>DATEDIF(Table1[[#This Row],[Country_FirstMonth]], Table1[[#This Row],[MonthDate]], "m")</f>
        <v>30</v>
      </c>
    </row>
    <row r="21" spans="1:39" x14ac:dyDescent="0.25">
      <c r="A21" t="s">
        <v>34</v>
      </c>
      <c r="B21" s="12">
        <v>45798</v>
      </c>
      <c r="C21" s="12">
        <f t="shared" si="0"/>
        <v>45805</v>
      </c>
      <c r="D21" s="2" t="str">
        <f>IF(Table1[[#This Row],[RequiredDate]]&lt;Table1[[#This Row],[OrderDate]],"Check","OK")</f>
        <v>Check</v>
      </c>
      <c r="E21" s="2">
        <v>45796</v>
      </c>
      <c r="F21" s="15">
        <f t="shared" si="1"/>
        <v>7</v>
      </c>
      <c r="G21" t="s">
        <v>649</v>
      </c>
      <c r="H21" t="s">
        <v>658</v>
      </c>
      <c r="I21" t="s">
        <v>674</v>
      </c>
      <c r="J21" t="s">
        <v>706</v>
      </c>
      <c r="K21" t="s">
        <v>708</v>
      </c>
      <c r="L21" t="s">
        <v>724</v>
      </c>
      <c r="M21" t="s">
        <v>731</v>
      </c>
      <c r="N21" t="s">
        <v>753</v>
      </c>
      <c r="O21" s="29">
        <v>1015.16</v>
      </c>
      <c r="P21" t="str">
        <f>IF(Table1[[#This Row],[UnitPrice]]&lt;=0,"Check","OK")</f>
        <v>OK</v>
      </c>
      <c r="Q21" s="29">
        <f t="shared" si="2"/>
        <v>2148.14</v>
      </c>
      <c r="R21">
        <v>2148.14</v>
      </c>
      <c r="S21" s="5">
        <f>IF(Table1[[#This Row],[Discount_Flag]]="Check", MIN(MAX(Table1[[#This Row],[DiscountPct]],0),0.3), Table1[[#This Row],[DiscountPct]])</f>
        <v>3.7999999999999999E-2</v>
      </c>
      <c r="T21" t="str">
        <f>IF(OR(Table1[[#This Row],[DiscountPct]]&lt;0,Table1[[#This Row],[DiscountPct]]&gt;0.3),"Check","OK")</f>
        <v>OK</v>
      </c>
      <c r="U21" s="11">
        <v>3.7999999999999999E-2</v>
      </c>
      <c r="V21" s="15">
        <f t="shared" si="3"/>
        <v>0</v>
      </c>
      <c r="W21" s="11">
        <f t="shared" si="4"/>
        <v>0.50875647059322227</v>
      </c>
      <c r="X21" s="17">
        <f t="shared" si="5"/>
        <v>19288.04</v>
      </c>
      <c r="Y21" s="17">
        <f t="shared" si="6"/>
        <v>19975.662919999995</v>
      </c>
      <c r="Z21" s="17">
        <f t="shared" si="7"/>
        <v>39263.702919999996</v>
      </c>
      <c r="AA21" s="17" t="str">
        <f t="shared" si="8"/>
        <v>Q2-2025</v>
      </c>
      <c r="AB21" s="12" t="str">
        <f t="shared" si="9"/>
        <v>May-2025</v>
      </c>
      <c r="AC21" s="12" t="str">
        <f t="shared" si="10"/>
        <v>High</v>
      </c>
      <c r="AD21">
        <v>19</v>
      </c>
      <c r="AE21" s="12">
        <f>_xlfn.MINIFS(Table1[MonthDate], Table1[Country], Table1[[#This Row],[Country]])</f>
        <v>44927</v>
      </c>
      <c r="AF21" s="12">
        <f t="shared" si="11"/>
        <v>45778</v>
      </c>
      <c r="AG21">
        <f>AD21*(1 + Scenario_Control!$B$4)</f>
        <v>20.900000000000002</v>
      </c>
      <c r="AH21">
        <f>O21*(1 + Scenario_Control!$B$3)</f>
        <v>1065.9180000000001</v>
      </c>
      <c r="AI21">
        <f t="shared" si="12"/>
        <v>8638.0146424000013</v>
      </c>
      <c r="AJ21">
        <f t="shared" si="13"/>
        <v>-13639.671557600002</v>
      </c>
      <c r="AK21" s="29">
        <f>MIN(Q21*(1-U21), Scenario_Control!$B$2*Q21)</f>
        <v>429.62799999999999</v>
      </c>
      <c r="AL21" s="15">
        <f t="shared" si="14"/>
        <v>1</v>
      </c>
      <c r="AM21" s="8">
        <f>DATEDIF(Table1[[#This Row],[Country_FirstMonth]], Table1[[#This Row],[MonthDate]], "m")</f>
        <v>28</v>
      </c>
    </row>
    <row r="22" spans="1:39" x14ac:dyDescent="0.25">
      <c r="A22" t="s">
        <v>35</v>
      </c>
      <c r="B22" s="12">
        <v>45498</v>
      </c>
      <c r="C22" s="12">
        <f t="shared" si="0"/>
        <v>45505</v>
      </c>
      <c r="D22" s="2" t="str">
        <f>IF(Table1[[#This Row],[RequiredDate]]&lt;Table1[[#This Row],[OrderDate]],"Check","OK")</f>
        <v>Check</v>
      </c>
      <c r="E22" s="2">
        <v>45497</v>
      </c>
      <c r="F22" s="15">
        <f t="shared" si="1"/>
        <v>7</v>
      </c>
      <c r="G22" t="s">
        <v>646</v>
      </c>
      <c r="H22" t="s">
        <v>650</v>
      </c>
      <c r="I22" t="s">
        <v>675</v>
      </c>
      <c r="J22" t="s">
        <v>703</v>
      </c>
      <c r="K22" t="s">
        <v>711</v>
      </c>
      <c r="L22" t="s">
        <v>713</v>
      </c>
      <c r="M22" t="s">
        <v>731</v>
      </c>
      <c r="N22" t="s">
        <v>754</v>
      </c>
      <c r="O22" s="29">
        <v>1494.4</v>
      </c>
      <c r="P22" t="str">
        <f>IF(Table1[[#This Row],[UnitPrice]]&lt;=0,"Check","OK")</f>
        <v>OK</v>
      </c>
      <c r="Q22" s="29">
        <f t="shared" si="2"/>
        <v>3661.07</v>
      </c>
      <c r="R22">
        <v>3661.07</v>
      </c>
      <c r="S22" s="5">
        <f>IF(Table1[[#This Row],[Discount_Flag]]="Check", MIN(MAX(Table1[[#This Row],[DiscountPct]],0),0.3), Table1[[#This Row],[DiscountPct]])</f>
        <v>7.1999999999999995E-2</v>
      </c>
      <c r="T22" t="str">
        <f>IF(OR(Table1[[#This Row],[DiscountPct]]&lt;0,Table1[[#This Row],[DiscountPct]]&gt;0.3),"Check","OK")</f>
        <v>OK</v>
      </c>
      <c r="U22" s="11">
        <v>7.1999999999999995E-2</v>
      </c>
      <c r="V22" s="15">
        <f t="shared" si="3"/>
        <v>0</v>
      </c>
      <c r="W22" s="11">
        <f t="shared" si="4"/>
        <v>0.56014366630897339</v>
      </c>
      <c r="X22" s="17">
        <f t="shared" si="5"/>
        <v>10460.800000000001</v>
      </c>
      <c r="Y22" s="17">
        <f t="shared" si="6"/>
        <v>13321.51072</v>
      </c>
      <c r="Z22" s="17">
        <f t="shared" si="7"/>
        <v>23782.310720000001</v>
      </c>
      <c r="AA22" s="17" t="str">
        <f t="shared" si="8"/>
        <v>Q3-2024</v>
      </c>
      <c r="AB22" s="12" t="str">
        <f t="shared" si="9"/>
        <v>Jul-2024</v>
      </c>
      <c r="AC22" s="12" t="str">
        <f t="shared" si="10"/>
        <v>High</v>
      </c>
      <c r="AD22">
        <v>7</v>
      </c>
      <c r="AE22" s="12">
        <f>_xlfn.MINIFS(Table1[MonthDate], Table1[Country], Table1[[#This Row],[Country]])</f>
        <v>44927</v>
      </c>
      <c r="AF22" s="12">
        <f t="shared" si="11"/>
        <v>45474</v>
      </c>
      <c r="AG22">
        <f>AD22*(1 + Scenario_Control!$B$4)</f>
        <v>7.7000000000000011</v>
      </c>
      <c r="AH22">
        <f>O22*(1 + Scenario_Control!$B$3)</f>
        <v>1569.1200000000001</v>
      </c>
      <c r="AI22">
        <f t="shared" si="12"/>
        <v>5232.1083584000016</v>
      </c>
      <c r="AJ22">
        <f t="shared" si="13"/>
        <v>-6850.1156416000003</v>
      </c>
      <c r="AK22" s="29">
        <f>MIN(Q22*(1-U22), Scenario_Control!$B$2*Q22)</f>
        <v>732.21400000000006</v>
      </c>
      <c r="AL22" s="15">
        <f t="shared" si="14"/>
        <v>1</v>
      </c>
      <c r="AM22" s="8">
        <f>DATEDIF(Table1[[#This Row],[Country_FirstMonth]], Table1[[#This Row],[MonthDate]], "m")</f>
        <v>18</v>
      </c>
    </row>
    <row r="23" spans="1:39" x14ac:dyDescent="0.25">
      <c r="A23" t="s">
        <v>36</v>
      </c>
      <c r="B23" s="12">
        <v>45057</v>
      </c>
      <c r="C23" s="12">
        <f t="shared" si="0"/>
        <v>45074</v>
      </c>
      <c r="D23" s="2" t="str">
        <f>IF(Table1[[#This Row],[RequiredDate]]&lt;Table1[[#This Row],[OrderDate]],"Check","OK")</f>
        <v>OK</v>
      </c>
      <c r="E23" s="2">
        <v>45074</v>
      </c>
      <c r="F23" s="15">
        <f t="shared" si="1"/>
        <v>17</v>
      </c>
      <c r="G23" t="s">
        <v>647</v>
      </c>
      <c r="H23" t="s">
        <v>659</v>
      </c>
      <c r="I23" t="s">
        <v>676</v>
      </c>
      <c r="J23" t="s">
        <v>706</v>
      </c>
      <c r="K23" t="s">
        <v>709</v>
      </c>
      <c r="L23" t="s">
        <v>718</v>
      </c>
      <c r="M23" t="s">
        <v>729</v>
      </c>
      <c r="N23" t="s">
        <v>755</v>
      </c>
      <c r="O23" s="29">
        <v>1331.19</v>
      </c>
      <c r="P23" t="str">
        <f>IF(Table1[[#This Row],[UnitPrice]]&lt;=0,"Check","OK")</f>
        <v>OK</v>
      </c>
      <c r="Q23" s="29">
        <f t="shared" si="2"/>
        <v>2903.09</v>
      </c>
      <c r="R23">
        <v>2903.09</v>
      </c>
      <c r="S23" s="5">
        <f>IF(Table1[[#This Row],[Discount_Flag]]="Check", MIN(MAX(Table1[[#This Row],[DiscountPct]],0),0.3), Table1[[#This Row],[DiscountPct]])</f>
        <v>0.14299999999999999</v>
      </c>
      <c r="T23" t="str">
        <f>IF(OR(Table1[[#This Row],[DiscountPct]]&lt;0,Table1[[#This Row],[DiscountPct]]&gt;0.3),"Check","OK")</f>
        <v>OK</v>
      </c>
      <c r="U23" s="11">
        <v>0.14299999999999999</v>
      </c>
      <c r="V23" s="15">
        <f t="shared" si="3"/>
        <v>0</v>
      </c>
      <c r="W23" s="11">
        <f t="shared" si="4"/>
        <v>0.46494463290920784</v>
      </c>
      <c r="X23" s="17">
        <f t="shared" si="5"/>
        <v>10649.52</v>
      </c>
      <c r="Y23" s="17">
        <f t="shared" si="6"/>
        <v>9254.0650400000013</v>
      </c>
      <c r="Z23" s="17">
        <f t="shared" si="7"/>
        <v>19903.585040000002</v>
      </c>
      <c r="AA23" s="17" t="str">
        <f t="shared" si="8"/>
        <v>Q2-2023</v>
      </c>
      <c r="AB23" s="12" t="str">
        <f t="shared" si="9"/>
        <v>May-2023</v>
      </c>
      <c r="AC23" s="12" t="str">
        <f t="shared" si="10"/>
        <v>High</v>
      </c>
      <c r="AD23">
        <v>8</v>
      </c>
      <c r="AE23" s="12">
        <f>_xlfn.MINIFS(Table1[MonthDate], Table1[Country], Table1[[#This Row],[Country]])</f>
        <v>44927</v>
      </c>
      <c r="AF23" s="12">
        <f t="shared" si="11"/>
        <v>45047</v>
      </c>
      <c r="AG23">
        <f>AD23*(1 + Scenario_Control!$B$4)</f>
        <v>8.8000000000000007</v>
      </c>
      <c r="AH23">
        <f>O23*(1 + Scenario_Control!$B$3)</f>
        <v>1397.7495000000001</v>
      </c>
      <c r="AI23">
        <f t="shared" si="12"/>
        <v>4378.7887088000007</v>
      </c>
      <c r="AJ23">
        <f t="shared" si="13"/>
        <v>-7921.4068912000021</v>
      </c>
      <c r="AK23" s="29">
        <f>MIN(Q23*(1-U23), Scenario_Control!$B$2*Q23)</f>
        <v>580.61800000000005</v>
      </c>
      <c r="AL23" s="15">
        <f t="shared" si="14"/>
        <v>0</v>
      </c>
      <c r="AM23" s="8">
        <f>DATEDIF(Table1[[#This Row],[Country_FirstMonth]], Table1[[#This Row],[MonthDate]], "m")</f>
        <v>4</v>
      </c>
    </row>
    <row r="24" spans="1:39" x14ac:dyDescent="0.25">
      <c r="A24" t="s">
        <v>37</v>
      </c>
      <c r="B24" s="12">
        <v>45822</v>
      </c>
      <c r="C24" s="12">
        <f t="shared" si="0"/>
        <v>45837</v>
      </c>
      <c r="D24" s="2" t="str">
        <f>IF(Table1[[#This Row],[RequiredDate]]&lt;Table1[[#This Row],[OrderDate]],"Check","OK")</f>
        <v>OK</v>
      </c>
      <c r="E24" s="2">
        <v>45837</v>
      </c>
      <c r="F24" s="15">
        <f t="shared" si="1"/>
        <v>15</v>
      </c>
      <c r="G24" t="s">
        <v>646</v>
      </c>
      <c r="H24" t="s">
        <v>651</v>
      </c>
      <c r="I24" t="s">
        <v>663</v>
      </c>
      <c r="J24" t="s">
        <v>704</v>
      </c>
      <c r="K24" t="s">
        <v>709</v>
      </c>
      <c r="L24" t="s">
        <v>724</v>
      </c>
      <c r="M24" t="s">
        <v>733</v>
      </c>
      <c r="N24" t="s">
        <v>756</v>
      </c>
      <c r="O24" s="29">
        <v>730.99</v>
      </c>
      <c r="P24" t="str">
        <f>IF(Table1[[#This Row],[UnitPrice]]&lt;=0,"Check","OK")</f>
        <v>OK</v>
      </c>
      <c r="Q24" s="29">
        <f t="shared" si="2"/>
        <v>1242.8399999999999</v>
      </c>
      <c r="R24">
        <v>1242.8399999999999</v>
      </c>
      <c r="S24" s="5">
        <f>IF(Table1[[#This Row],[Discount_Flag]]="Check", MIN(MAX(Table1[[#This Row],[DiscountPct]],0),0.3), Table1[[#This Row],[DiscountPct]])</f>
        <v>0.12</v>
      </c>
      <c r="T24" t="str">
        <f>IF(OR(Table1[[#This Row],[DiscountPct]]&lt;0,Table1[[#This Row],[DiscountPct]]&gt;0.3),"Check","OK")</f>
        <v>OK</v>
      </c>
      <c r="U24" s="11">
        <v>0.12</v>
      </c>
      <c r="V24" s="15">
        <f t="shared" si="3"/>
        <v>0</v>
      </c>
      <c r="W24" s="11">
        <f t="shared" si="4"/>
        <v>0.33163524303574515</v>
      </c>
      <c r="X24" s="17">
        <f t="shared" si="5"/>
        <v>7309.9</v>
      </c>
      <c r="Y24" s="17">
        <f t="shared" si="6"/>
        <v>3627.0920000000006</v>
      </c>
      <c r="Z24" s="17">
        <f t="shared" si="7"/>
        <v>10936.992</v>
      </c>
      <c r="AA24" s="17" t="str">
        <f t="shared" si="8"/>
        <v>Q2-2025</v>
      </c>
      <c r="AB24" s="12" t="str">
        <f t="shared" si="9"/>
        <v>Jun-2025</v>
      </c>
      <c r="AC24" s="12" t="str">
        <f t="shared" si="10"/>
        <v>Medium</v>
      </c>
      <c r="AD24">
        <v>10</v>
      </c>
      <c r="AE24" s="12">
        <f>_xlfn.MINIFS(Table1[MonthDate], Table1[Country], Table1[[#This Row],[Country]])</f>
        <v>44927</v>
      </c>
      <c r="AF24" s="12">
        <f t="shared" si="11"/>
        <v>45809</v>
      </c>
      <c r="AG24">
        <f>AD24*(1 + Scenario_Control!$B$4)</f>
        <v>11</v>
      </c>
      <c r="AH24">
        <f>O24*(1 + Scenario_Control!$B$3)</f>
        <v>767.53950000000009</v>
      </c>
      <c r="AI24">
        <f t="shared" si="12"/>
        <v>2406.1382399999998</v>
      </c>
      <c r="AJ24">
        <f t="shared" si="13"/>
        <v>-6036.796260000001</v>
      </c>
      <c r="AK24" s="29">
        <f>MIN(Q24*(1-U24), Scenario_Control!$B$2*Q24)</f>
        <v>248.56799999999998</v>
      </c>
      <c r="AL24" s="15">
        <f t="shared" si="14"/>
        <v>0</v>
      </c>
      <c r="AM24" s="8">
        <f>DATEDIF(Table1[[#This Row],[Country_FirstMonth]], Table1[[#This Row],[MonthDate]], "m")</f>
        <v>29</v>
      </c>
    </row>
    <row r="25" spans="1:39" x14ac:dyDescent="0.25">
      <c r="A25" t="s">
        <v>38</v>
      </c>
      <c r="B25" s="12">
        <v>45430</v>
      </c>
      <c r="C25" s="12">
        <f t="shared" si="0"/>
        <v>45435</v>
      </c>
      <c r="D25" s="2" t="str">
        <f>IF(Table1[[#This Row],[RequiredDate]]&lt;Table1[[#This Row],[OrderDate]],"Check","OK")</f>
        <v>OK</v>
      </c>
      <c r="E25" s="2">
        <v>45435</v>
      </c>
      <c r="F25" s="15">
        <f t="shared" si="1"/>
        <v>5</v>
      </c>
      <c r="G25" t="s">
        <v>648</v>
      </c>
      <c r="H25" t="s">
        <v>660</v>
      </c>
      <c r="I25" t="s">
        <v>677</v>
      </c>
      <c r="J25" t="s">
        <v>706</v>
      </c>
      <c r="K25" t="s">
        <v>707</v>
      </c>
      <c r="L25" t="s">
        <v>722</v>
      </c>
      <c r="M25" t="s">
        <v>731</v>
      </c>
      <c r="N25" t="s">
        <v>757</v>
      </c>
      <c r="O25" s="29">
        <v>1274.5899999999999</v>
      </c>
      <c r="P25" t="str">
        <f>IF(Table1[[#This Row],[UnitPrice]]&lt;=0,"Check","OK")</f>
        <v>OK</v>
      </c>
      <c r="Q25" s="29">
        <f t="shared" si="2"/>
        <v>2553.69</v>
      </c>
      <c r="R25">
        <v>2553.69</v>
      </c>
      <c r="S25" s="5">
        <f>IF(Table1[[#This Row],[Discount_Flag]]="Check", MIN(MAX(Table1[[#This Row],[DiscountPct]],0),0.3), Table1[[#This Row],[DiscountPct]])</f>
        <v>0.01</v>
      </c>
      <c r="T25" t="str">
        <f>IF(OR(Table1[[#This Row],[DiscountPct]]&lt;0,Table1[[#This Row],[DiscountPct]]&gt;0.3),"Check","OK")</f>
        <v>OK</v>
      </c>
      <c r="U25" s="11">
        <v>0.01</v>
      </c>
      <c r="V25" s="15">
        <f t="shared" si="3"/>
        <v>0</v>
      </c>
      <c r="W25" s="11">
        <f t="shared" si="4"/>
        <v>0.49584145042481803</v>
      </c>
      <c r="X25" s="17">
        <f t="shared" si="5"/>
        <v>10196.719999999999</v>
      </c>
      <c r="Y25" s="17">
        <f t="shared" si="6"/>
        <v>10028.504800000001</v>
      </c>
      <c r="Z25" s="17">
        <f t="shared" si="7"/>
        <v>20225.2248</v>
      </c>
      <c r="AA25" s="17" t="str">
        <f t="shared" si="8"/>
        <v>Q2-2024</v>
      </c>
      <c r="AB25" s="12" t="str">
        <f t="shared" si="9"/>
        <v>May-2024</v>
      </c>
      <c r="AC25" s="12" t="str">
        <f t="shared" si="10"/>
        <v>High</v>
      </c>
      <c r="AD25">
        <v>8</v>
      </c>
      <c r="AE25" s="12">
        <f>_xlfn.MINIFS(Table1[MonthDate], Table1[Country], Table1[[#This Row],[Country]])</f>
        <v>44927</v>
      </c>
      <c r="AF25" s="12">
        <f t="shared" si="11"/>
        <v>45413</v>
      </c>
      <c r="AG25">
        <f>AD25*(1 + Scenario_Control!$B$4)</f>
        <v>8.8000000000000007</v>
      </c>
      <c r="AH25">
        <f>O25*(1 + Scenario_Control!$B$3)</f>
        <v>1338.3195000000001</v>
      </c>
      <c r="AI25">
        <f t="shared" si="12"/>
        <v>4449.5494560000006</v>
      </c>
      <c r="AJ25">
        <f t="shared" si="13"/>
        <v>-7327.6621440000017</v>
      </c>
      <c r="AK25" s="29">
        <f>MIN(Q25*(1-U25), Scenario_Control!$B$2*Q25)</f>
        <v>510.73800000000006</v>
      </c>
      <c r="AL25" s="15">
        <f t="shared" si="14"/>
        <v>1</v>
      </c>
      <c r="AM25" s="8">
        <f>DATEDIF(Table1[[#This Row],[Country_FirstMonth]], Table1[[#This Row],[MonthDate]], "m")</f>
        <v>16</v>
      </c>
    </row>
    <row r="26" spans="1:39" x14ac:dyDescent="0.25">
      <c r="A26" t="s">
        <v>39</v>
      </c>
      <c r="B26" s="12">
        <v>44964</v>
      </c>
      <c r="C26" s="12">
        <f t="shared" si="0"/>
        <v>44969</v>
      </c>
      <c r="D26" s="2" t="str">
        <f>IF(Table1[[#This Row],[RequiredDate]]&lt;Table1[[#This Row],[OrderDate]],"Check","OK")</f>
        <v>OK</v>
      </c>
      <c r="E26" s="2">
        <v>44969</v>
      </c>
      <c r="F26" s="15">
        <f t="shared" si="1"/>
        <v>5</v>
      </c>
      <c r="G26" t="s">
        <v>648</v>
      </c>
      <c r="H26" t="s">
        <v>655</v>
      </c>
      <c r="I26" t="s">
        <v>670</v>
      </c>
      <c r="J26" t="s">
        <v>702</v>
      </c>
      <c r="K26" t="s">
        <v>708</v>
      </c>
      <c r="L26" t="s">
        <v>725</v>
      </c>
      <c r="M26" t="s">
        <v>727</v>
      </c>
      <c r="N26" t="s">
        <v>758</v>
      </c>
      <c r="O26" s="29">
        <v>948.55</v>
      </c>
      <c r="P26" t="str">
        <f>IF(Table1[[#This Row],[UnitPrice]]&lt;=0,"Check","OK")</f>
        <v>OK</v>
      </c>
      <c r="Q26" s="29">
        <f t="shared" si="2"/>
        <v>2089.16</v>
      </c>
      <c r="R26">
        <v>2089.16</v>
      </c>
      <c r="S26" s="5">
        <f>IF(Table1[[#This Row],[Discount_Flag]]="Check", MIN(MAX(Table1[[#This Row],[DiscountPct]],0),0.3), Table1[[#This Row],[DiscountPct]])</f>
        <v>7.0000000000000001E-3</v>
      </c>
      <c r="T26" t="str">
        <f>IF(OR(Table1[[#This Row],[DiscountPct]]&lt;0,Table1[[#This Row],[DiscountPct]]&gt;0.3),"Check","OK")</f>
        <v>OK</v>
      </c>
      <c r="U26" s="11">
        <v>7.0000000000000001E-3</v>
      </c>
      <c r="V26" s="15">
        <f t="shared" si="3"/>
        <v>0</v>
      </c>
      <c r="W26" s="11">
        <f t="shared" si="4"/>
        <v>0.54276519912492427</v>
      </c>
      <c r="X26" s="17">
        <f t="shared" si="5"/>
        <v>11382.599999999999</v>
      </c>
      <c r="Y26" s="17">
        <f t="shared" si="6"/>
        <v>13511.830559999999</v>
      </c>
      <c r="Z26" s="17">
        <f t="shared" si="7"/>
        <v>24894.430559999997</v>
      </c>
      <c r="AA26" s="17" t="str">
        <f t="shared" si="8"/>
        <v>Q1-2023</v>
      </c>
      <c r="AB26" s="12" t="str">
        <f t="shared" si="9"/>
        <v>Feb-2023</v>
      </c>
      <c r="AC26" s="12" t="str">
        <f t="shared" si="10"/>
        <v>High</v>
      </c>
      <c r="AD26">
        <v>12</v>
      </c>
      <c r="AE26" s="12">
        <f>_xlfn.MINIFS(Table1[MonthDate], Table1[Country], Table1[[#This Row],[Country]])</f>
        <v>44927</v>
      </c>
      <c r="AF26" s="12">
        <f t="shared" si="11"/>
        <v>44958</v>
      </c>
      <c r="AG26">
        <f>AD26*(1 + Scenario_Control!$B$4)</f>
        <v>13.200000000000001</v>
      </c>
      <c r="AH26">
        <f>O26*(1 + Scenario_Control!$B$3)</f>
        <v>995.97749999999996</v>
      </c>
      <c r="AI26">
        <f t="shared" si="12"/>
        <v>5476.7747232000002</v>
      </c>
      <c r="AJ26">
        <f t="shared" si="13"/>
        <v>-7670.1282768000001</v>
      </c>
      <c r="AK26" s="29">
        <f>MIN(Q26*(1-U26), Scenario_Control!$B$2*Q26)</f>
        <v>417.83199999999999</v>
      </c>
      <c r="AL26" s="15">
        <f t="shared" si="14"/>
        <v>1</v>
      </c>
      <c r="AM26" s="8">
        <f>DATEDIF(Table1[[#This Row],[Country_FirstMonth]], Table1[[#This Row],[MonthDate]], "m")</f>
        <v>1</v>
      </c>
    </row>
    <row r="27" spans="1:39" x14ac:dyDescent="0.25">
      <c r="A27" t="s">
        <v>40</v>
      </c>
      <c r="B27" s="12">
        <v>45473</v>
      </c>
      <c r="C27" s="12">
        <f t="shared" si="0"/>
        <v>45487</v>
      </c>
      <c r="D27" s="2" t="str">
        <f>IF(Table1[[#This Row],[RequiredDate]]&lt;Table1[[#This Row],[OrderDate]],"Check","OK")</f>
        <v>OK</v>
      </c>
      <c r="E27" s="2">
        <v>45487</v>
      </c>
      <c r="F27" s="15">
        <f t="shared" si="1"/>
        <v>14</v>
      </c>
      <c r="G27" t="s">
        <v>648</v>
      </c>
      <c r="H27" t="s">
        <v>655</v>
      </c>
      <c r="I27" t="s">
        <v>672</v>
      </c>
      <c r="J27" t="s">
        <v>702</v>
      </c>
      <c r="K27" t="s">
        <v>707</v>
      </c>
      <c r="L27" t="s">
        <v>712</v>
      </c>
      <c r="M27" t="s">
        <v>733</v>
      </c>
      <c r="N27" t="s">
        <v>759</v>
      </c>
      <c r="O27" s="29">
        <v>1491.85</v>
      </c>
      <c r="P27" t="str">
        <f>IF(Table1[[#This Row],[UnitPrice]]&lt;=0,"Check","OK")</f>
        <v>OK</v>
      </c>
      <c r="Q27" s="29">
        <f t="shared" si="2"/>
        <v>2583.02</v>
      </c>
      <c r="R27">
        <v>2583.02</v>
      </c>
      <c r="S27" s="5">
        <f>IF(Table1[[#This Row],[Discount_Flag]]="Check", MIN(MAX(Table1[[#This Row],[DiscountPct]],0),0.3), Table1[[#This Row],[DiscountPct]])</f>
        <v>0.16800000000000001</v>
      </c>
      <c r="T27" t="str">
        <f>IF(OR(Table1[[#This Row],[DiscountPct]]&lt;0,Table1[[#This Row],[DiscountPct]]&gt;0.3),"Check","OK")</f>
        <v>OK</v>
      </c>
      <c r="U27" s="11">
        <v>0.16800000000000001</v>
      </c>
      <c r="V27" s="15">
        <f t="shared" si="3"/>
        <v>0</v>
      </c>
      <c r="W27" s="11">
        <f t="shared" si="4"/>
        <v>0.30581685689321325</v>
      </c>
      <c r="X27" s="17">
        <f t="shared" si="5"/>
        <v>5967.4</v>
      </c>
      <c r="Y27" s="17">
        <f t="shared" si="6"/>
        <v>2628.8905599999998</v>
      </c>
      <c r="Z27" s="17">
        <f t="shared" si="7"/>
        <v>8596.2905599999995</v>
      </c>
      <c r="AA27" s="17" t="str">
        <f t="shared" si="8"/>
        <v>Q2-2024</v>
      </c>
      <c r="AB27" s="12" t="str">
        <f t="shared" si="9"/>
        <v>Jun-2024</v>
      </c>
      <c r="AC27" s="12" t="str">
        <f t="shared" si="10"/>
        <v>High</v>
      </c>
      <c r="AD27">
        <v>4</v>
      </c>
      <c r="AE27" s="12">
        <f>_xlfn.MINIFS(Table1[MonthDate], Table1[Country], Table1[[#This Row],[Country]])</f>
        <v>44927</v>
      </c>
      <c r="AF27" s="12">
        <f t="shared" si="11"/>
        <v>45444</v>
      </c>
      <c r="AG27">
        <f>AD27*(1 + Scenario_Control!$B$4)</f>
        <v>4.4000000000000004</v>
      </c>
      <c r="AH27">
        <f>O27*(1 + Scenario_Control!$B$3)</f>
        <v>1566.4424999999999</v>
      </c>
      <c r="AI27">
        <f t="shared" si="12"/>
        <v>1891.1839232000004</v>
      </c>
      <c r="AJ27">
        <f t="shared" si="13"/>
        <v>-5001.1630767999995</v>
      </c>
      <c r="AK27" s="29">
        <f>MIN(Q27*(1-U27), Scenario_Control!$B$2*Q27)</f>
        <v>516.60400000000004</v>
      </c>
      <c r="AL27" s="15">
        <f t="shared" si="14"/>
        <v>0</v>
      </c>
      <c r="AM27" s="8">
        <f>DATEDIF(Table1[[#This Row],[Country_FirstMonth]], Table1[[#This Row],[MonthDate]], "m")</f>
        <v>17</v>
      </c>
    </row>
    <row r="28" spans="1:39" x14ac:dyDescent="0.25">
      <c r="A28" t="s">
        <v>41</v>
      </c>
      <c r="B28" s="12">
        <v>45626</v>
      </c>
      <c r="C28" s="12">
        <f t="shared" si="0"/>
        <v>45656</v>
      </c>
      <c r="D28" s="2" t="str">
        <f>IF(Table1[[#This Row],[RequiredDate]]&lt;Table1[[#This Row],[OrderDate]],"Check","OK")</f>
        <v>OK</v>
      </c>
      <c r="E28" s="2">
        <v>45656</v>
      </c>
      <c r="F28" s="15">
        <f t="shared" si="1"/>
        <v>30</v>
      </c>
      <c r="G28" t="s">
        <v>649</v>
      </c>
      <c r="H28" t="s">
        <v>657</v>
      </c>
      <c r="I28" t="s">
        <v>673</v>
      </c>
      <c r="J28" t="s">
        <v>704</v>
      </c>
      <c r="K28" t="s">
        <v>709</v>
      </c>
      <c r="L28" t="s">
        <v>721</v>
      </c>
      <c r="M28" t="s">
        <v>728</v>
      </c>
      <c r="N28" t="s">
        <v>760</v>
      </c>
      <c r="O28" s="29">
        <v>117.64</v>
      </c>
      <c r="P28" t="str">
        <f>IF(Table1[[#This Row],[UnitPrice]]&lt;=0,"Check","OK")</f>
        <v>OK</v>
      </c>
      <c r="Q28" s="29">
        <f t="shared" si="2"/>
        <v>175.67</v>
      </c>
      <c r="R28">
        <v>175.67</v>
      </c>
      <c r="S28" s="5">
        <f>IF(Table1[[#This Row],[Discount_Flag]]="Check", MIN(MAX(Table1[[#This Row],[DiscountPct]],0),0.3), Table1[[#This Row],[DiscountPct]])</f>
        <v>0</v>
      </c>
      <c r="T28" t="str">
        <f>IF(OR(Table1[[#This Row],[DiscountPct]]&lt;0,Table1[[#This Row],[DiscountPct]]&gt;0.3),"Check","OK")</f>
        <v>OK</v>
      </c>
      <c r="U28" s="11">
        <v>0</v>
      </c>
      <c r="V28" s="15">
        <f t="shared" si="3"/>
        <v>0</v>
      </c>
      <c r="W28" s="11">
        <f t="shared" si="4"/>
        <v>0.33033528775545046</v>
      </c>
      <c r="X28" s="17">
        <f t="shared" si="5"/>
        <v>1176.4000000000001</v>
      </c>
      <c r="Y28" s="17">
        <f t="shared" si="6"/>
        <v>580.29999999999973</v>
      </c>
      <c r="Z28" s="17">
        <f t="shared" si="7"/>
        <v>1756.6999999999998</v>
      </c>
      <c r="AA28" s="17" t="str">
        <f t="shared" si="8"/>
        <v>Q4-2024</v>
      </c>
      <c r="AB28" s="12" t="str">
        <f t="shared" si="9"/>
        <v>Nov-2024</v>
      </c>
      <c r="AC28" s="12" t="str">
        <f t="shared" si="10"/>
        <v>Low</v>
      </c>
      <c r="AD28">
        <v>10</v>
      </c>
      <c r="AE28" s="12">
        <f>_xlfn.MINIFS(Table1[MonthDate], Table1[Country], Table1[[#This Row],[Country]])</f>
        <v>44927</v>
      </c>
      <c r="AF28" s="12">
        <f t="shared" si="11"/>
        <v>45597</v>
      </c>
      <c r="AG28">
        <f>AD28*(1 + Scenario_Control!$B$4)</f>
        <v>11</v>
      </c>
      <c r="AH28">
        <f>O28*(1 + Scenario_Control!$B$3)</f>
        <v>123.52200000000001</v>
      </c>
      <c r="AI28">
        <f t="shared" si="12"/>
        <v>386.47399999999999</v>
      </c>
      <c r="AJ28">
        <f t="shared" si="13"/>
        <v>-972.26800000000003</v>
      </c>
      <c r="AK28" s="29">
        <f>MIN(Q28*(1-U28), Scenario_Control!$B$2*Q28)</f>
        <v>35.134</v>
      </c>
      <c r="AL28" s="15">
        <f t="shared" si="14"/>
        <v>0</v>
      </c>
      <c r="AM28" s="8">
        <f>DATEDIF(Table1[[#This Row],[Country_FirstMonth]], Table1[[#This Row],[MonthDate]], "m")</f>
        <v>22</v>
      </c>
    </row>
    <row r="29" spans="1:39" x14ac:dyDescent="0.25">
      <c r="A29" t="s">
        <v>42</v>
      </c>
      <c r="B29" s="12">
        <v>45492</v>
      </c>
      <c r="C29" s="12">
        <f t="shared" si="0"/>
        <v>45492</v>
      </c>
      <c r="D29" s="2" t="str">
        <f>IF(Table1[[#This Row],[RequiredDate]]&lt;Table1[[#This Row],[OrderDate]],"Check","OK")</f>
        <v>OK</v>
      </c>
      <c r="E29" s="2">
        <v>45492</v>
      </c>
      <c r="F29" s="15">
        <f t="shared" si="1"/>
        <v>0</v>
      </c>
      <c r="G29" t="s">
        <v>646</v>
      </c>
      <c r="H29" t="s">
        <v>650</v>
      </c>
      <c r="I29" t="s">
        <v>662</v>
      </c>
      <c r="J29" t="s">
        <v>705</v>
      </c>
      <c r="K29" t="s">
        <v>707</v>
      </c>
      <c r="L29" t="s">
        <v>720</v>
      </c>
      <c r="M29" t="s">
        <v>730</v>
      </c>
      <c r="N29" t="s">
        <v>761</v>
      </c>
      <c r="O29" s="29">
        <v>857.24</v>
      </c>
      <c r="P29" t="str">
        <f>IF(Table1[[#This Row],[UnitPrice]]&lt;=0,"Check","OK")</f>
        <v>OK</v>
      </c>
      <c r="Q29" s="29">
        <f t="shared" si="2"/>
        <v>758.23</v>
      </c>
      <c r="R29">
        <v>758.23</v>
      </c>
      <c r="S29" s="5">
        <f>IF(Table1[[#This Row],[Discount_Flag]]="Check", MIN(MAX(Table1[[#This Row],[DiscountPct]],0),0.3), Table1[[#This Row],[DiscountPct]])</f>
        <v>0.125</v>
      </c>
      <c r="T29" t="str">
        <f>IF(OR(Table1[[#This Row],[DiscountPct]]&lt;0,Table1[[#This Row],[DiscountPct]]&gt;0.3),"Check","OK")</f>
        <v>OK</v>
      </c>
      <c r="U29" s="11">
        <v>0.125</v>
      </c>
      <c r="V29" s="15">
        <f t="shared" si="3"/>
        <v>0</v>
      </c>
      <c r="W29" s="11">
        <f t="shared" si="4"/>
        <v>-0.29209192084572921</v>
      </c>
      <c r="X29" s="17">
        <f t="shared" si="5"/>
        <v>5143.4400000000005</v>
      </c>
      <c r="Y29" s="17">
        <f t="shared" si="6"/>
        <v>-1162.7325000000005</v>
      </c>
      <c r="Z29" s="17">
        <f t="shared" si="7"/>
        <v>3980.7075</v>
      </c>
      <c r="AA29" s="17" t="str">
        <f t="shared" si="8"/>
        <v>Q3-2024</v>
      </c>
      <c r="AB29" s="12" t="str">
        <f t="shared" si="9"/>
        <v>Jul-2024</v>
      </c>
      <c r="AC29" s="12" t="str">
        <f t="shared" si="10"/>
        <v>Medium</v>
      </c>
      <c r="AD29">
        <v>6</v>
      </c>
      <c r="AE29" s="12">
        <f>_xlfn.MINIFS(Table1[MonthDate], Table1[Country], Table1[[#This Row],[Country]])</f>
        <v>44927</v>
      </c>
      <c r="AF29" s="12">
        <f t="shared" si="11"/>
        <v>45474</v>
      </c>
      <c r="AG29">
        <f>AD29*(1 + Scenario_Control!$B$4)</f>
        <v>6.6000000000000005</v>
      </c>
      <c r="AH29">
        <f>O29*(1 + Scenario_Control!$B$3)</f>
        <v>900.10200000000009</v>
      </c>
      <c r="AI29">
        <f t="shared" si="12"/>
        <v>875.75565000000006</v>
      </c>
      <c r="AJ29">
        <f t="shared" si="13"/>
        <v>-5064.917550000001</v>
      </c>
      <c r="AK29" s="29">
        <f>MIN(Q29*(1-U29), Scenario_Control!$B$2*Q29)</f>
        <v>151.64600000000002</v>
      </c>
      <c r="AL29" s="15">
        <f t="shared" si="14"/>
        <v>1</v>
      </c>
      <c r="AM29" s="8">
        <f>DATEDIF(Table1[[#This Row],[Country_FirstMonth]], Table1[[#This Row],[MonthDate]], "m")</f>
        <v>18</v>
      </c>
    </row>
    <row r="30" spans="1:39" x14ac:dyDescent="0.25">
      <c r="A30" t="s">
        <v>43</v>
      </c>
      <c r="B30" s="12">
        <v>45030</v>
      </c>
      <c r="C30" s="12">
        <f t="shared" si="0"/>
        <v>45060</v>
      </c>
      <c r="D30" s="2" t="str">
        <f>IF(Table1[[#This Row],[RequiredDate]]&lt;Table1[[#This Row],[OrderDate]],"Check","OK")</f>
        <v>OK</v>
      </c>
      <c r="E30" s="2">
        <v>45060</v>
      </c>
      <c r="F30" s="15">
        <f t="shared" si="1"/>
        <v>30</v>
      </c>
      <c r="G30" t="s">
        <v>646</v>
      </c>
      <c r="H30" t="s">
        <v>650</v>
      </c>
      <c r="I30" t="s">
        <v>678</v>
      </c>
      <c r="J30" t="s">
        <v>704</v>
      </c>
      <c r="K30" t="s">
        <v>709</v>
      </c>
      <c r="L30" t="s">
        <v>724</v>
      </c>
      <c r="M30" t="s">
        <v>730</v>
      </c>
      <c r="N30" t="s">
        <v>762</v>
      </c>
      <c r="O30" s="29">
        <v>209.25</v>
      </c>
      <c r="P30" t="str">
        <f>IF(Table1[[#This Row],[UnitPrice]]&lt;=0,"Check","OK")</f>
        <v>OK</v>
      </c>
      <c r="Q30" s="29">
        <f t="shared" si="2"/>
        <v>434.8</v>
      </c>
      <c r="R30">
        <v>434.8</v>
      </c>
      <c r="S30" s="5">
        <f>IF(Table1[[#This Row],[Discount_Flag]]="Check", MIN(MAX(Table1[[#This Row],[DiscountPct]],0),0.3), Table1[[#This Row],[DiscountPct]])</f>
        <v>0</v>
      </c>
      <c r="T30" t="str">
        <f>IF(OR(Table1[[#This Row],[DiscountPct]]&lt;0,Table1[[#This Row],[DiscountPct]]&gt;0.3),"Check","OK")</f>
        <v>OK</v>
      </c>
      <c r="U30" s="11">
        <v>0</v>
      </c>
      <c r="V30" s="15">
        <f t="shared" si="3"/>
        <v>0</v>
      </c>
      <c r="W30" s="11">
        <f t="shared" si="4"/>
        <v>0.51874425022999082</v>
      </c>
      <c r="X30" s="17">
        <f t="shared" si="5"/>
        <v>1883.25</v>
      </c>
      <c r="Y30" s="17">
        <f t="shared" si="6"/>
        <v>2029.9500000000003</v>
      </c>
      <c r="Z30" s="17">
        <f t="shared" si="7"/>
        <v>3913.2000000000003</v>
      </c>
      <c r="AA30" s="17" t="str">
        <f t="shared" si="8"/>
        <v>Q2-2023</v>
      </c>
      <c r="AB30" s="12" t="str">
        <f t="shared" si="9"/>
        <v>Apr-2023</v>
      </c>
      <c r="AC30" s="12" t="str">
        <f t="shared" si="10"/>
        <v>Low</v>
      </c>
      <c r="AD30">
        <v>9</v>
      </c>
      <c r="AE30" s="12">
        <f>_xlfn.MINIFS(Table1[MonthDate], Table1[Country], Table1[[#This Row],[Country]])</f>
        <v>44927</v>
      </c>
      <c r="AF30" s="12">
        <f t="shared" si="11"/>
        <v>45017</v>
      </c>
      <c r="AG30">
        <f>AD30*(1 + Scenario_Control!$B$4)</f>
        <v>9.9</v>
      </c>
      <c r="AH30">
        <f>O30*(1 + Scenario_Control!$B$3)</f>
        <v>219.71250000000001</v>
      </c>
      <c r="AI30">
        <f t="shared" si="12"/>
        <v>860.90400000000011</v>
      </c>
      <c r="AJ30">
        <f t="shared" si="13"/>
        <v>-1314.2497499999999</v>
      </c>
      <c r="AK30" s="29">
        <f>MIN(Q30*(1-U30), Scenario_Control!$B$2*Q30)</f>
        <v>86.960000000000008</v>
      </c>
      <c r="AL30" s="15">
        <f t="shared" si="14"/>
        <v>0</v>
      </c>
      <c r="AM30" s="8">
        <f>DATEDIF(Table1[[#This Row],[Country_FirstMonth]], Table1[[#This Row],[MonthDate]], "m")</f>
        <v>3</v>
      </c>
    </row>
    <row r="31" spans="1:39" x14ac:dyDescent="0.25">
      <c r="A31" t="s">
        <v>44</v>
      </c>
      <c r="B31" s="12">
        <v>45754</v>
      </c>
      <c r="C31" s="12">
        <f t="shared" si="0"/>
        <v>45758</v>
      </c>
      <c r="D31" s="2" t="str">
        <f>IF(Table1[[#This Row],[RequiredDate]]&lt;Table1[[#This Row],[OrderDate]],"Check","OK")</f>
        <v>OK</v>
      </c>
      <c r="E31" s="2">
        <v>45758</v>
      </c>
      <c r="F31" s="15">
        <f t="shared" si="1"/>
        <v>4</v>
      </c>
      <c r="G31" t="s">
        <v>649</v>
      </c>
      <c r="H31" t="s">
        <v>657</v>
      </c>
      <c r="I31" t="s">
        <v>679</v>
      </c>
      <c r="J31" t="s">
        <v>702</v>
      </c>
      <c r="K31" t="s">
        <v>707</v>
      </c>
      <c r="L31" t="s">
        <v>718</v>
      </c>
      <c r="M31" t="s">
        <v>729</v>
      </c>
      <c r="N31" t="s">
        <v>763</v>
      </c>
      <c r="O31" s="29">
        <v>754.77</v>
      </c>
      <c r="P31" t="str">
        <f>IF(Table1[[#This Row],[UnitPrice]]&lt;=0,"Check","OK")</f>
        <v>OK</v>
      </c>
      <c r="Q31" s="29">
        <f t="shared" si="2"/>
        <v>1666.18</v>
      </c>
      <c r="R31">
        <v>1666.18</v>
      </c>
      <c r="S31" s="5">
        <f>IF(Table1[[#This Row],[Discount_Flag]]="Check", MIN(MAX(Table1[[#This Row],[DiscountPct]],0),0.3), Table1[[#This Row],[DiscountPct]])</f>
        <v>0.13900000000000001</v>
      </c>
      <c r="T31" t="str">
        <f>IF(OR(Table1[[#This Row],[DiscountPct]]&lt;0,Table1[[#This Row],[DiscountPct]]&gt;0.3),"Check","OK")</f>
        <v>OK</v>
      </c>
      <c r="U31" s="11">
        <v>0.13900000000000001</v>
      </c>
      <c r="V31" s="15">
        <f t="shared" si="3"/>
        <v>0</v>
      </c>
      <c r="W31" s="11">
        <f t="shared" si="4"/>
        <v>0.47387424584424653</v>
      </c>
      <c r="X31" s="17">
        <f t="shared" si="5"/>
        <v>10566.779999999999</v>
      </c>
      <c r="Y31" s="17">
        <f t="shared" si="6"/>
        <v>9517.3537200000028</v>
      </c>
      <c r="Z31" s="17">
        <f t="shared" si="7"/>
        <v>20084.133720000002</v>
      </c>
      <c r="AA31" s="17" t="str">
        <f t="shared" si="8"/>
        <v>Q2-2025</v>
      </c>
      <c r="AB31" s="12" t="str">
        <f t="shared" si="9"/>
        <v>Apr-2025</v>
      </c>
      <c r="AC31" s="12" t="str">
        <f t="shared" si="10"/>
        <v>Medium</v>
      </c>
      <c r="AD31">
        <v>14</v>
      </c>
      <c r="AE31" s="12">
        <f>_xlfn.MINIFS(Table1[MonthDate], Table1[Country], Table1[[#This Row],[Country]])</f>
        <v>44927</v>
      </c>
      <c r="AF31" s="12">
        <f t="shared" si="11"/>
        <v>45748</v>
      </c>
      <c r="AG31">
        <f>AD31*(1 + Scenario_Control!$B$4)</f>
        <v>15.400000000000002</v>
      </c>
      <c r="AH31">
        <f>O31*(1 + Scenario_Control!$B$3)</f>
        <v>792.50850000000003</v>
      </c>
      <c r="AI31">
        <f t="shared" si="12"/>
        <v>4418.5094184000009</v>
      </c>
      <c r="AJ31">
        <f t="shared" si="13"/>
        <v>-7786.1214816000011</v>
      </c>
      <c r="AK31" s="29">
        <f>MIN(Q31*(1-U31), Scenario_Control!$B$2*Q31)</f>
        <v>333.23600000000005</v>
      </c>
      <c r="AL31" s="15">
        <f t="shared" si="14"/>
        <v>1</v>
      </c>
      <c r="AM31" s="8">
        <f>DATEDIF(Table1[[#This Row],[Country_FirstMonth]], Table1[[#This Row],[MonthDate]], "m")</f>
        <v>27</v>
      </c>
    </row>
    <row r="32" spans="1:39" x14ac:dyDescent="0.25">
      <c r="A32" t="s">
        <v>45</v>
      </c>
      <c r="B32" s="12">
        <v>45653</v>
      </c>
      <c r="C32" s="12">
        <f t="shared" si="0"/>
        <v>45672</v>
      </c>
      <c r="D32" s="2" t="str">
        <f>IF(Table1[[#This Row],[RequiredDate]]&lt;Table1[[#This Row],[OrderDate]],"Check","OK")</f>
        <v>OK</v>
      </c>
      <c r="E32" s="2">
        <v>45672</v>
      </c>
      <c r="F32" s="15">
        <f t="shared" si="1"/>
        <v>19</v>
      </c>
      <c r="G32" t="s">
        <v>647</v>
      </c>
      <c r="H32" t="s">
        <v>654</v>
      </c>
      <c r="I32" t="s">
        <v>680</v>
      </c>
      <c r="J32" t="s">
        <v>703</v>
      </c>
      <c r="K32" t="s">
        <v>710</v>
      </c>
      <c r="L32" t="s">
        <v>715</v>
      </c>
      <c r="M32" t="s">
        <v>727</v>
      </c>
      <c r="N32" t="s">
        <v>764</v>
      </c>
      <c r="O32" s="29">
        <v>495.59</v>
      </c>
      <c r="P32" t="str">
        <f>IF(Table1[[#This Row],[UnitPrice]]&lt;=0,"Check","OK")</f>
        <v>OK</v>
      </c>
      <c r="Q32" s="29">
        <f t="shared" si="2"/>
        <v>631.78</v>
      </c>
      <c r="R32">
        <v>631.78</v>
      </c>
      <c r="S32" s="5">
        <f>IF(Table1[[#This Row],[Discount_Flag]]="Check", MIN(MAX(Table1[[#This Row],[DiscountPct]],0),0.3), Table1[[#This Row],[DiscountPct]])</f>
        <v>8.6999999999999994E-2</v>
      </c>
      <c r="T32" t="str">
        <f>IF(OR(Table1[[#This Row],[DiscountPct]]&lt;0,Table1[[#This Row],[DiscountPct]]&gt;0.3),"Check","OK")</f>
        <v>OK</v>
      </c>
      <c r="U32" s="11">
        <v>8.6999999999999994E-2</v>
      </c>
      <c r="V32" s="15">
        <f t="shared" si="3"/>
        <v>0</v>
      </c>
      <c r="W32" s="11">
        <f t="shared" si="4"/>
        <v>0.14081658813601899</v>
      </c>
      <c r="X32" s="17">
        <f t="shared" si="5"/>
        <v>8425.0299999999988</v>
      </c>
      <c r="Y32" s="17">
        <f t="shared" si="6"/>
        <v>1380.8273800000024</v>
      </c>
      <c r="Z32" s="17">
        <f t="shared" si="7"/>
        <v>9805.8573800000013</v>
      </c>
      <c r="AA32" s="17" t="str">
        <f t="shared" si="8"/>
        <v>Q4-2024</v>
      </c>
      <c r="AB32" s="12" t="str">
        <f t="shared" si="9"/>
        <v>Dec-2024</v>
      </c>
      <c r="AC32" s="12" t="str">
        <f t="shared" si="10"/>
        <v>Medium</v>
      </c>
      <c r="AD32">
        <v>17</v>
      </c>
      <c r="AE32" s="12">
        <f>_xlfn.MINIFS(Table1[MonthDate], Table1[Country], Table1[[#This Row],[Country]])</f>
        <v>44927</v>
      </c>
      <c r="AF32" s="12">
        <f t="shared" si="11"/>
        <v>45627</v>
      </c>
      <c r="AG32">
        <f>AD32*(1 + Scenario_Control!$B$4)</f>
        <v>18.700000000000003</v>
      </c>
      <c r="AH32">
        <f>O32*(1 + Scenario_Control!$B$3)</f>
        <v>520.36950000000002</v>
      </c>
      <c r="AI32">
        <f t="shared" si="12"/>
        <v>2157.2886236000004</v>
      </c>
      <c r="AJ32">
        <f t="shared" si="13"/>
        <v>-7573.621026400001</v>
      </c>
      <c r="AK32" s="29">
        <f>MIN(Q32*(1-U32), Scenario_Control!$B$2*Q32)</f>
        <v>126.35599999999999</v>
      </c>
      <c r="AL32" s="15">
        <f t="shared" si="14"/>
        <v>0</v>
      </c>
      <c r="AM32" s="8">
        <f>DATEDIF(Table1[[#This Row],[Country_FirstMonth]], Table1[[#This Row],[MonthDate]], "m")</f>
        <v>23</v>
      </c>
    </row>
    <row r="33" spans="1:39" x14ac:dyDescent="0.25">
      <c r="A33" t="s">
        <v>46</v>
      </c>
      <c r="B33" s="12">
        <v>44980</v>
      </c>
      <c r="C33" s="12">
        <f t="shared" si="0"/>
        <v>45010</v>
      </c>
      <c r="D33" s="2" t="str">
        <f>IF(Table1[[#This Row],[RequiredDate]]&lt;Table1[[#This Row],[OrderDate]],"Check","OK")</f>
        <v>OK</v>
      </c>
      <c r="E33" s="2">
        <v>45010</v>
      </c>
      <c r="F33" s="15">
        <f t="shared" si="1"/>
        <v>30</v>
      </c>
      <c r="G33" t="s">
        <v>648</v>
      </c>
      <c r="H33" t="s">
        <v>653</v>
      </c>
      <c r="I33" t="s">
        <v>681</v>
      </c>
      <c r="J33" t="s">
        <v>706</v>
      </c>
      <c r="K33" t="s">
        <v>708</v>
      </c>
      <c r="L33" t="s">
        <v>726</v>
      </c>
      <c r="M33" t="s">
        <v>730</v>
      </c>
      <c r="N33" t="s">
        <v>765</v>
      </c>
      <c r="O33" s="29">
        <v>1242.6600000000001</v>
      </c>
      <c r="P33" t="str">
        <f>IF(Table1[[#This Row],[UnitPrice]]&lt;=0,"Check","OK")</f>
        <v>OK</v>
      </c>
      <c r="Q33" s="29">
        <f t="shared" si="2"/>
        <v>1794.07</v>
      </c>
      <c r="R33">
        <v>1794.07</v>
      </c>
      <c r="S33" s="5">
        <f>IF(Table1[[#This Row],[Discount_Flag]]="Check", MIN(MAX(Table1[[#This Row],[DiscountPct]],0),0.3), Table1[[#This Row],[DiscountPct]])</f>
        <v>8.8999999999999996E-2</v>
      </c>
      <c r="T33" t="str">
        <f>IF(OR(Table1[[#This Row],[DiscountPct]]&lt;0,Table1[[#This Row],[DiscountPct]]&gt;0.3),"Check","OK")</f>
        <v>OK</v>
      </c>
      <c r="U33" s="11">
        <v>8.8999999999999996E-2</v>
      </c>
      <c r="V33" s="15">
        <f t="shared" si="3"/>
        <v>0</v>
      </c>
      <c r="W33" s="11">
        <f t="shared" si="4"/>
        <v>0.23968325042440553</v>
      </c>
      <c r="X33" s="17">
        <f t="shared" si="5"/>
        <v>19882.560000000001</v>
      </c>
      <c r="Y33" s="17">
        <f t="shared" si="6"/>
        <v>6267.8043199999993</v>
      </c>
      <c r="Z33" s="17">
        <f t="shared" si="7"/>
        <v>26150.364320000001</v>
      </c>
      <c r="AA33" s="17" t="str">
        <f t="shared" si="8"/>
        <v>Q1-2023</v>
      </c>
      <c r="AB33" s="12" t="str">
        <f t="shared" si="9"/>
        <v>Feb-2023</v>
      </c>
      <c r="AC33" s="12" t="str">
        <f t="shared" si="10"/>
        <v>Medium</v>
      </c>
      <c r="AD33">
        <v>16</v>
      </c>
      <c r="AE33" s="12">
        <f>_xlfn.MINIFS(Table1[MonthDate], Table1[Country], Table1[[#This Row],[Country]])</f>
        <v>44927</v>
      </c>
      <c r="AF33" s="12">
        <f t="shared" si="11"/>
        <v>44958</v>
      </c>
      <c r="AG33">
        <f>AD33*(1 + Scenario_Control!$B$4)</f>
        <v>17.600000000000001</v>
      </c>
      <c r="AH33">
        <f>O33*(1 + Scenario_Control!$B$3)</f>
        <v>1304.7930000000001</v>
      </c>
      <c r="AI33">
        <f t="shared" si="12"/>
        <v>5753.080150400001</v>
      </c>
      <c r="AJ33">
        <f t="shared" si="13"/>
        <v>-17211.276649600004</v>
      </c>
      <c r="AK33" s="29">
        <f>MIN(Q33*(1-U33), Scenario_Control!$B$2*Q33)</f>
        <v>358.81400000000002</v>
      </c>
      <c r="AL33" s="15">
        <f t="shared" si="14"/>
        <v>0</v>
      </c>
      <c r="AM33" s="8">
        <f>DATEDIF(Table1[[#This Row],[Country_FirstMonth]], Table1[[#This Row],[MonthDate]], "m")</f>
        <v>1</v>
      </c>
    </row>
    <row r="34" spans="1:39" x14ac:dyDescent="0.25">
      <c r="A34" t="s">
        <v>47</v>
      </c>
      <c r="B34" s="12">
        <v>45862</v>
      </c>
      <c r="C34" s="12">
        <f t="shared" si="0"/>
        <v>45875</v>
      </c>
      <c r="D34" s="2" t="str">
        <f>IF(Table1[[#This Row],[RequiredDate]]&lt;Table1[[#This Row],[OrderDate]],"Check","OK")</f>
        <v>OK</v>
      </c>
      <c r="E34" s="2">
        <v>45875</v>
      </c>
      <c r="F34" s="15">
        <f t="shared" si="1"/>
        <v>13</v>
      </c>
      <c r="G34" t="s">
        <v>646</v>
      </c>
      <c r="H34" t="s">
        <v>661</v>
      </c>
      <c r="I34" t="s">
        <v>682</v>
      </c>
      <c r="J34" t="s">
        <v>702</v>
      </c>
      <c r="K34" t="s">
        <v>709</v>
      </c>
      <c r="L34" t="s">
        <v>726</v>
      </c>
      <c r="M34" t="s">
        <v>729</v>
      </c>
      <c r="N34" t="s">
        <v>766</v>
      </c>
      <c r="O34" s="29">
        <v>1463.9</v>
      </c>
      <c r="P34" t="str">
        <f>IF(Table1[[#This Row],[UnitPrice]]&lt;=0,"Check","OK")</f>
        <v>OK</v>
      </c>
      <c r="Q34" s="29">
        <f t="shared" si="2"/>
        <v>2633.02</v>
      </c>
      <c r="R34">
        <v>2633.02</v>
      </c>
      <c r="S34" s="5">
        <f>IF(Table1[[#This Row],[Discount_Flag]]="Check", MIN(MAX(Table1[[#This Row],[DiscountPct]],0),0.3), Table1[[#This Row],[DiscountPct]])</f>
        <v>8.4000000000000005E-2</v>
      </c>
      <c r="T34" t="str">
        <f>IF(OR(Table1[[#This Row],[DiscountPct]]&lt;0,Table1[[#This Row],[DiscountPct]]&gt;0.3),"Check","OK")</f>
        <v>OK</v>
      </c>
      <c r="U34" s="11">
        <v>8.4000000000000005E-2</v>
      </c>
      <c r="V34" s="15">
        <f t="shared" si="3"/>
        <v>0</v>
      </c>
      <c r="W34" s="11">
        <f t="shared" si="4"/>
        <v>0.39303761277791527</v>
      </c>
      <c r="X34" s="17">
        <f t="shared" si="5"/>
        <v>5855.6</v>
      </c>
      <c r="Y34" s="17">
        <f t="shared" si="6"/>
        <v>3791.7852800000001</v>
      </c>
      <c r="Z34" s="17">
        <f t="shared" si="7"/>
        <v>9647.3852800000004</v>
      </c>
      <c r="AA34" s="17" t="str">
        <f t="shared" si="8"/>
        <v>Q3-2025</v>
      </c>
      <c r="AB34" s="12" t="str">
        <f t="shared" si="9"/>
        <v>Jul-2025</v>
      </c>
      <c r="AC34" s="12" t="str">
        <f t="shared" si="10"/>
        <v>High</v>
      </c>
      <c r="AD34">
        <v>4</v>
      </c>
      <c r="AE34" s="12">
        <f>_xlfn.MINIFS(Table1[MonthDate], Table1[Country], Table1[[#This Row],[Country]])</f>
        <v>44927</v>
      </c>
      <c r="AF34" s="12">
        <f t="shared" si="11"/>
        <v>45839</v>
      </c>
      <c r="AG34">
        <f>AD34*(1 + Scenario_Control!$B$4)</f>
        <v>4.4000000000000004</v>
      </c>
      <c r="AH34">
        <f>O34*(1 + Scenario_Control!$B$3)</f>
        <v>1537.0950000000003</v>
      </c>
      <c r="AI34">
        <f t="shared" si="12"/>
        <v>2122.4247616000007</v>
      </c>
      <c r="AJ34">
        <f t="shared" si="13"/>
        <v>-4640.7932384000014</v>
      </c>
      <c r="AK34" s="29">
        <f>MIN(Q34*(1-U34), Scenario_Control!$B$2*Q34)</f>
        <v>526.60400000000004</v>
      </c>
      <c r="AL34" s="15">
        <f t="shared" si="14"/>
        <v>0</v>
      </c>
      <c r="AM34" s="8">
        <f>DATEDIF(Table1[[#This Row],[Country_FirstMonth]], Table1[[#This Row],[MonthDate]], "m")</f>
        <v>30</v>
      </c>
    </row>
    <row r="35" spans="1:39" x14ac:dyDescent="0.25">
      <c r="A35" t="s">
        <v>48</v>
      </c>
      <c r="B35" s="12">
        <v>45400</v>
      </c>
      <c r="C35" s="12">
        <f t="shared" si="0"/>
        <v>45420</v>
      </c>
      <c r="D35" s="2" t="str">
        <f>IF(Table1[[#This Row],[RequiredDate]]&lt;Table1[[#This Row],[OrderDate]],"Check","OK")</f>
        <v>OK</v>
      </c>
      <c r="E35" s="2">
        <v>45420</v>
      </c>
      <c r="F35" s="15">
        <f t="shared" si="1"/>
        <v>20</v>
      </c>
      <c r="G35" t="s">
        <v>649</v>
      </c>
      <c r="H35" t="s">
        <v>658</v>
      </c>
      <c r="I35" t="s">
        <v>683</v>
      </c>
      <c r="J35" t="s">
        <v>703</v>
      </c>
      <c r="K35" t="s">
        <v>1428</v>
      </c>
      <c r="L35" t="s">
        <v>726</v>
      </c>
      <c r="M35" t="s">
        <v>731</v>
      </c>
      <c r="N35" t="s">
        <v>767</v>
      </c>
      <c r="O35" s="29">
        <v>645.33000000000004</v>
      </c>
      <c r="P35" t="str">
        <f>IF(Table1[[#This Row],[UnitPrice]]&lt;=0,"Check","OK")</f>
        <v>OK</v>
      </c>
      <c r="Q35" s="29">
        <f t="shared" si="2"/>
        <v>1321.85</v>
      </c>
      <c r="R35">
        <v>1321.85</v>
      </c>
      <c r="S35" s="5">
        <f>IF(Table1[[#This Row],[Discount_Flag]]="Check", MIN(MAX(Table1[[#This Row],[DiscountPct]],0),0.3), Table1[[#This Row],[DiscountPct]])</f>
        <v>0</v>
      </c>
      <c r="T35" t="str">
        <f>IF(OR(Table1[[#This Row],[DiscountPct]]&lt;0,Table1[[#This Row],[DiscountPct]]&gt;0.3),"Check","OK")</f>
        <v>OK</v>
      </c>
      <c r="U35" s="11">
        <v>0</v>
      </c>
      <c r="V35" s="15">
        <f t="shared" si="3"/>
        <v>0</v>
      </c>
      <c r="W35" s="11">
        <f t="shared" si="4"/>
        <v>0.51179785906116426</v>
      </c>
      <c r="X35" s="17">
        <f t="shared" si="5"/>
        <v>6453.3</v>
      </c>
      <c r="Y35" s="17">
        <f t="shared" si="6"/>
        <v>6765.2</v>
      </c>
      <c r="Z35" s="17">
        <f t="shared" si="7"/>
        <v>13218.5</v>
      </c>
      <c r="AA35" s="17" t="str">
        <f t="shared" si="8"/>
        <v>Q2-2024</v>
      </c>
      <c r="AB35" s="12" t="str">
        <f t="shared" si="9"/>
        <v>Apr-2024</v>
      </c>
      <c r="AC35" s="12" t="str">
        <f t="shared" si="10"/>
        <v>Medium</v>
      </c>
      <c r="AD35">
        <v>10</v>
      </c>
      <c r="AE35" s="12">
        <f>_xlfn.MINIFS(Table1[MonthDate], Table1[Country], Table1[[#This Row],[Country]])</f>
        <v>44927</v>
      </c>
      <c r="AF35" s="12">
        <f t="shared" si="11"/>
        <v>45383</v>
      </c>
      <c r="AG35">
        <f>AD35*(1 + Scenario_Control!$B$4)</f>
        <v>11</v>
      </c>
      <c r="AH35">
        <f>O35*(1 + Scenario_Control!$B$3)</f>
        <v>677.59650000000011</v>
      </c>
      <c r="AI35">
        <f t="shared" si="12"/>
        <v>2908.07</v>
      </c>
      <c r="AJ35">
        <f t="shared" si="13"/>
        <v>-4545.4915000000019</v>
      </c>
      <c r="AK35" s="29">
        <f>MIN(Q35*(1-U35), Scenario_Control!$B$2*Q35)</f>
        <v>264.37</v>
      </c>
      <c r="AL35" s="15">
        <f t="shared" si="14"/>
        <v>0</v>
      </c>
      <c r="AM35" s="8">
        <f>DATEDIF(Table1[[#This Row],[Country_FirstMonth]], Table1[[#This Row],[MonthDate]], "m")</f>
        <v>15</v>
      </c>
    </row>
    <row r="36" spans="1:39" x14ac:dyDescent="0.25">
      <c r="A36" t="s">
        <v>49</v>
      </c>
      <c r="B36" s="12">
        <v>45527</v>
      </c>
      <c r="C36" s="12">
        <f t="shared" si="0"/>
        <v>45534</v>
      </c>
      <c r="D36" s="2" t="str">
        <f>IF(Table1[[#This Row],[RequiredDate]]&lt;Table1[[#This Row],[OrderDate]],"Check","OK")</f>
        <v>Check</v>
      </c>
      <c r="E36" s="2">
        <v>45525</v>
      </c>
      <c r="F36" s="15">
        <f t="shared" si="1"/>
        <v>7</v>
      </c>
      <c r="G36" t="s">
        <v>646</v>
      </c>
      <c r="H36" t="s">
        <v>661</v>
      </c>
      <c r="I36" t="s">
        <v>682</v>
      </c>
      <c r="J36" t="s">
        <v>702</v>
      </c>
      <c r="K36" t="s">
        <v>707</v>
      </c>
      <c r="L36" t="s">
        <v>718</v>
      </c>
      <c r="M36" t="s">
        <v>727</v>
      </c>
      <c r="N36" t="s">
        <v>768</v>
      </c>
      <c r="O36" s="29">
        <v>1432.52</v>
      </c>
      <c r="P36" t="str">
        <f>IF(Table1[[#This Row],[UnitPrice]]&lt;=0,"Check","OK")</f>
        <v>OK</v>
      </c>
      <c r="Q36" s="29">
        <f t="shared" si="2"/>
        <v>3036.87</v>
      </c>
      <c r="R36">
        <v>3036.87</v>
      </c>
      <c r="S36" s="5">
        <f>IF(Table1[[#This Row],[Discount_Flag]]="Check", MIN(MAX(Table1[[#This Row],[DiscountPct]],0),0.3), Table1[[#This Row],[DiscountPct]])</f>
        <v>0</v>
      </c>
      <c r="T36" t="str">
        <f>IF(OR(Table1[[#This Row],[DiscountPct]]&lt;0,Table1[[#This Row],[DiscountPct]]&gt;0.3),"Check","OK")</f>
        <v>OK</v>
      </c>
      <c r="U36" s="11">
        <v>0</v>
      </c>
      <c r="V36" s="15">
        <f t="shared" si="3"/>
        <v>0</v>
      </c>
      <c r="W36" s="11">
        <f t="shared" si="4"/>
        <v>0.52829064135112791</v>
      </c>
      <c r="X36" s="17">
        <f t="shared" si="5"/>
        <v>12892.68</v>
      </c>
      <c r="Y36" s="17">
        <f t="shared" si="6"/>
        <v>14439.149999999998</v>
      </c>
      <c r="Z36" s="17">
        <f t="shared" si="7"/>
        <v>27331.829999999998</v>
      </c>
      <c r="AA36" s="17" t="str">
        <f t="shared" si="8"/>
        <v>Q3-2024</v>
      </c>
      <c r="AB36" s="12" t="str">
        <f t="shared" si="9"/>
        <v>Aug-2024</v>
      </c>
      <c r="AC36" s="12" t="str">
        <f t="shared" si="10"/>
        <v>High</v>
      </c>
      <c r="AD36">
        <v>9</v>
      </c>
      <c r="AE36" s="12">
        <f>_xlfn.MINIFS(Table1[MonthDate], Table1[Country], Table1[[#This Row],[Country]])</f>
        <v>44927</v>
      </c>
      <c r="AF36" s="12">
        <f t="shared" si="11"/>
        <v>45505</v>
      </c>
      <c r="AG36">
        <f>AD36*(1 + Scenario_Control!$B$4)</f>
        <v>9.9</v>
      </c>
      <c r="AH36">
        <f>O36*(1 + Scenario_Control!$B$3)</f>
        <v>1504.146</v>
      </c>
      <c r="AI36">
        <f t="shared" si="12"/>
        <v>6013.0026000000007</v>
      </c>
      <c r="AJ36">
        <f t="shared" si="13"/>
        <v>-8878.0427999999993</v>
      </c>
      <c r="AK36" s="29">
        <f>MIN(Q36*(1-U36), Scenario_Control!$B$2*Q36)</f>
        <v>607.37400000000002</v>
      </c>
      <c r="AL36" s="15">
        <f t="shared" si="14"/>
        <v>1</v>
      </c>
      <c r="AM36" s="8">
        <f>DATEDIF(Table1[[#This Row],[Country_FirstMonth]], Table1[[#This Row],[MonthDate]], "m")</f>
        <v>19</v>
      </c>
    </row>
    <row r="37" spans="1:39" x14ac:dyDescent="0.25">
      <c r="A37" t="s">
        <v>50</v>
      </c>
      <c r="B37" s="12">
        <v>45012</v>
      </c>
      <c r="C37" s="12">
        <f t="shared" si="0"/>
        <v>45038</v>
      </c>
      <c r="D37" s="2" t="str">
        <f>IF(Table1[[#This Row],[RequiredDate]]&lt;Table1[[#This Row],[OrderDate]],"Check","OK")</f>
        <v>OK</v>
      </c>
      <c r="E37" s="2">
        <v>45038</v>
      </c>
      <c r="F37" s="15">
        <f t="shared" si="1"/>
        <v>26</v>
      </c>
      <c r="G37" t="s">
        <v>647</v>
      </c>
      <c r="H37" t="s">
        <v>654</v>
      </c>
      <c r="I37" t="s">
        <v>680</v>
      </c>
      <c r="J37" t="s">
        <v>703</v>
      </c>
      <c r="K37" t="s">
        <v>709</v>
      </c>
      <c r="L37" t="s">
        <v>713</v>
      </c>
      <c r="M37" t="s">
        <v>728</v>
      </c>
      <c r="N37" t="s">
        <v>769</v>
      </c>
      <c r="O37" s="29">
        <v>178.53</v>
      </c>
      <c r="P37" t="str">
        <f>IF(Table1[[#This Row],[UnitPrice]]&lt;=0,"Check","OK")</f>
        <v>OK</v>
      </c>
      <c r="Q37" s="29">
        <f t="shared" si="2"/>
        <v>199.37</v>
      </c>
      <c r="R37">
        <v>199.37</v>
      </c>
      <c r="S37" s="5">
        <f>IF(Table1[[#This Row],[Discount_Flag]]="Check", MIN(MAX(Table1[[#This Row],[DiscountPct]],0),0.3), Table1[[#This Row],[DiscountPct]])</f>
        <v>0.10100000000000001</v>
      </c>
      <c r="T37" t="str">
        <f>IF(OR(Table1[[#This Row],[DiscountPct]]&lt;0,Table1[[#This Row],[DiscountPct]]&gt;0.3),"Check","OK")</f>
        <v>OK</v>
      </c>
      <c r="U37" s="11">
        <v>0.10100000000000001</v>
      </c>
      <c r="V37" s="15">
        <f t="shared" si="3"/>
        <v>0</v>
      </c>
      <c r="W37" s="11">
        <f t="shared" si="4"/>
        <v>3.9257699573457538E-3</v>
      </c>
      <c r="X37" s="17">
        <f t="shared" si="5"/>
        <v>6605.61</v>
      </c>
      <c r="Y37" s="17">
        <f t="shared" si="6"/>
        <v>26.034310000000914</v>
      </c>
      <c r="Z37" s="17">
        <f t="shared" si="7"/>
        <v>6631.6443100000006</v>
      </c>
      <c r="AA37" s="17" t="str">
        <f t="shared" si="8"/>
        <v>Q1-2023</v>
      </c>
      <c r="AB37" s="12" t="str">
        <f t="shared" si="9"/>
        <v>Mar-2023</v>
      </c>
      <c r="AC37" s="12" t="str">
        <f t="shared" si="10"/>
        <v>Low</v>
      </c>
      <c r="AD37">
        <v>37</v>
      </c>
      <c r="AE37" s="12">
        <f>_xlfn.MINIFS(Table1[MonthDate], Table1[Country], Table1[[#This Row],[Country]])</f>
        <v>44927</v>
      </c>
      <c r="AF37" s="12">
        <f t="shared" si="11"/>
        <v>44986</v>
      </c>
      <c r="AG37">
        <f>AD37*(1 + Scenario_Control!$B$4)</f>
        <v>40.700000000000003</v>
      </c>
      <c r="AH37">
        <f>O37*(1 + Scenario_Control!$B$3)</f>
        <v>187.45650000000001</v>
      </c>
      <c r="AI37">
        <f t="shared" si="12"/>
        <v>1458.9617482000001</v>
      </c>
      <c r="AJ37">
        <f t="shared" si="13"/>
        <v>-6170.5178018000006</v>
      </c>
      <c r="AK37" s="29">
        <f>MIN(Q37*(1-U37), Scenario_Control!$B$2*Q37)</f>
        <v>39.874000000000002</v>
      </c>
      <c r="AL37" s="15">
        <f t="shared" si="14"/>
        <v>0</v>
      </c>
      <c r="AM37" s="8">
        <f>DATEDIF(Table1[[#This Row],[Country_FirstMonth]], Table1[[#This Row],[MonthDate]], "m")</f>
        <v>2</v>
      </c>
    </row>
    <row r="38" spans="1:39" x14ac:dyDescent="0.25">
      <c r="A38" t="s">
        <v>51</v>
      </c>
      <c r="B38" s="12">
        <v>45358</v>
      </c>
      <c r="C38" s="12">
        <f t="shared" si="0"/>
        <v>45376</v>
      </c>
      <c r="D38" s="2" t="str">
        <f>IF(Table1[[#This Row],[RequiredDate]]&lt;Table1[[#This Row],[OrderDate]],"Check","OK")</f>
        <v>OK</v>
      </c>
      <c r="E38" s="2">
        <v>45376</v>
      </c>
      <c r="F38" s="15">
        <f t="shared" si="1"/>
        <v>18</v>
      </c>
      <c r="G38" t="s">
        <v>649</v>
      </c>
      <c r="H38" t="s">
        <v>656</v>
      </c>
      <c r="I38" t="s">
        <v>684</v>
      </c>
      <c r="J38" t="s">
        <v>701</v>
      </c>
      <c r="K38" t="s">
        <v>708</v>
      </c>
      <c r="L38" t="s">
        <v>717</v>
      </c>
      <c r="M38" t="s">
        <v>727</v>
      </c>
      <c r="N38" t="s">
        <v>770</v>
      </c>
      <c r="O38" s="29">
        <v>712.84</v>
      </c>
      <c r="P38" t="str">
        <f>IF(Table1[[#This Row],[UnitPrice]]&lt;=0,"Check","OK")</f>
        <v>OK</v>
      </c>
      <c r="Q38" s="29">
        <f t="shared" si="2"/>
        <v>927.51</v>
      </c>
      <c r="R38">
        <v>927.51</v>
      </c>
      <c r="S38" s="5">
        <f>IF(Table1[[#This Row],[Discount_Flag]]="Check", MIN(MAX(Table1[[#This Row],[DiscountPct]],0),0.3), Table1[[#This Row],[DiscountPct]])</f>
        <v>0.24299999999999999</v>
      </c>
      <c r="T38" t="str">
        <f>IF(OR(Table1[[#This Row],[DiscountPct]]&lt;0,Table1[[#This Row],[DiscountPct]]&gt;0.3),"Check","OK")</f>
        <v>OK</v>
      </c>
      <c r="U38" s="11">
        <v>0.24299999999999999</v>
      </c>
      <c r="V38" s="15">
        <f t="shared" si="3"/>
        <v>1</v>
      </c>
      <c r="W38" s="11">
        <f t="shared" si="4"/>
        <v>-1.5260714163076427E-2</v>
      </c>
      <c r="X38" s="17">
        <f t="shared" si="5"/>
        <v>19246.68</v>
      </c>
      <c r="Y38" s="17">
        <f t="shared" si="6"/>
        <v>-289.30311000000074</v>
      </c>
      <c r="Z38" s="17">
        <f t="shared" si="7"/>
        <v>18957.37689</v>
      </c>
      <c r="AA38" s="17" t="str">
        <f t="shared" si="8"/>
        <v>Q1-2024</v>
      </c>
      <c r="AB38" s="12" t="str">
        <f t="shared" si="9"/>
        <v>Mar-2024</v>
      </c>
      <c r="AC38" s="12" t="str">
        <f t="shared" si="10"/>
        <v>Medium</v>
      </c>
      <c r="AD38">
        <v>27</v>
      </c>
      <c r="AE38" s="12">
        <f>_xlfn.MINIFS(Table1[MonthDate], Table1[Country], Table1[[#This Row],[Country]])</f>
        <v>44927</v>
      </c>
      <c r="AF38" s="12">
        <f t="shared" si="11"/>
        <v>45352</v>
      </c>
      <c r="AG38">
        <f>AD38*(1 + Scenario_Control!$B$4)</f>
        <v>29.700000000000003</v>
      </c>
      <c r="AH38">
        <f>O38*(1 + Scenario_Control!$B$3)</f>
        <v>748.48200000000008</v>
      </c>
      <c r="AI38">
        <f t="shared" si="12"/>
        <v>4170.6229158000006</v>
      </c>
      <c r="AJ38">
        <f t="shared" si="13"/>
        <v>-18059.292484200007</v>
      </c>
      <c r="AK38" s="29">
        <f>MIN(Q38*(1-U38), Scenario_Control!$B$2*Q38)</f>
        <v>185.50200000000001</v>
      </c>
      <c r="AL38" s="15">
        <f t="shared" si="14"/>
        <v>0</v>
      </c>
      <c r="AM38" s="8">
        <f>DATEDIF(Table1[[#This Row],[Country_FirstMonth]], Table1[[#This Row],[MonthDate]], "m")</f>
        <v>14</v>
      </c>
    </row>
    <row r="39" spans="1:39" x14ac:dyDescent="0.25">
      <c r="A39" t="s">
        <v>52</v>
      </c>
      <c r="B39" s="12">
        <v>45832</v>
      </c>
      <c r="C39" s="12">
        <f t="shared" si="0"/>
        <v>45848</v>
      </c>
      <c r="D39" s="2" t="str">
        <f>IF(Table1[[#This Row],[RequiredDate]]&lt;Table1[[#This Row],[OrderDate]],"Check","OK")</f>
        <v>OK</v>
      </c>
      <c r="E39" s="2">
        <v>45848</v>
      </c>
      <c r="F39" s="15">
        <f t="shared" si="1"/>
        <v>16</v>
      </c>
      <c r="G39" t="s">
        <v>647</v>
      </c>
      <c r="H39" t="s">
        <v>659</v>
      </c>
      <c r="I39" t="s">
        <v>685</v>
      </c>
      <c r="J39" t="s">
        <v>706</v>
      </c>
      <c r="K39" t="s">
        <v>711</v>
      </c>
      <c r="L39" t="s">
        <v>725</v>
      </c>
      <c r="M39" t="s">
        <v>727</v>
      </c>
      <c r="N39" t="s">
        <v>771</v>
      </c>
      <c r="O39" s="29">
        <v>757.19</v>
      </c>
      <c r="P39" t="str">
        <f>IF(Table1[[#This Row],[UnitPrice]]&lt;=0,"Check","OK")</f>
        <v>OK</v>
      </c>
      <c r="Q39" s="29">
        <f t="shared" si="2"/>
        <v>1735.41</v>
      </c>
      <c r="R39">
        <v>1735.41</v>
      </c>
      <c r="S39" s="5">
        <f>IF(Table1[[#This Row],[Discount_Flag]]="Check", MIN(MAX(Table1[[#This Row],[DiscountPct]],0),0.3), Table1[[#This Row],[DiscountPct]])</f>
        <v>0.13600000000000001</v>
      </c>
      <c r="T39" t="str">
        <f>IF(OR(Table1[[#This Row],[DiscountPct]]&lt;0,Table1[[#This Row],[DiscountPct]]&gt;0.3),"Check","OK")</f>
        <v>OK</v>
      </c>
      <c r="U39" s="11">
        <v>0.13600000000000001</v>
      </c>
      <c r="V39" s="15">
        <f t="shared" si="3"/>
        <v>0</v>
      </c>
      <c r="W39" s="11">
        <f t="shared" si="4"/>
        <v>0.4950027285685718</v>
      </c>
      <c r="X39" s="17">
        <f t="shared" si="5"/>
        <v>6057.52</v>
      </c>
      <c r="Y39" s="17">
        <f t="shared" si="6"/>
        <v>5937.6339200000002</v>
      </c>
      <c r="Z39" s="17">
        <f t="shared" si="7"/>
        <v>11995.153920000001</v>
      </c>
      <c r="AA39" s="17" t="str">
        <f t="shared" si="8"/>
        <v>Q2-2025</v>
      </c>
      <c r="AB39" s="12" t="str">
        <f t="shared" si="9"/>
        <v>Jun-2025</v>
      </c>
      <c r="AC39" s="12" t="str">
        <f t="shared" si="10"/>
        <v>Medium</v>
      </c>
      <c r="AD39">
        <v>8</v>
      </c>
      <c r="AE39" s="12">
        <f>_xlfn.MINIFS(Table1[MonthDate], Table1[Country], Table1[[#This Row],[Country]])</f>
        <v>44927</v>
      </c>
      <c r="AF39" s="12">
        <f t="shared" si="11"/>
        <v>45809</v>
      </c>
      <c r="AG39">
        <f>AD39*(1 + Scenario_Control!$B$4)</f>
        <v>8.8000000000000007</v>
      </c>
      <c r="AH39">
        <f>O39*(1 + Scenario_Control!$B$3)</f>
        <v>795.04950000000008</v>
      </c>
      <c r="AI39">
        <f t="shared" si="12"/>
        <v>2638.9338624000006</v>
      </c>
      <c r="AJ39">
        <f t="shared" si="13"/>
        <v>-4357.5017376000014</v>
      </c>
      <c r="AK39" s="29">
        <f>MIN(Q39*(1-U39), Scenario_Control!$B$2*Q39)</f>
        <v>347.08200000000005</v>
      </c>
      <c r="AL39" s="15">
        <f t="shared" si="14"/>
        <v>0</v>
      </c>
      <c r="AM39" s="8">
        <f>DATEDIF(Table1[[#This Row],[Country_FirstMonth]], Table1[[#This Row],[MonthDate]], "m")</f>
        <v>29</v>
      </c>
    </row>
    <row r="40" spans="1:39" x14ac:dyDescent="0.25">
      <c r="A40" t="s">
        <v>53</v>
      </c>
      <c r="B40" s="12">
        <v>45401</v>
      </c>
      <c r="C40" s="12">
        <f t="shared" si="0"/>
        <v>45418</v>
      </c>
      <c r="D40" s="2" t="str">
        <f>IF(Table1[[#This Row],[RequiredDate]]&lt;Table1[[#This Row],[OrderDate]],"Check","OK")</f>
        <v>OK</v>
      </c>
      <c r="E40" s="2">
        <v>45418</v>
      </c>
      <c r="F40" s="15">
        <f t="shared" si="1"/>
        <v>17</v>
      </c>
      <c r="G40" t="s">
        <v>646</v>
      </c>
      <c r="H40" t="s">
        <v>651</v>
      </c>
      <c r="I40" t="s">
        <v>663</v>
      </c>
      <c r="J40" t="s">
        <v>703</v>
      </c>
      <c r="K40" t="s">
        <v>708</v>
      </c>
      <c r="L40" t="s">
        <v>720</v>
      </c>
      <c r="M40" t="s">
        <v>728</v>
      </c>
      <c r="N40" t="s">
        <v>772</v>
      </c>
      <c r="O40" s="29">
        <v>865.33</v>
      </c>
      <c r="P40" t="str">
        <f>IF(Table1[[#This Row],[UnitPrice]]&lt;=0,"Check","OK")</f>
        <v>OK</v>
      </c>
      <c r="Q40" s="29">
        <f t="shared" si="2"/>
        <v>1395.64</v>
      </c>
      <c r="R40">
        <v>1395.64</v>
      </c>
      <c r="S40" s="5">
        <f>IF(Table1[[#This Row],[Discount_Flag]]="Check", MIN(MAX(Table1[[#This Row],[DiscountPct]],0),0.3), Table1[[#This Row],[DiscountPct]])</f>
        <v>0.17499999999999999</v>
      </c>
      <c r="T40" t="str">
        <f>IF(OR(Table1[[#This Row],[DiscountPct]]&lt;0,Table1[[#This Row],[DiscountPct]]&gt;0.3),"Check","OK")</f>
        <v>OK</v>
      </c>
      <c r="U40" s="11">
        <v>0.17499999999999999</v>
      </c>
      <c r="V40" s="15">
        <f t="shared" si="3"/>
        <v>0</v>
      </c>
      <c r="W40" s="11">
        <f t="shared" si="4"/>
        <v>0.24845601409758347</v>
      </c>
      <c r="X40" s="17">
        <f t="shared" si="5"/>
        <v>11249.29</v>
      </c>
      <c r="Y40" s="17">
        <f t="shared" si="6"/>
        <v>3718.9489999999987</v>
      </c>
      <c r="Z40" s="17">
        <f t="shared" si="7"/>
        <v>14968.239</v>
      </c>
      <c r="AA40" s="17" t="str">
        <f t="shared" si="8"/>
        <v>Q2-2024</v>
      </c>
      <c r="AB40" s="12" t="str">
        <f t="shared" si="9"/>
        <v>Apr-2024</v>
      </c>
      <c r="AC40" s="12" t="str">
        <f t="shared" si="10"/>
        <v>Medium</v>
      </c>
      <c r="AD40">
        <v>13</v>
      </c>
      <c r="AE40" s="12">
        <f>_xlfn.MINIFS(Table1[MonthDate], Table1[Country], Table1[[#This Row],[Country]])</f>
        <v>44927</v>
      </c>
      <c r="AF40" s="12">
        <f t="shared" si="11"/>
        <v>45383</v>
      </c>
      <c r="AG40">
        <f>AD40*(1 + Scenario_Control!$B$4)</f>
        <v>14.3</v>
      </c>
      <c r="AH40">
        <f>O40*(1 + Scenario_Control!$B$3)</f>
        <v>908.59650000000011</v>
      </c>
      <c r="AI40">
        <f t="shared" si="12"/>
        <v>3293.0125800000005</v>
      </c>
      <c r="AJ40">
        <f t="shared" si="13"/>
        <v>-9699.917370000001</v>
      </c>
      <c r="AK40" s="29">
        <f>MIN(Q40*(1-U40), Scenario_Control!$B$2*Q40)</f>
        <v>279.12800000000004</v>
      </c>
      <c r="AL40" s="15">
        <f t="shared" si="14"/>
        <v>0</v>
      </c>
      <c r="AM40" s="8">
        <f>DATEDIF(Table1[[#This Row],[Country_FirstMonth]], Table1[[#This Row],[MonthDate]], "m")</f>
        <v>15</v>
      </c>
    </row>
    <row r="41" spans="1:39" x14ac:dyDescent="0.25">
      <c r="A41" t="s">
        <v>54</v>
      </c>
      <c r="B41" s="12">
        <v>45094</v>
      </c>
      <c r="C41" s="12">
        <f t="shared" si="0"/>
        <v>45101</v>
      </c>
      <c r="D41" s="2" t="str">
        <f>IF(Table1[[#This Row],[RequiredDate]]&lt;Table1[[#This Row],[OrderDate]],"Check","OK")</f>
        <v>OK</v>
      </c>
      <c r="E41" s="2">
        <v>45101</v>
      </c>
      <c r="F41" s="15">
        <f t="shared" si="1"/>
        <v>7</v>
      </c>
      <c r="G41" t="s">
        <v>648</v>
      </c>
      <c r="H41" t="s">
        <v>660</v>
      </c>
      <c r="I41" t="s">
        <v>686</v>
      </c>
      <c r="J41" t="s">
        <v>701</v>
      </c>
      <c r="K41" t="s">
        <v>707</v>
      </c>
      <c r="L41" t="s">
        <v>714</v>
      </c>
      <c r="M41" t="s">
        <v>728</v>
      </c>
      <c r="N41" t="s">
        <v>773</v>
      </c>
      <c r="O41" s="29">
        <v>313.99</v>
      </c>
      <c r="P41" t="str">
        <f>IF(Table1[[#This Row],[UnitPrice]]&lt;=0,"Check","OK")</f>
        <v>OK</v>
      </c>
      <c r="Q41" s="29">
        <f t="shared" si="2"/>
        <v>454.42</v>
      </c>
      <c r="R41">
        <v>454.42</v>
      </c>
      <c r="S41" s="5">
        <f>IF(Table1[[#This Row],[Discount_Flag]]="Check", MIN(MAX(Table1[[#This Row],[DiscountPct]],0),0.3), Table1[[#This Row],[DiscountPct]])</f>
        <v>0.129</v>
      </c>
      <c r="T41" t="str">
        <f>IF(OR(Table1[[#This Row],[DiscountPct]]&lt;0,Table1[[#This Row],[DiscountPct]]&gt;0.3),"Check","OK")</f>
        <v>OK</v>
      </c>
      <c r="U41" s="11">
        <v>0.129</v>
      </c>
      <c r="V41" s="15">
        <f t="shared" si="3"/>
        <v>0</v>
      </c>
      <c r="W41" s="11">
        <f t="shared" si="4"/>
        <v>0.20669493988147858</v>
      </c>
      <c r="X41" s="17">
        <f t="shared" si="5"/>
        <v>2825.91</v>
      </c>
      <c r="Y41" s="17">
        <f t="shared" si="6"/>
        <v>736.28838000000042</v>
      </c>
      <c r="Z41" s="17">
        <f t="shared" si="7"/>
        <v>3562.1983800000003</v>
      </c>
      <c r="AA41" s="17" t="str">
        <f t="shared" si="8"/>
        <v>Q2-2023</v>
      </c>
      <c r="AB41" s="12" t="str">
        <f t="shared" si="9"/>
        <v>Jun-2023</v>
      </c>
      <c r="AC41" s="12" t="str">
        <f t="shared" si="10"/>
        <v>Low</v>
      </c>
      <c r="AD41">
        <v>9</v>
      </c>
      <c r="AE41" s="12">
        <f>_xlfn.MINIFS(Table1[MonthDate], Table1[Country], Table1[[#This Row],[Country]])</f>
        <v>44927</v>
      </c>
      <c r="AF41" s="12">
        <f t="shared" si="11"/>
        <v>45078</v>
      </c>
      <c r="AG41">
        <f>AD41*(1 + Scenario_Control!$B$4)</f>
        <v>9.9</v>
      </c>
      <c r="AH41">
        <f>O41*(1 + Scenario_Control!$B$3)</f>
        <v>329.68950000000001</v>
      </c>
      <c r="AI41">
        <f t="shared" si="12"/>
        <v>783.6836436000001</v>
      </c>
      <c r="AJ41">
        <f t="shared" si="13"/>
        <v>-2480.2424063999997</v>
      </c>
      <c r="AK41" s="29">
        <f>MIN(Q41*(1-U41), Scenario_Control!$B$2*Q41)</f>
        <v>90.884000000000015</v>
      </c>
      <c r="AL41" s="15">
        <f t="shared" si="14"/>
        <v>1</v>
      </c>
      <c r="AM41" s="8">
        <f>DATEDIF(Table1[[#This Row],[Country_FirstMonth]], Table1[[#This Row],[MonthDate]], "m")</f>
        <v>5</v>
      </c>
    </row>
    <row r="42" spans="1:39" x14ac:dyDescent="0.25">
      <c r="A42" t="s">
        <v>55</v>
      </c>
      <c r="B42" s="12">
        <v>45531</v>
      </c>
      <c r="C42" s="12">
        <f t="shared" si="0"/>
        <v>45554</v>
      </c>
      <c r="D42" s="2" t="str">
        <f>IF(Table1[[#This Row],[RequiredDate]]&lt;Table1[[#This Row],[OrderDate]],"Check","OK")</f>
        <v>OK</v>
      </c>
      <c r="E42" s="2">
        <v>45554</v>
      </c>
      <c r="F42" s="15">
        <f t="shared" si="1"/>
        <v>23</v>
      </c>
      <c r="G42" t="s">
        <v>649</v>
      </c>
      <c r="H42" t="s">
        <v>656</v>
      </c>
      <c r="I42" t="s">
        <v>671</v>
      </c>
      <c r="J42" t="s">
        <v>705</v>
      </c>
      <c r="K42" t="s">
        <v>711</v>
      </c>
      <c r="L42" t="s">
        <v>726</v>
      </c>
      <c r="M42" t="s">
        <v>732</v>
      </c>
      <c r="N42" t="s">
        <v>774</v>
      </c>
      <c r="O42" s="29">
        <v>1024.01</v>
      </c>
      <c r="P42" t="str">
        <f>IF(Table1[[#This Row],[UnitPrice]]&lt;=0,"Check","OK")</f>
        <v>OK</v>
      </c>
      <c r="Q42" s="29">
        <f t="shared" si="2"/>
        <v>1580.97</v>
      </c>
      <c r="R42">
        <v>1580.97</v>
      </c>
      <c r="S42" s="5">
        <f>IF(Table1[[#This Row],[Discount_Flag]]="Check", MIN(MAX(Table1[[#This Row],[DiscountPct]],0),0.3), Table1[[#This Row],[DiscountPct]])</f>
        <v>3.6999999999999998E-2</v>
      </c>
      <c r="T42" t="str">
        <f>IF(OR(Table1[[#This Row],[DiscountPct]]&lt;0,Table1[[#This Row],[DiscountPct]]&gt;0.3),"Check","OK")</f>
        <v>OK</v>
      </c>
      <c r="U42" s="11">
        <v>3.6999999999999998E-2</v>
      </c>
      <c r="V42" s="15">
        <f t="shared" si="3"/>
        <v>0</v>
      </c>
      <c r="W42" s="11">
        <f t="shared" si="4"/>
        <v>0.3274039976942531</v>
      </c>
      <c r="X42" s="17">
        <f t="shared" si="5"/>
        <v>27648.27</v>
      </c>
      <c r="Y42" s="17">
        <f t="shared" si="6"/>
        <v>13458.530970000003</v>
      </c>
      <c r="Z42" s="17">
        <f t="shared" si="7"/>
        <v>41106.800970000004</v>
      </c>
      <c r="AA42" s="17" t="str">
        <f t="shared" si="8"/>
        <v>Q3-2024</v>
      </c>
      <c r="AB42" s="12" t="str">
        <f t="shared" si="9"/>
        <v>Aug-2024</v>
      </c>
      <c r="AC42" s="12" t="str">
        <f t="shared" si="10"/>
        <v>Medium</v>
      </c>
      <c r="AD42">
        <v>27</v>
      </c>
      <c r="AE42" s="12">
        <f>_xlfn.MINIFS(Table1[MonthDate], Table1[Country], Table1[[#This Row],[Country]])</f>
        <v>44927</v>
      </c>
      <c r="AF42" s="12">
        <f t="shared" si="11"/>
        <v>45505</v>
      </c>
      <c r="AG42">
        <f>AD42*(1 + Scenario_Control!$B$4)</f>
        <v>29.700000000000003</v>
      </c>
      <c r="AH42">
        <f>O42*(1 + Scenario_Control!$B$3)</f>
        <v>1075.2105000000001</v>
      </c>
      <c r="AI42">
        <f t="shared" si="12"/>
        <v>9043.4962133999998</v>
      </c>
      <c r="AJ42">
        <f t="shared" si="13"/>
        <v>-22890.255636600006</v>
      </c>
      <c r="AK42" s="29">
        <f>MIN(Q42*(1-U42), Scenario_Control!$B$2*Q42)</f>
        <v>316.19400000000002</v>
      </c>
      <c r="AL42" s="15">
        <f t="shared" si="14"/>
        <v>0</v>
      </c>
      <c r="AM42" s="8">
        <f>DATEDIF(Table1[[#This Row],[Country_FirstMonth]], Table1[[#This Row],[MonthDate]], "m")</f>
        <v>19</v>
      </c>
    </row>
    <row r="43" spans="1:39" x14ac:dyDescent="0.25">
      <c r="A43" t="s">
        <v>56</v>
      </c>
      <c r="B43" s="12">
        <v>45302</v>
      </c>
      <c r="C43" s="12">
        <f t="shared" si="0"/>
        <v>45324</v>
      </c>
      <c r="D43" s="2" t="str">
        <f>IF(Table1[[#This Row],[RequiredDate]]&lt;Table1[[#This Row],[OrderDate]],"Check","OK")</f>
        <v>OK</v>
      </c>
      <c r="E43" s="2">
        <v>45324</v>
      </c>
      <c r="F43" s="15">
        <f t="shared" si="1"/>
        <v>22</v>
      </c>
      <c r="G43" t="s">
        <v>646</v>
      </c>
      <c r="H43" t="s">
        <v>661</v>
      </c>
      <c r="I43" t="s">
        <v>687</v>
      </c>
      <c r="J43" t="s">
        <v>704</v>
      </c>
      <c r="K43" t="s">
        <v>708</v>
      </c>
      <c r="L43" t="s">
        <v>723</v>
      </c>
      <c r="M43" t="s">
        <v>729</v>
      </c>
      <c r="N43" t="s">
        <v>775</v>
      </c>
      <c r="O43" s="29">
        <v>1206.2</v>
      </c>
      <c r="P43" t="str">
        <f>IF(Table1[[#This Row],[UnitPrice]]&lt;=0,"Check","OK")</f>
        <v>OK</v>
      </c>
      <c r="Q43" s="29">
        <f t="shared" si="2"/>
        <v>1759.79</v>
      </c>
      <c r="R43">
        <v>1759.79</v>
      </c>
      <c r="S43" s="5">
        <f>IF(Table1[[#This Row],[Discount_Flag]]="Check", MIN(MAX(Table1[[#This Row],[DiscountPct]],0),0.3), Table1[[#This Row],[DiscountPct]])</f>
        <v>0</v>
      </c>
      <c r="T43" t="str">
        <f>IF(OR(Table1[[#This Row],[DiscountPct]]&lt;0,Table1[[#This Row],[DiscountPct]]&gt;0.3),"Check","OK")</f>
        <v>OK</v>
      </c>
      <c r="U43" s="11">
        <v>0</v>
      </c>
      <c r="V43" s="15">
        <f t="shared" si="3"/>
        <v>0</v>
      </c>
      <c r="W43" s="11">
        <f t="shared" si="4"/>
        <v>0.31457730751964713</v>
      </c>
      <c r="X43" s="17">
        <f t="shared" si="5"/>
        <v>7237.2000000000007</v>
      </c>
      <c r="Y43" s="17">
        <f t="shared" si="6"/>
        <v>3321.5399999999991</v>
      </c>
      <c r="Z43" s="17">
        <f t="shared" si="7"/>
        <v>10558.74</v>
      </c>
      <c r="AA43" s="17" t="str">
        <f t="shared" si="8"/>
        <v>Q1-2024</v>
      </c>
      <c r="AB43" s="12" t="str">
        <f t="shared" si="9"/>
        <v>Jan-2024</v>
      </c>
      <c r="AC43" s="12" t="str">
        <f t="shared" si="10"/>
        <v>Medium</v>
      </c>
      <c r="AD43">
        <v>6</v>
      </c>
      <c r="AE43" s="12">
        <f>_xlfn.MINIFS(Table1[MonthDate], Table1[Country], Table1[[#This Row],[Country]])</f>
        <v>44927</v>
      </c>
      <c r="AF43" s="12">
        <f t="shared" si="11"/>
        <v>45292</v>
      </c>
      <c r="AG43">
        <f>AD43*(1 + Scenario_Control!$B$4)</f>
        <v>6.6000000000000005</v>
      </c>
      <c r="AH43">
        <f>O43*(1 + Scenario_Control!$B$3)</f>
        <v>1266.51</v>
      </c>
      <c r="AI43">
        <f t="shared" si="12"/>
        <v>2322.9228000000003</v>
      </c>
      <c r="AJ43">
        <f t="shared" si="13"/>
        <v>-6036.0432000000001</v>
      </c>
      <c r="AK43" s="29">
        <f>MIN(Q43*(1-U43), Scenario_Control!$B$2*Q43)</f>
        <v>351.95800000000003</v>
      </c>
      <c r="AL43" s="15">
        <f t="shared" si="14"/>
        <v>0</v>
      </c>
      <c r="AM43" s="8">
        <f>DATEDIF(Table1[[#This Row],[Country_FirstMonth]], Table1[[#This Row],[MonthDate]], "m")</f>
        <v>12</v>
      </c>
    </row>
    <row r="44" spans="1:39" x14ac:dyDescent="0.25">
      <c r="A44" t="s">
        <v>57</v>
      </c>
      <c r="B44" s="12">
        <v>45590</v>
      </c>
      <c r="C44" s="12">
        <f t="shared" si="0"/>
        <v>45610</v>
      </c>
      <c r="D44" s="2" t="str">
        <f>IF(Table1[[#This Row],[RequiredDate]]&lt;Table1[[#This Row],[OrderDate]],"Check","OK")</f>
        <v>OK</v>
      </c>
      <c r="E44" s="2">
        <v>45610</v>
      </c>
      <c r="F44" s="15">
        <f t="shared" si="1"/>
        <v>20</v>
      </c>
      <c r="G44" t="s">
        <v>646</v>
      </c>
      <c r="H44" t="s">
        <v>650</v>
      </c>
      <c r="I44" t="s">
        <v>675</v>
      </c>
      <c r="J44" t="s">
        <v>701</v>
      </c>
      <c r="K44" t="s">
        <v>711</v>
      </c>
      <c r="L44" t="s">
        <v>722</v>
      </c>
      <c r="M44" t="s">
        <v>728</v>
      </c>
      <c r="N44" t="s">
        <v>776</v>
      </c>
      <c r="O44" s="29">
        <v>1396.48</v>
      </c>
      <c r="P44" t="str">
        <f>IF(Table1[[#This Row],[UnitPrice]]&lt;=0,"Check","OK")</f>
        <v>OK</v>
      </c>
      <c r="Q44" s="29">
        <f t="shared" si="2"/>
        <v>3204.5</v>
      </c>
      <c r="R44">
        <v>3204.5</v>
      </c>
      <c r="S44" s="5">
        <f>IF(Table1[[#This Row],[Discount_Flag]]="Check", MIN(MAX(Table1[[#This Row],[DiscountPct]],0),0.3), Table1[[#This Row],[DiscountPct]])</f>
        <v>0.3</v>
      </c>
      <c r="T44" t="str">
        <f>IF(OR(Table1[[#This Row],[DiscountPct]]&lt;0,Table1[[#This Row],[DiscountPct]]&gt;0.3),"Check","OK")</f>
        <v>Check</v>
      </c>
      <c r="U44" s="11">
        <v>0.318</v>
      </c>
      <c r="V44" s="15">
        <f t="shared" si="3"/>
        <v>1</v>
      </c>
      <c r="W44" s="11">
        <f t="shared" si="4"/>
        <v>0.3774468938769141</v>
      </c>
      <c r="X44" s="17">
        <f t="shared" si="5"/>
        <v>19550.72</v>
      </c>
      <c r="Y44" s="17">
        <f t="shared" si="6"/>
        <v>11853.379999999997</v>
      </c>
      <c r="Z44" s="17">
        <f t="shared" si="7"/>
        <v>31404.1</v>
      </c>
      <c r="AA44" s="17" t="str">
        <f t="shared" si="8"/>
        <v>Q4-2024</v>
      </c>
      <c r="AB44" s="12" t="str">
        <f t="shared" si="9"/>
        <v>Oct-2024</v>
      </c>
      <c r="AC44" s="12" t="str">
        <f t="shared" si="10"/>
        <v>High</v>
      </c>
      <c r="AD44">
        <v>14</v>
      </c>
      <c r="AE44" s="12">
        <f>_xlfn.MINIFS(Table1[MonthDate], Table1[Country], Table1[[#This Row],[Country]])</f>
        <v>44927</v>
      </c>
      <c r="AF44" s="12">
        <f t="shared" si="11"/>
        <v>45566</v>
      </c>
      <c r="AG44">
        <f>AD44*(1 + Scenario_Control!$B$4)</f>
        <v>15.400000000000002</v>
      </c>
      <c r="AH44">
        <f>O44*(1 + Scenario_Control!$B$3)</f>
        <v>1466.3040000000001</v>
      </c>
      <c r="AI44">
        <f t="shared" si="12"/>
        <v>6731.2445200000011</v>
      </c>
      <c r="AJ44">
        <f t="shared" si="13"/>
        <v>-15849.837080000005</v>
      </c>
      <c r="AK44" s="29">
        <f>MIN(Q44*(1-U44), Scenario_Control!$B$2*Q44)</f>
        <v>640.90000000000009</v>
      </c>
      <c r="AL44" s="15">
        <f t="shared" si="14"/>
        <v>0</v>
      </c>
      <c r="AM44" s="8">
        <f>DATEDIF(Table1[[#This Row],[Country_FirstMonth]], Table1[[#This Row],[MonthDate]], "m")</f>
        <v>21</v>
      </c>
    </row>
    <row r="45" spans="1:39" x14ac:dyDescent="0.25">
      <c r="A45" t="s">
        <v>58</v>
      </c>
      <c r="B45" s="12">
        <v>45806</v>
      </c>
      <c r="C45" s="12">
        <f t="shared" si="0"/>
        <v>45828</v>
      </c>
      <c r="D45" s="2" t="str">
        <f>IF(Table1[[#This Row],[RequiredDate]]&lt;Table1[[#This Row],[OrderDate]],"Check","OK")</f>
        <v>OK</v>
      </c>
      <c r="E45" s="2">
        <v>45828</v>
      </c>
      <c r="F45" s="15">
        <f t="shared" si="1"/>
        <v>22</v>
      </c>
      <c r="G45" t="s">
        <v>649</v>
      </c>
      <c r="H45" t="s">
        <v>656</v>
      </c>
      <c r="I45" t="s">
        <v>671</v>
      </c>
      <c r="J45" t="s">
        <v>701</v>
      </c>
      <c r="K45" t="s">
        <v>711</v>
      </c>
      <c r="L45" t="s">
        <v>720</v>
      </c>
      <c r="M45" t="s">
        <v>728</v>
      </c>
      <c r="N45" t="s">
        <v>777</v>
      </c>
      <c r="O45" s="29">
        <v>483.47</v>
      </c>
      <c r="P45" t="str">
        <f>IF(Table1[[#This Row],[UnitPrice]]&lt;=0,"Check","OK")</f>
        <v>OK</v>
      </c>
      <c r="Q45" s="29">
        <f t="shared" si="2"/>
        <v>1135.43</v>
      </c>
      <c r="R45">
        <v>1135.43</v>
      </c>
      <c r="S45" s="5">
        <f>IF(Table1[[#This Row],[Discount_Flag]]="Check", MIN(MAX(Table1[[#This Row],[DiscountPct]],0),0.3), Table1[[#This Row],[DiscountPct]])</f>
        <v>0.14599999999999999</v>
      </c>
      <c r="T45" t="str">
        <f>IF(OR(Table1[[#This Row],[DiscountPct]]&lt;0,Table1[[#This Row],[DiscountPct]]&gt;0.3),"Check","OK")</f>
        <v>OK</v>
      </c>
      <c r="U45" s="11">
        <v>0.14599999999999999</v>
      </c>
      <c r="V45" s="15">
        <f t="shared" si="3"/>
        <v>0</v>
      </c>
      <c r="W45" s="11">
        <f t="shared" si="4"/>
        <v>0.50140112399719983</v>
      </c>
      <c r="X45" s="17">
        <f t="shared" si="5"/>
        <v>5318.17</v>
      </c>
      <c r="Y45" s="17">
        <f t="shared" si="6"/>
        <v>5348.0594200000014</v>
      </c>
      <c r="Z45" s="17">
        <f t="shared" si="7"/>
        <v>10666.229420000001</v>
      </c>
      <c r="AA45" s="17" t="str">
        <f t="shared" si="8"/>
        <v>Q2-2025</v>
      </c>
      <c r="AB45" s="12" t="str">
        <f t="shared" si="9"/>
        <v>May-2025</v>
      </c>
      <c r="AC45" s="12" t="str">
        <f t="shared" si="10"/>
        <v>Medium</v>
      </c>
      <c r="AD45">
        <v>11</v>
      </c>
      <c r="AE45" s="12">
        <f>_xlfn.MINIFS(Table1[MonthDate], Table1[Country], Table1[[#This Row],[Country]])</f>
        <v>44927</v>
      </c>
      <c r="AF45" s="12">
        <f t="shared" si="11"/>
        <v>45778</v>
      </c>
      <c r="AG45">
        <f>AD45*(1 + Scenario_Control!$B$4)</f>
        <v>12.100000000000001</v>
      </c>
      <c r="AH45">
        <f>O45*(1 + Scenario_Control!$B$3)</f>
        <v>507.64350000000007</v>
      </c>
      <c r="AI45">
        <f t="shared" si="12"/>
        <v>2346.5704724000002</v>
      </c>
      <c r="AJ45">
        <f t="shared" si="13"/>
        <v>-3795.9158776000017</v>
      </c>
      <c r="AK45" s="29">
        <f>MIN(Q45*(1-U45), Scenario_Control!$B$2*Q45)</f>
        <v>227.08600000000001</v>
      </c>
      <c r="AL45" s="15">
        <f t="shared" si="14"/>
        <v>0</v>
      </c>
      <c r="AM45" s="8">
        <f>DATEDIF(Table1[[#This Row],[Country_FirstMonth]], Table1[[#This Row],[MonthDate]], "m")</f>
        <v>28</v>
      </c>
    </row>
    <row r="46" spans="1:39" x14ac:dyDescent="0.25">
      <c r="A46" t="s">
        <v>59</v>
      </c>
      <c r="B46" s="12">
        <v>45432</v>
      </c>
      <c r="C46" s="12">
        <f t="shared" si="0"/>
        <v>45445</v>
      </c>
      <c r="D46" s="2" t="str">
        <f>IF(Table1[[#This Row],[RequiredDate]]&lt;Table1[[#This Row],[OrderDate]],"Check","OK")</f>
        <v>OK</v>
      </c>
      <c r="E46" s="2">
        <v>45445</v>
      </c>
      <c r="F46" s="15">
        <f t="shared" si="1"/>
        <v>13</v>
      </c>
      <c r="G46" t="s">
        <v>648</v>
      </c>
      <c r="H46" t="s">
        <v>653</v>
      </c>
      <c r="I46" t="s">
        <v>688</v>
      </c>
      <c r="J46" t="s">
        <v>706</v>
      </c>
      <c r="K46" t="s">
        <v>709</v>
      </c>
      <c r="L46" t="s">
        <v>723</v>
      </c>
      <c r="M46" t="s">
        <v>727</v>
      </c>
      <c r="N46" t="s">
        <v>778</v>
      </c>
      <c r="O46" s="29">
        <v>675.43</v>
      </c>
      <c r="P46" t="str">
        <f>IF(Table1[[#This Row],[UnitPrice]]&lt;=0,"Check","OK")</f>
        <v>OK</v>
      </c>
      <c r="Q46" s="29">
        <f t="shared" si="2"/>
        <v>996.36</v>
      </c>
      <c r="R46">
        <v>996.36</v>
      </c>
      <c r="S46" s="5">
        <f>IF(Table1[[#This Row],[Discount_Flag]]="Check", MIN(MAX(Table1[[#This Row],[DiscountPct]],0),0.3), Table1[[#This Row],[DiscountPct]])</f>
        <v>0.182</v>
      </c>
      <c r="T46" t="str">
        <f>IF(OR(Table1[[#This Row],[DiscountPct]]&lt;0,Table1[[#This Row],[DiscountPct]]&gt;0.3),"Check","OK")</f>
        <v>OK</v>
      </c>
      <c r="U46" s="11">
        <v>0.182</v>
      </c>
      <c r="V46" s="15">
        <f t="shared" si="3"/>
        <v>0</v>
      </c>
      <c r="W46" s="11">
        <f t="shared" si="4"/>
        <v>0.17127439233332575</v>
      </c>
      <c r="X46" s="17">
        <f t="shared" si="5"/>
        <v>14859.46</v>
      </c>
      <c r="Y46" s="17">
        <f t="shared" si="6"/>
        <v>3071.0345600000037</v>
      </c>
      <c r="Z46" s="17">
        <f t="shared" si="7"/>
        <v>17930.494560000003</v>
      </c>
      <c r="AA46" s="17" t="str">
        <f t="shared" si="8"/>
        <v>Q2-2024</v>
      </c>
      <c r="AB46" s="12" t="str">
        <f t="shared" si="9"/>
        <v>May-2024</v>
      </c>
      <c r="AC46" s="12" t="str">
        <f t="shared" si="10"/>
        <v>Medium</v>
      </c>
      <c r="AD46">
        <v>22</v>
      </c>
      <c r="AE46" s="12">
        <f>_xlfn.MINIFS(Table1[MonthDate], Table1[Country], Table1[[#This Row],[Country]])</f>
        <v>44927</v>
      </c>
      <c r="AF46" s="12">
        <f t="shared" si="11"/>
        <v>45413</v>
      </c>
      <c r="AG46">
        <f>AD46*(1 + Scenario_Control!$B$4)</f>
        <v>24.200000000000003</v>
      </c>
      <c r="AH46">
        <f>O46*(1 + Scenario_Control!$B$3)</f>
        <v>709.20150000000001</v>
      </c>
      <c r="AI46">
        <f t="shared" si="12"/>
        <v>3944.7088032000015</v>
      </c>
      <c r="AJ46">
        <f t="shared" si="13"/>
        <v>-13217.967496800002</v>
      </c>
      <c r="AK46" s="29">
        <f>MIN(Q46*(1-U46), Scenario_Control!$B$2*Q46)</f>
        <v>199.27200000000002</v>
      </c>
      <c r="AL46" s="15">
        <f t="shared" si="14"/>
        <v>0</v>
      </c>
      <c r="AM46" s="8">
        <f>DATEDIF(Table1[[#This Row],[Country_FirstMonth]], Table1[[#This Row],[MonthDate]], "m")</f>
        <v>16</v>
      </c>
    </row>
    <row r="47" spans="1:39" x14ac:dyDescent="0.25">
      <c r="A47" t="s">
        <v>60</v>
      </c>
      <c r="B47" s="12">
        <v>45035</v>
      </c>
      <c r="C47" s="12">
        <f t="shared" si="0"/>
        <v>45046</v>
      </c>
      <c r="D47" s="2" t="str">
        <f>IF(Table1[[#This Row],[RequiredDate]]&lt;Table1[[#This Row],[OrderDate]],"Check","OK")</f>
        <v>OK</v>
      </c>
      <c r="E47" s="2">
        <v>45046</v>
      </c>
      <c r="F47" s="15">
        <f t="shared" si="1"/>
        <v>11</v>
      </c>
      <c r="G47" t="s">
        <v>647</v>
      </c>
      <c r="H47" t="s">
        <v>654</v>
      </c>
      <c r="I47" t="s">
        <v>680</v>
      </c>
      <c r="J47" t="s">
        <v>705</v>
      </c>
      <c r="K47" t="s">
        <v>707</v>
      </c>
      <c r="L47" t="s">
        <v>720</v>
      </c>
      <c r="M47" t="s">
        <v>729</v>
      </c>
      <c r="N47" t="s">
        <v>779</v>
      </c>
      <c r="O47" s="29">
        <v>826.55</v>
      </c>
      <c r="P47" t="str">
        <f>IF(Table1[[#This Row],[UnitPrice]]&lt;=0,"Check","OK")</f>
        <v>OK</v>
      </c>
      <c r="Q47" s="29">
        <f t="shared" si="2"/>
        <v>1397.05</v>
      </c>
      <c r="R47">
        <v>1397.05</v>
      </c>
      <c r="S47" s="5">
        <f>IF(Table1[[#This Row],[Discount_Flag]]="Check", MIN(MAX(Table1[[#This Row],[DiscountPct]],0),0.3), Table1[[#This Row],[DiscountPct]])</f>
        <v>0.16900000000000001</v>
      </c>
      <c r="T47" t="str">
        <f>IF(OR(Table1[[#This Row],[DiscountPct]]&lt;0,Table1[[#This Row],[DiscountPct]]&gt;0.3),"Check","OK")</f>
        <v>OK</v>
      </c>
      <c r="U47" s="11">
        <v>0.16900000000000001</v>
      </c>
      <c r="V47" s="15">
        <f t="shared" si="3"/>
        <v>0</v>
      </c>
      <c r="W47" s="11">
        <f t="shared" si="4"/>
        <v>0.28803907804527601</v>
      </c>
      <c r="X47" s="17">
        <f t="shared" si="5"/>
        <v>23143.399999999998</v>
      </c>
      <c r="Y47" s="17">
        <f t="shared" si="6"/>
        <v>9363.1594000000005</v>
      </c>
      <c r="Z47" s="17">
        <f t="shared" si="7"/>
        <v>32506.559399999998</v>
      </c>
      <c r="AA47" s="17" t="str">
        <f t="shared" si="8"/>
        <v>Q2-2023</v>
      </c>
      <c r="AB47" s="12" t="str">
        <f t="shared" si="9"/>
        <v>Apr-2023</v>
      </c>
      <c r="AC47" s="12" t="str">
        <f t="shared" si="10"/>
        <v>Medium</v>
      </c>
      <c r="AD47">
        <v>28</v>
      </c>
      <c r="AE47" s="12">
        <f>_xlfn.MINIFS(Table1[MonthDate], Table1[Country], Table1[[#This Row],[Country]])</f>
        <v>44927</v>
      </c>
      <c r="AF47" s="12">
        <f t="shared" si="11"/>
        <v>45017</v>
      </c>
      <c r="AG47">
        <f>AD47*(1 + Scenario_Control!$B$4)</f>
        <v>30.800000000000004</v>
      </c>
      <c r="AH47">
        <f>O47*(1 + Scenario_Control!$B$3)</f>
        <v>867.87749999999994</v>
      </c>
      <c r="AI47">
        <f t="shared" si="12"/>
        <v>7151.4430680000005</v>
      </c>
      <c r="AJ47">
        <f t="shared" si="13"/>
        <v>-19579.183932</v>
      </c>
      <c r="AK47" s="29">
        <f>MIN(Q47*(1-U47), Scenario_Control!$B$2*Q47)</f>
        <v>279.41000000000003</v>
      </c>
      <c r="AL47" s="15">
        <f t="shared" si="14"/>
        <v>0</v>
      </c>
      <c r="AM47" s="8">
        <f>DATEDIF(Table1[[#This Row],[Country_FirstMonth]], Table1[[#This Row],[MonthDate]], "m")</f>
        <v>3</v>
      </c>
    </row>
    <row r="48" spans="1:39" x14ac:dyDescent="0.25">
      <c r="A48" t="s">
        <v>61</v>
      </c>
      <c r="B48" s="12">
        <v>45100</v>
      </c>
      <c r="C48" s="12">
        <f t="shared" si="0"/>
        <v>45110</v>
      </c>
      <c r="D48" s="2" t="str">
        <f>IF(Table1[[#This Row],[RequiredDate]]&lt;Table1[[#This Row],[OrderDate]],"Check","OK")</f>
        <v>OK</v>
      </c>
      <c r="E48" s="2">
        <v>45110</v>
      </c>
      <c r="F48" s="15">
        <f t="shared" si="1"/>
        <v>10</v>
      </c>
      <c r="G48" t="s">
        <v>646</v>
      </c>
      <c r="H48" t="s">
        <v>651</v>
      </c>
      <c r="I48" t="s">
        <v>669</v>
      </c>
      <c r="J48" t="s">
        <v>704</v>
      </c>
      <c r="K48" t="s">
        <v>708</v>
      </c>
      <c r="L48" t="s">
        <v>713</v>
      </c>
      <c r="M48" t="s">
        <v>728</v>
      </c>
      <c r="N48" t="s">
        <v>780</v>
      </c>
      <c r="O48" s="29">
        <v>337.75</v>
      </c>
      <c r="P48" t="str">
        <f>IF(Table1[[#This Row],[UnitPrice]]&lt;=0,"Check","OK")</f>
        <v>OK</v>
      </c>
      <c r="Q48" s="29">
        <f t="shared" si="2"/>
        <v>548.89</v>
      </c>
      <c r="R48">
        <v>548.89</v>
      </c>
      <c r="S48" s="5">
        <f>IF(Table1[[#This Row],[Discount_Flag]]="Check", MIN(MAX(Table1[[#This Row],[DiscountPct]],0),0.3), Table1[[#This Row],[DiscountPct]])</f>
        <v>0</v>
      </c>
      <c r="T48" t="str">
        <f>IF(OR(Table1[[#This Row],[DiscountPct]]&lt;0,Table1[[#This Row],[DiscountPct]]&gt;0.3),"Check","OK")</f>
        <v>OK</v>
      </c>
      <c r="U48" s="11">
        <v>0</v>
      </c>
      <c r="V48" s="15">
        <f t="shared" si="3"/>
        <v>0</v>
      </c>
      <c r="W48" s="11">
        <f t="shared" si="4"/>
        <v>0.38466723751571352</v>
      </c>
      <c r="X48" s="17">
        <f t="shared" si="5"/>
        <v>4390.75</v>
      </c>
      <c r="Y48" s="17">
        <f t="shared" si="6"/>
        <v>2744.8199999999997</v>
      </c>
      <c r="Z48" s="17">
        <f t="shared" si="7"/>
        <v>7135.57</v>
      </c>
      <c r="AA48" s="17" t="str">
        <f t="shared" si="8"/>
        <v>Q2-2023</v>
      </c>
      <c r="AB48" s="12" t="str">
        <f t="shared" si="9"/>
        <v>Jun-2023</v>
      </c>
      <c r="AC48" s="12" t="str">
        <f t="shared" si="10"/>
        <v>Low</v>
      </c>
      <c r="AD48">
        <v>13</v>
      </c>
      <c r="AE48" s="12">
        <f>_xlfn.MINIFS(Table1[MonthDate], Table1[Country], Table1[[#This Row],[Country]])</f>
        <v>44927</v>
      </c>
      <c r="AF48" s="12">
        <f t="shared" si="11"/>
        <v>45078</v>
      </c>
      <c r="AG48">
        <f>AD48*(1 + Scenario_Control!$B$4)</f>
        <v>14.3</v>
      </c>
      <c r="AH48">
        <f>O48*(1 + Scenario_Control!$B$3)</f>
        <v>354.63749999999999</v>
      </c>
      <c r="AI48">
        <f t="shared" si="12"/>
        <v>1569.8254000000002</v>
      </c>
      <c r="AJ48">
        <f t="shared" si="13"/>
        <v>-3501.4908499999997</v>
      </c>
      <c r="AK48" s="29">
        <f>MIN(Q48*(1-U48), Scenario_Control!$B$2*Q48)</f>
        <v>109.77800000000001</v>
      </c>
      <c r="AL48" s="15">
        <f t="shared" si="14"/>
        <v>0</v>
      </c>
      <c r="AM48" s="8">
        <f>DATEDIF(Table1[[#This Row],[Country_FirstMonth]], Table1[[#This Row],[MonthDate]], "m")</f>
        <v>5</v>
      </c>
    </row>
    <row r="49" spans="1:39" x14ac:dyDescent="0.25">
      <c r="A49" t="s">
        <v>62</v>
      </c>
      <c r="B49" s="12">
        <v>45426</v>
      </c>
      <c r="C49" s="12">
        <f t="shared" si="0"/>
        <v>45440</v>
      </c>
      <c r="D49" s="2" t="str">
        <f>IF(Table1[[#This Row],[RequiredDate]]&lt;Table1[[#This Row],[OrderDate]],"Check","OK")</f>
        <v>OK</v>
      </c>
      <c r="E49" s="2">
        <v>45440</v>
      </c>
      <c r="F49" s="15">
        <f t="shared" si="1"/>
        <v>14</v>
      </c>
      <c r="G49" t="s">
        <v>649</v>
      </c>
      <c r="H49" t="s">
        <v>658</v>
      </c>
      <c r="I49" t="s">
        <v>674</v>
      </c>
      <c r="J49" t="s">
        <v>704</v>
      </c>
      <c r="K49" t="s">
        <v>707</v>
      </c>
      <c r="L49" t="s">
        <v>717</v>
      </c>
      <c r="M49" t="s">
        <v>729</v>
      </c>
      <c r="N49" t="s">
        <v>781</v>
      </c>
      <c r="O49" s="29">
        <v>1421.14</v>
      </c>
      <c r="P49" t="str">
        <f>IF(Table1[[#This Row],[UnitPrice]]&lt;=0,"Check","OK")</f>
        <v>OK</v>
      </c>
      <c r="Q49" s="29">
        <f t="shared" si="2"/>
        <v>3524</v>
      </c>
      <c r="R49">
        <v>3524</v>
      </c>
      <c r="S49" s="5">
        <f>IF(Table1[[#This Row],[Discount_Flag]]="Check", MIN(MAX(Table1[[#This Row],[DiscountPct]],0),0.3), Table1[[#This Row],[DiscountPct]])</f>
        <v>0</v>
      </c>
      <c r="T49" t="str">
        <f>IF(OR(Table1[[#This Row],[DiscountPct]]&lt;0,Table1[[#This Row],[DiscountPct]]&gt;0.3),"Check","OK")</f>
        <v>OK</v>
      </c>
      <c r="U49" s="11">
        <v>0</v>
      </c>
      <c r="V49" s="15">
        <f t="shared" si="3"/>
        <v>0</v>
      </c>
      <c r="W49" s="11">
        <f t="shared" si="4"/>
        <v>0.59672531214528945</v>
      </c>
      <c r="X49" s="17">
        <f t="shared" si="5"/>
        <v>44055.340000000004</v>
      </c>
      <c r="Y49" s="17">
        <f t="shared" si="6"/>
        <v>65188.659999999996</v>
      </c>
      <c r="Z49" s="17">
        <f t="shared" si="7"/>
        <v>109244</v>
      </c>
      <c r="AA49" s="17" t="str">
        <f t="shared" si="8"/>
        <v>Q2-2024</v>
      </c>
      <c r="AB49" s="12" t="str">
        <f t="shared" si="9"/>
        <v>May-2024</v>
      </c>
      <c r="AC49" s="12" t="str">
        <f t="shared" si="10"/>
        <v>High</v>
      </c>
      <c r="AD49">
        <v>31</v>
      </c>
      <c r="AE49" s="12">
        <f>_xlfn.MINIFS(Table1[MonthDate], Table1[Country], Table1[[#This Row],[Country]])</f>
        <v>44927</v>
      </c>
      <c r="AF49" s="12">
        <f t="shared" si="11"/>
        <v>45413</v>
      </c>
      <c r="AG49">
        <f>AD49*(1 + Scenario_Control!$B$4)</f>
        <v>34.1</v>
      </c>
      <c r="AH49">
        <f>O49*(1 + Scenario_Control!$B$3)</f>
        <v>1492.1970000000001</v>
      </c>
      <c r="AI49">
        <f t="shared" si="12"/>
        <v>24033.680000000004</v>
      </c>
      <c r="AJ49">
        <f t="shared" si="13"/>
        <v>-26850.237700000001</v>
      </c>
      <c r="AK49" s="29">
        <f>MIN(Q49*(1-U49), Scenario_Control!$B$2*Q49)</f>
        <v>704.80000000000007</v>
      </c>
      <c r="AL49" s="15">
        <f t="shared" si="14"/>
        <v>0</v>
      </c>
      <c r="AM49" s="8">
        <f>DATEDIF(Table1[[#This Row],[Country_FirstMonth]], Table1[[#This Row],[MonthDate]], "m")</f>
        <v>16</v>
      </c>
    </row>
    <row r="50" spans="1:39" x14ac:dyDescent="0.25">
      <c r="A50" t="s">
        <v>63</v>
      </c>
      <c r="B50" s="12">
        <v>45579</v>
      </c>
      <c r="C50" s="12">
        <f t="shared" si="0"/>
        <v>45604</v>
      </c>
      <c r="D50" s="2" t="str">
        <f>IF(Table1[[#This Row],[RequiredDate]]&lt;Table1[[#This Row],[OrderDate]],"Check","OK")</f>
        <v>OK</v>
      </c>
      <c r="E50" s="2">
        <v>45604</v>
      </c>
      <c r="F50" s="15">
        <f t="shared" si="1"/>
        <v>25</v>
      </c>
      <c r="G50" t="s">
        <v>646</v>
      </c>
      <c r="H50" t="s">
        <v>651</v>
      </c>
      <c r="I50" t="s">
        <v>665</v>
      </c>
      <c r="J50" t="s">
        <v>706</v>
      </c>
      <c r="K50" t="s">
        <v>708</v>
      </c>
      <c r="L50" t="s">
        <v>719</v>
      </c>
      <c r="M50" t="s">
        <v>729</v>
      </c>
      <c r="N50" t="s">
        <v>782</v>
      </c>
      <c r="O50" s="29">
        <v>859.35</v>
      </c>
      <c r="P50" t="str">
        <f>IF(Table1[[#This Row],[UnitPrice]]&lt;=0,"Check","OK")</f>
        <v>OK</v>
      </c>
      <c r="Q50" s="29">
        <f t="shared" si="2"/>
        <v>1825.61</v>
      </c>
      <c r="R50">
        <v>1825.61</v>
      </c>
      <c r="S50" s="5">
        <f>IF(Table1[[#This Row],[Discount_Flag]]="Check", MIN(MAX(Table1[[#This Row],[DiscountPct]],0),0.3), Table1[[#This Row],[DiscountPct]])</f>
        <v>0.187</v>
      </c>
      <c r="T50" t="str">
        <f>IF(OR(Table1[[#This Row],[DiscountPct]]&lt;0,Table1[[#This Row],[DiscountPct]]&gt;0.3),"Check","OK")</f>
        <v>OK</v>
      </c>
      <c r="U50" s="11">
        <v>0.187</v>
      </c>
      <c r="V50" s="15">
        <f t="shared" si="3"/>
        <v>0</v>
      </c>
      <c r="W50" s="11">
        <f t="shared" si="4"/>
        <v>0.42100937762681989</v>
      </c>
      <c r="X50" s="17">
        <f t="shared" si="5"/>
        <v>20624.400000000001</v>
      </c>
      <c r="Y50" s="17">
        <f t="shared" si="6"/>
        <v>14996.902319999994</v>
      </c>
      <c r="Z50" s="17">
        <f t="shared" si="7"/>
        <v>35621.302319999995</v>
      </c>
      <c r="AA50" s="17" t="str">
        <f t="shared" si="8"/>
        <v>Q4-2024</v>
      </c>
      <c r="AB50" s="12" t="str">
        <f t="shared" si="9"/>
        <v>Oct-2024</v>
      </c>
      <c r="AC50" s="12" t="str">
        <f t="shared" si="10"/>
        <v>Medium</v>
      </c>
      <c r="AD50">
        <v>24</v>
      </c>
      <c r="AE50" s="12">
        <f>_xlfn.MINIFS(Table1[MonthDate], Table1[Country], Table1[[#This Row],[Country]])</f>
        <v>44927</v>
      </c>
      <c r="AF50" s="12">
        <f t="shared" si="11"/>
        <v>45566</v>
      </c>
      <c r="AG50">
        <f>AD50*(1 + Scenario_Control!$B$4)</f>
        <v>26.400000000000002</v>
      </c>
      <c r="AH50">
        <f>O50*(1 + Scenario_Control!$B$3)</f>
        <v>902.31750000000011</v>
      </c>
      <c r="AI50">
        <f t="shared" si="12"/>
        <v>7836.6865103999999</v>
      </c>
      <c r="AJ50">
        <f t="shared" si="13"/>
        <v>-15984.495489600005</v>
      </c>
      <c r="AK50" s="29">
        <f>MIN(Q50*(1-U50), Scenario_Control!$B$2*Q50)</f>
        <v>365.12200000000001</v>
      </c>
      <c r="AL50" s="15">
        <f t="shared" si="14"/>
        <v>0</v>
      </c>
      <c r="AM50" s="8">
        <f>DATEDIF(Table1[[#This Row],[Country_FirstMonth]], Table1[[#This Row],[MonthDate]], "m")</f>
        <v>21</v>
      </c>
    </row>
    <row r="51" spans="1:39" x14ac:dyDescent="0.25">
      <c r="A51" t="s">
        <v>64</v>
      </c>
      <c r="B51" s="12">
        <v>45117</v>
      </c>
      <c r="C51" s="12">
        <f t="shared" si="0"/>
        <v>45139</v>
      </c>
      <c r="D51" s="2" t="str">
        <f>IF(Table1[[#This Row],[RequiredDate]]&lt;Table1[[#This Row],[OrderDate]],"Check","OK")</f>
        <v>OK</v>
      </c>
      <c r="E51" s="2">
        <v>45139</v>
      </c>
      <c r="F51" s="15">
        <f t="shared" si="1"/>
        <v>22</v>
      </c>
      <c r="G51" t="s">
        <v>649</v>
      </c>
      <c r="H51" t="s">
        <v>657</v>
      </c>
      <c r="I51" t="s">
        <v>673</v>
      </c>
      <c r="J51" t="s">
        <v>704</v>
      </c>
      <c r="K51" t="s">
        <v>709</v>
      </c>
      <c r="L51" t="s">
        <v>717</v>
      </c>
      <c r="M51" t="s">
        <v>728</v>
      </c>
      <c r="N51" t="s">
        <v>783</v>
      </c>
      <c r="O51" s="29">
        <v>1303.56</v>
      </c>
      <c r="P51" t="str">
        <f>IF(Table1[[#This Row],[UnitPrice]]&lt;=0,"Check","OK")</f>
        <v>OK</v>
      </c>
      <c r="Q51" s="29">
        <f t="shared" si="2"/>
        <v>1791.37</v>
      </c>
      <c r="R51">
        <v>1791.37</v>
      </c>
      <c r="S51" s="5">
        <f>IF(Table1[[#This Row],[Discount_Flag]]="Check", MIN(MAX(Table1[[#This Row],[DiscountPct]],0),0.3), Table1[[#This Row],[DiscountPct]])</f>
        <v>0.126</v>
      </c>
      <c r="T51" t="str">
        <f>IF(OR(Table1[[#This Row],[DiscountPct]]&lt;0,Table1[[#This Row],[DiscountPct]]&gt;0.3),"Check","OK")</f>
        <v>OK</v>
      </c>
      <c r="U51" s="11">
        <v>0.126</v>
      </c>
      <c r="V51" s="15">
        <f t="shared" si="3"/>
        <v>0</v>
      </c>
      <c r="W51" s="11">
        <f t="shared" si="4"/>
        <v>0.16740404596055358</v>
      </c>
      <c r="X51" s="17">
        <f t="shared" si="5"/>
        <v>28678.32</v>
      </c>
      <c r="Y51" s="17">
        <f t="shared" si="6"/>
        <v>5766.142359999998</v>
      </c>
      <c r="Z51" s="17">
        <f t="shared" si="7"/>
        <v>34444.462359999998</v>
      </c>
      <c r="AA51" s="17" t="str">
        <f t="shared" si="8"/>
        <v>Q3-2023</v>
      </c>
      <c r="AB51" s="12" t="str">
        <f t="shared" si="9"/>
        <v>Jul-2023</v>
      </c>
      <c r="AC51" s="12" t="str">
        <f t="shared" si="10"/>
        <v>Medium</v>
      </c>
      <c r="AD51">
        <v>22</v>
      </c>
      <c r="AE51" s="12">
        <f>_xlfn.MINIFS(Table1[MonthDate], Table1[Country], Table1[[#This Row],[Country]])</f>
        <v>44927</v>
      </c>
      <c r="AF51" s="12">
        <f t="shared" si="11"/>
        <v>45108</v>
      </c>
      <c r="AG51">
        <f>AD51*(1 + Scenario_Control!$B$4)</f>
        <v>24.200000000000003</v>
      </c>
      <c r="AH51">
        <f>O51*(1 + Scenario_Control!$B$3)</f>
        <v>1368.7380000000001</v>
      </c>
      <c r="AI51">
        <f t="shared" si="12"/>
        <v>7577.7817192000011</v>
      </c>
      <c r="AJ51">
        <f t="shared" si="13"/>
        <v>-25545.677880800002</v>
      </c>
      <c r="AK51" s="29">
        <f>MIN(Q51*(1-U51), Scenario_Control!$B$2*Q51)</f>
        <v>358.274</v>
      </c>
      <c r="AL51" s="15">
        <f t="shared" si="14"/>
        <v>0</v>
      </c>
      <c r="AM51" s="8">
        <f>DATEDIF(Table1[[#This Row],[Country_FirstMonth]], Table1[[#This Row],[MonthDate]], "m")</f>
        <v>6</v>
      </c>
    </row>
    <row r="52" spans="1:39" x14ac:dyDescent="0.25">
      <c r="A52" t="s">
        <v>65</v>
      </c>
      <c r="B52" s="12">
        <v>45602</v>
      </c>
      <c r="C52" s="12">
        <f t="shared" si="0"/>
        <v>45618</v>
      </c>
      <c r="D52" s="2" t="str">
        <f>IF(Table1[[#This Row],[RequiredDate]]&lt;Table1[[#This Row],[OrderDate]],"Check","OK")</f>
        <v>OK</v>
      </c>
      <c r="E52" s="2">
        <v>45618</v>
      </c>
      <c r="F52" s="15">
        <f t="shared" si="1"/>
        <v>16</v>
      </c>
      <c r="G52" t="s">
        <v>648</v>
      </c>
      <c r="H52" t="s">
        <v>653</v>
      </c>
      <c r="I52" t="s">
        <v>667</v>
      </c>
      <c r="J52" t="s">
        <v>703</v>
      </c>
      <c r="K52" t="s">
        <v>710</v>
      </c>
      <c r="L52" t="s">
        <v>726</v>
      </c>
      <c r="M52" t="s">
        <v>733</v>
      </c>
      <c r="N52" t="s">
        <v>784</v>
      </c>
      <c r="O52" s="29">
        <v>1454.11</v>
      </c>
      <c r="P52" t="str">
        <f>IF(Table1[[#This Row],[UnitPrice]]&lt;=0,"Check","OK")</f>
        <v>OK</v>
      </c>
      <c r="Q52" s="29">
        <f t="shared" si="2"/>
        <v>2629.75</v>
      </c>
      <c r="R52">
        <v>2629.75</v>
      </c>
      <c r="S52" s="5">
        <f>IF(Table1[[#This Row],[Discount_Flag]]="Check", MIN(MAX(Table1[[#This Row],[DiscountPct]],0),0.3), Table1[[#This Row],[DiscountPct]])</f>
        <v>0.29199999999999998</v>
      </c>
      <c r="T52" t="str">
        <f>IF(OR(Table1[[#This Row],[DiscountPct]]&lt;0,Table1[[#This Row],[DiscountPct]]&gt;0.3),"Check","OK")</f>
        <v>OK</v>
      </c>
      <c r="U52" s="11">
        <v>0.29199999999999998</v>
      </c>
      <c r="V52" s="15">
        <f t="shared" si="3"/>
        <v>1</v>
      </c>
      <c r="W52" s="11">
        <f t="shared" si="4"/>
        <v>0.21900268709351867</v>
      </c>
      <c r="X52" s="17">
        <f t="shared" si="5"/>
        <v>11632.88</v>
      </c>
      <c r="Y52" s="17">
        <f t="shared" si="6"/>
        <v>3262.0239999999994</v>
      </c>
      <c r="Z52" s="17">
        <f t="shared" si="7"/>
        <v>14894.903999999999</v>
      </c>
      <c r="AA52" s="17" t="str">
        <f t="shared" si="8"/>
        <v>Q4-2024</v>
      </c>
      <c r="AB52" s="12" t="str">
        <f t="shared" si="9"/>
        <v>Nov-2024</v>
      </c>
      <c r="AC52" s="12" t="str">
        <f t="shared" si="10"/>
        <v>High</v>
      </c>
      <c r="AD52">
        <v>8</v>
      </c>
      <c r="AE52" s="12">
        <f>_xlfn.MINIFS(Table1[MonthDate], Table1[Country], Table1[[#This Row],[Country]])</f>
        <v>44927</v>
      </c>
      <c r="AF52" s="12">
        <f t="shared" si="11"/>
        <v>45597</v>
      </c>
      <c r="AG52">
        <f>AD52*(1 + Scenario_Control!$B$4)</f>
        <v>8.8000000000000007</v>
      </c>
      <c r="AH52">
        <f>O52*(1 + Scenario_Control!$B$3)</f>
        <v>1526.8154999999999</v>
      </c>
      <c r="AI52">
        <f t="shared" si="12"/>
        <v>3276.8788800000002</v>
      </c>
      <c r="AJ52">
        <f t="shared" si="13"/>
        <v>-10159.097519999999</v>
      </c>
      <c r="AK52" s="29">
        <f>MIN(Q52*(1-U52), Scenario_Control!$B$2*Q52)</f>
        <v>525.95000000000005</v>
      </c>
      <c r="AL52" s="15">
        <f t="shared" si="14"/>
        <v>0</v>
      </c>
      <c r="AM52" s="8">
        <f>DATEDIF(Table1[[#This Row],[Country_FirstMonth]], Table1[[#This Row],[MonthDate]], "m")</f>
        <v>22</v>
      </c>
    </row>
    <row r="53" spans="1:39" x14ac:dyDescent="0.25">
      <c r="A53" t="s">
        <v>66</v>
      </c>
      <c r="B53" s="12">
        <v>45582</v>
      </c>
      <c r="C53" s="12">
        <f t="shared" si="0"/>
        <v>45602</v>
      </c>
      <c r="D53" s="2" t="str">
        <f>IF(Table1[[#This Row],[RequiredDate]]&lt;Table1[[#This Row],[OrderDate]],"Check","OK")</f>
        <v>OK</v>
      </c>
      <c r="E53" s="2">
        <v>45602</v>
      </c>
      <c r="F53" s="15">
        <f t="shared" si="1"/>
        <v>20</v>
      </c>
      <c r="G53" t="s">
        <v>647</v>
      </c>
      <c r="H53" t="s">
        <v>654</v>
      </c>
      <c r="I53" t="s">
        <v>668</v>
      </c>
      <c r="J53" t="s">
        <v>706</v>
      </c>
      <c r="K53" t="s">
        <v>710</v>
      </c>
      <c r="L53" t="s">
        <v>719</v>
      </c>
      <c r="M53" t="s">
        <v>732</v>
      </c>
      <c r="N53" t="s">
        <v>785</v>
      </c>
      <c r="O53" s="29">
        <v>72.94</v>
      </c>
      <c r="P53" t="str">
        <f>IF(Table1[[#This Row],[UnitPrice]]&lt;=0,"Check","OK")</f>
        <v>OK</v>
      </c>
      <c r="Q53" s="29">
        <f t="shared" si="2"/>
        <v>106.3</v>
      </c>
      <c r="R53">
        <v>106.3</v>
      </c>
      <c r="S53" s="5">
        <f>IF(Table1[[#This Row],[Discount_Flag]]="Check", MIN(MAX(Table1[[#This Row],[DiscountPct]],0),0.3), Table1[[#This Row],[DiscountPct]])</f>
        <v>0.29499999999999998</v>
      </c>
      <c r="T53" t="str">
        <f>IF(OR(Table1[[#This Row],[DiscountPct]]&lt;0,Table1[[#This Row],[DiscountPct]]&gt;0.3),"Check","OK")</f>
        <v>OK</v>
      </c>
      <c r="U53" s="11">
        <v>0.29499999999999998</v>
      </c>
      <c r="V53" s="15">
        <f t="shared" si="3"/>
        <v>1</v>
      </c>
      <c r="W53" s="11">
        <f t="shared" si="4"/>
        <v>2.6707498515508857E-2</v>
      </c>
      <c r="X53" s="17">
        <f t="shared" si="5"/>
        <v>583.52</v>
      </c>
      <c r="Y53" s="17">
        <f t="shared" si="6"/>
        <v>16.012000000000057</v>
      </c>
      <c r="Z53" s="17">
        <f t="shared" si="7"/>
        <v>599.53200000000004</v>
      </c>
      <c r="AA53" s="17" t="str">
        <f t="shared" si="8"/>
        <v>Q4-2024</v>
      </c>
      <c r="AB53" s="12" t="str">
        <f t="shared" si="9"/>
        <v>Oct-2024</v>
      </c>
      <c r="AC53" s="12" t="str">
        <f t="shared" si="10"/>
        <v>Low</v>
      </c>
      <c r="AD53">
        <v>8</v>
      </c>
      <c r="AE53" s="12">
        <f>_xlfn.MINIFS(Table1[MonthDate], Table1[Country], Table1[[#This Row],[Country]])</f>
        <v>44927</v>
      </c>
      <c r="AF53" s="12">
        <f t="shared" si="11"/>
        <v>45566</v>
      </c>
      <c r="AG53">
        <f>AD53*(1 + Scenario_Control!$B$4)</f>
        <v>8.8000000000000007</v>
      </c>
      <c r="AH53">
        <f>O53*(1 + Scenario_Control!$B$3)</f>
        <v>76.587000000000003</v>
      </c>
      <c r="AI53">
        <f t="shared" si="12"/>
        <v>131.89704000000003</v>
      </c>
      <c r="AJ53">
        <f t="shared" si="13"/>
        <v>-542.06856000000005</v>
      </c>
      <c r="AK53" s="29">
        <f>MIN(Q53*(1-U53), Scenario_Control!$B$2*Q53)</f>
        <v>21.26</v>
      </c>
      <c r="AL53" s="15">
        <f t="shared" si="14"/>
        <v>0</v>
      </c>
      <c r="AM53" s="8">
        <f>DATEDIF(Table1[[#This Row],[Country_FirstMonth]], Table1[[#This Row],[MonthDate]], "m")</f>
        <v>21</v>
      </c>
    </row>
    <row r="54" spans="1:39" x14ac:dyDescent="0.25">
      <c r="A54" t="s">
        <v>67</v>
      </c>
      <c r="B54" s="12">
        <v>45016</v>
      </c>
      <c r="C54" s="12">
        <f t="shared" si="0"/>
        <v>45021</v>
      </c>
      <c r="D54" s="2" t="str">
        <f>IF(Table1[[#This Row],[RequiredDate]]&lt;Table1[[#This Row],[OrderDate]],"Check","OK")</f>
        <v>OK</v>
      </c>
      <c r="E54" s="2">
        <v>45021</v>
      </c>
      <c r="F54" s="15">
        <f t="shared" si="1"/>
        <v>5</v>
      </c>
      <c r="G54" t="s">
        <v>646</v>
      </c>
      <c r="H54" t="s">
        <v>650</v>
      </c>
      <c r="I54" t="s">
        <v>678</v>
      </c>
      <c r="J54" t="s">
        <v>702</v>
      </c>
      <c r="K54" t="s">
        <v>709</v>
      </c>
      <c r="L54" t="s">
        <v>717</v>
      </c>
      <c r="M54" t="s">
        <v>731</v>
      </c>
      <c r="N54" t="s">
        <v>786</v>
      </c>
      <c r="O54" s="29">
        <v>533.26</v>
      </c>
      <c r="P54" t="str">
        <f>IF(Table1[[#This Row],[UnitPrice]]&lt;=0,"Check","OK")</f>
        <v>OK</v>
      </c>
      <c r="Q54" s="29">
        <f t="shared" si="2"/>
        <v>385.72</v>
      </c>
      <c r="R54">
        <v>385.72</v>
      </c>
      <c r="S54" s="5">
        <f>IF(Table1[[#This Row],[Discount_Flag]]="Check", MIN(MAX(Table1[[#This Row],[DiscountPct]],0),0.3), Table1[[#This Row],[DiscountPct]])</f>
        <v>0</v>
      </c>
      <c r="T54" t="str">
        <f>IF(OR(Table1[[#This Row],[DiscountPct]]&lt;0,Table1[[#This Row],[DiscountPct]]&gt;0.3),"Check","OK")</f>
        <v>OK</v>
      </c>
      <c r="U54" s="11">
        <v>0</v>
      </c>
      <c r="V54" s="15">
        <f t="shared" si="3"/>
        <v>0</v>
      </c>
      <c r="W54" s="11">
        <f t="shared" si="4"/>
        <v>-0.38250544436378708</v>
      </c>
      <c r="X54" s="17">
        <f t="shared" si="5"/>
        <v>7998.9</v>
      </c>
      <c r="Y54" s="17">
        <f t="shared" si="6"/>
        <v>-2213.0999999999995</v>
      </c>
      <c r="Z54" s="17">
        <f t="shared" si="7"/>
        <v>5785.8</v>
      </c>
      <c r="AA54" s="17" t="str">
        <f t="shared" si="8"/>
        <v>Q1-2023</v>
      </c>
      <c r="AB54" s="12" t="str">
        <f t="shared" si="9"/>
        <v>Mar-2023</v>
      </c>
      <c r="AC54" s="12" t="str">
        <f t="shared" si="10"/>
        <v>Low</v>
      </c>
      <c r="AD54">
        <v>15</v>
      </c>
      <c r="AE54" s="12">
        <f>_xlfn.MINIFS(Table1[MonthDate], Table1[Country], Table1[[#This Row],[Country]])</f>
        <v>44927</v>
      </c>
      <c r="AF54" s="12">
        <f t="shared" si="11"/>
        <v>44986</v>
      </c>
      <c r="AG54">
        <f>AD54*(1 + Scenario_Control!$B$4)</f>
        <v>16.5</v>
      </c>
      <c r="AH54">
        <f>O54*(1 + Scenario_Control!$B$3)</f>
        <v>559.923</v>
      </c>
      <c r="AI54">
        <f t="shared" si="12"/>
        <v>1272.8760000000002</v>
      </c>
      <c r="AJ54">
        <f t="shared" si="13"/>
        <v>-7965.8534999999993</v>
      </c>
      <c r="AK54" s="29">
        <f>MIN(Q54*(1-U54), Scenario_Control!$B$2*Q54)</f>
        <v>77.144000000000005</v>
      </c>
      <c r="AL54" s="15">
        <f t="shared" si="14"/>
        <v>1</v>
      </c>
      <c r="AM54" s="8">
        <f>DATEDIF(Table1[[#This Row],[Country_FirstMonth]], Table1[[#This Row],[MonthDate]], "m")</f>
        <v>2</v>
      </c>
    </row>
    <row r="55" spans="1:39" x14ac:dyDescent="0.25">
      <c r="A55" t="s">
        <v>68</v>
      </c>
      <c r="B55" s="12">
        <v>45678</v>
      </c>
      <c r="C55" s="12">
        <f t="shared" si="0"/>
        <v>45704</v>
      </c>
      <c r="D55" s="2" t="str">
        <f>IF(Table1[[#This Row],[RequiredDate]]&lt;Table1[[#This Row],[OrderDate]],"Check","OK")</f>
        <v>OK</v>
      </c>
      <c r="E55" s="2">
        <v>45704</v>
      </c>
      <c r="F55" s="15">
        <f t="shared" si="1"/>
        <v>26</v>
      </c>
      <c r="G55" t="s">
        <v>649</v>
      </c>
      <c r="H55" t="s">
        <v>657</v>
      </c>
      <c r="I55" t="s">
        <v>679</v>
      </c>
      <c r="J55" t="s">
        <v>701</v>
      </c>
      <c r="K55" t="s">
        <v>710</v>
      </c>
      <c r="L55" t="s">
        <v>719</v>
      </c>
      <c r="M55" t="s">
        <v>731</v>
      </c>
      <c r="N55" t="s">
        <v>787</v>
      </c>
      <c r="O55" s="29">
        <v>204.11</v>
      </c>
      <c r="P55" t="str">
        <f>IF(Table1[[#This Row],[UnitPrice]]&lt;=0,"Check","OK")</f>
        <v>OK</v>
      </c>
      <c r="Q55" s="29">
        <f t="shared" si="2"/>
        <v>236.87</v>
      </c>
      <c r="R55">
        <v>236.87</v>
      </c>
      <c r="S55" s="5">
        <f>IF(Table1[[#This Row],[Discount_Flag]]="Check", MIN(MAX(Table1[[#This Row],[DiscountPct]],0),0.3), Table1[[#This Row],[DiscountPct]])</f>
        <v>0.182</v>
      </c>
      <c r="T55" t="str">
        <f>IF(OR(Table1[[#This Row],[DiscountPct]]&lt;0,Table1[[#This Row],[DiscountPct]]&gt;0.3),"Check","OK")</f>
        <v>OK</v>
      </c>
      <c r="U55" s="11">
        <v>0.182</v>
      </c>
      <c r="V55" s="15">
        <f t="shared" si="3"/>
        <v>0</v>
      </c>
      <c r="W55" s="11">
        <f t="shared" si="4"/>
        <v>-5.3418446337075494E-2</v>
      </c>
      <c r="X55" s="17">
        <f t="shared" si="5"/>
        <v>2653.4300000000003</v>
      </c>
      <c r="Y55" s="17">
        <f t="shared" si="6"/>
        <v>-134.55441999999994</v>
      </c>
      <c r="Z55" s="17">
        <f t="shared" si="7"/>
        <v>2518.8755800000004</v>
      </c>
      <c r="AA55" s="17" t="str">
        <f t="shared" si="8"/>
        <v>Q1-2025</v>
      </c>
      <c r="AB55" s="12" t="str">
        <f t="shared" si="9"/>
        <v>Jan-2025</v>
      </c>
      <c r="AC55" s="12" t="str">
        <f t="shared" si="10"/>
        <v>Low</v>
      </c>
      <c r="AD55">
        <v>13</v>
      </c>
      <c r="AE55" s="12">
        <f>_xlfn.MINIFS(Table1[MonthDate], Table1[Country], Table1[[#This Row],[Country]])</f>
        <v>44927</v>
      </c>
      <c r="AF55" s="12">
        <f t="shared" si="11"/>
        <v>45658</v>
      </c>
      <c r="AG55">
        <f>AD55*(1 + Scenario_Control!$B$4)</f>
        <v>14.3</v>
      </c>
      <c r="AH55">
        <f>O55*(1 + Scenario_Control!$B$3)</f>
        <v>214.31550000000001</v>
      </c>
      <c r="AI55">
        <f t="shared" si="12"/>
        <v>554.15262760000007</v>
      </c>
      <c r="AJ55">
        <f t="shared" si="13"/>
        <v>-2510.5590224000002</v>
      </c>
      <c r="AK55" s="29">
        <f>MIN(Q55*(1-U55), Scenario_Control!$B$2*Q55)</f>
        <v>47.374000000000002</v>
      </c>
      <c r="AL55" s="15">
        <f t="shared" si="14"/>
        <v>0</v>
      </c>
      <c r="AM55" s="8">
        <f>DATEDIF(Table1[[#This Row],[Country_FirstMonth]], Table1[[#This Row],[MonthDate]], "m")</f>
        <v>24</v>
      </c>
    </row>
    <row r="56" spans="1:39" x14ac:dyDescent="0.25">
      <c r="A56" t="s">
        <v>69</v>
      </c>
      <c r="B56" s="12">
        <v>45168</v>
      </c>
      <c r="C56" s="12">
        <f t="shared" si="0"/>
        <v>45170</v>
      </c>
      <c r="D56" s="2" t="str">
        <f>IF(Table1[[#This Row],[RequiredDate]]&lt;Table1[[#This Row],[OrderDate]],"Check","OK")</f>
        <v>OK</v>
      </c>
      <c r="E56" s="2">
        <v>45170</v>
      </c>
      <c r="F56" s="15">
        <f t="shared" si="1"/>
        <v>2</v>
      </c>
      <c r="G56" t="s">
        <v>649</v>
      </c>
      <c r="H56" t="s">
        <v>656</v>
      </c>
      <c r="I56" t="s">
        <v>684</v>
      </c>
      <c r="J56" t="s">
        <v>701</v>
      </c>
      <c r="K56" t="s">
        <v>711</v>
      </c>
      <c r="L56" t="s">
        <v>725</v>
      </c>
      <c r="M56" t="s">
        <v>729</v>
      </c>
      <c r="N56" t="s">
        <v>788</v>
      </c>
      <c r="O56" s="29">
        <v>44.42</v>
      </c>
      <c r="P56" t="str">
        <f>IF(Table1[[#This Row],[UnitPrice]]&lt;=0,"Check","OK")</f>
        <v>OK</v>
      </c>
      <c r="Q56" s="29">
        <f t="shared" si="2"/>
        <v>41.9</v>
      </c>
      <c r="R56">
        <v>41.9</v>
      </c>
      <c r="S56" s="5">
        <f>IF(Table1[[#This Row],[Discount_Flag]]="Check", MIN(MAX(Table1[[#This Row],[DiscountPct]],0),0.3), Table1[[#This Row],[DiscountPct]])</f>
        <v>0.14399999999999999</v>
      </c>
      <c r="T56" t="str">
        <f>IF(OR(Table1[[#This Row],[DiscountPct]]&lt;0,Table1[[#This Row],[DiscountPct]]&gt;0.3),"Check","OK")</f>
        <v>OK</v>
      </c>
      <c r="U56" s="11">
        <v>0.14399999999999999</v>
      </c>
      <c r="V56" s="15">
        <f t="shared" si="3"/>
        <v>0</v>
      </c>
      <c r="W56" s="11">
        <f t="shared" si="4"/>
        <v>-0.23848504449847224</v>
      </c>
      <c r="X56" s="17">
        <f t="shared" si="5"/>
        <v>266.52</v>
      </c>
      <c r="Y56" s="17">
        <f t="shared" si="6"/>
        <v>-51.321600000000018</v>
      </c>
      <c r="Z56" s="17">
        <f t="shared" si="7"/>
        <v>215.19839999999996</v>
      </c>
      <c r="AA56" s="17" t="str">
        <f t="shared" si="8"/>
        <v>Q3-2023</v>
      </c>
      <c r="AB56" s="12" t="str">
        <f t="shared" si="9"/>
        <v>Aug-2023</v>
      </c>
      <c r="AC56" s="12" t="str">
        <f t="shared" si="10"/>
        <v>Low</v>
      </c>
      <c r="AD56">
        <v>6</v>
      </c>
      <c r="AE56" s="12">
        <f>_xlfn.MINIFS(Table1[MonthDate], Table1[Country], Table1[[#This Row],[Country]])</f>
        <v>44927</v>
      </c>
      <c r="AF56" s="12">
        <f t="shared" si="11"/>
        <v>45139</v>
      </c>
      <c r="AG56">
        <f>AD56*(1 + Scenario_Control!$B$4)</f>
        <v>6.6000000000000005</v>
      </c>
      <c r="AH56">
        <f>O56*(1 + Scenario_Control!$B$3)</f>
        <v>46.641000000000005</v>
      </c>
      <c r="AI56">
        <f t="shared" si="12"/>
        <v>47.343648000000002</v>
      </c>
      <c r="AJ56">
        <f t="shared" si="13"/>
        <v>-260.48695200000009</v>
      </c>
      <c r="AK56" s="29">
        <f>MIN(Q56*(1-U56), Scenario_Control!$B$2*Q56)</f>
        <v>8.3800000000000008</v>
      </c>
      <c r="AL56" s="15">
        <f t="shared" si="14"/>
        <v>1</v>
      </c>
      <c r="AM56" s="8">
        <f>DATEDIF(Table1[[#This Row],[Country_FirstMonth]], Table1[[#This Row],[MonthDate]], "m")</f>
        <v>7</v>
      </c>
    </row>
    <row r="57" spans="1:39" x14ac:dyDescent="0.25">
      <c r="A57" t="s">
        <v>70</v>
      </c>
      <c r="B57" s="12">
        <v>45753</v>
      </c>
      <c r="C57" s="12">
        <f t="shared" si="0"/>
        <v>45777</v>
      </c>
      <c r="D57" s="2" t="str">
        <f>IF(Table1[[#This Row],[RequiredDate]]&lt;Table1[[#This Row],[OrderDate]],"Check","OK")</f>
        <v>OK</v>
      </c>
      <c r="E57" s="2">
        <v>45777</v>
      </c>
      <c r="F57" s="15">
        <f t="shared" si="1"/>
        <v>24</v>
      </c>
      <c r="G57" t="s">
        <v>648</v>
      </c>
      <c r="H57" t="s">
        <v>655</v>
      </c>
      <c r="I57" t="s">
        <v>672</v>
      </c>
      <c r="J57" t="s">
        <v>702</v>
      </c>
      <c r="K57" t="s">
        <v>708</v>
      </c>
      <c r="L57" t="s">
        <v>723</v>
      </c>
      <c r="M57" t="s">
        <v>732</v>
      </c>
      <c r="N57" t="s">
        <v>789</v>
      </c>
      <c r="O57" s="29">
        <v>855.78</v>
      </c>
      <c r="P57" t="str">
        <f>IF(Table1[[#This Row],[UnitPrice]]&lt;=0,"Check","OK")</f>
        <v>OK</v>
      </c>
      <c r="Q57" s="29">
        <f t="shared" si="2"/>
        <v>977.38</v>
      </c>
      <c r="R57">
        <v>977.38</v>
      </c>
      <c r="S57" s="5">
        <f>IF(Table1[[#This Row],[Discount_Flag]]="Check", MIN(MAX(Table1[[#This Row],[DiscountPct]],0),0.3), Table1[[#This Row],[DiscountPct]])</f>
        <v>0.14699999999999999</v>
      </c>
      <c r="T57" t="str">
        <f>IF(OR(Table1[[#This Row],[DiscountPct]]&lt;0,Table1[[#This Row],[DiscountPct]]&gt;0.3),"Check","OK")</f>
        <v>OK</v>
      </c>
      <c r="U57" s="11">
        <v>0.14699999999999999</v>
      </c>
      <c r="V57" s="15">
        <f t="shared" si="3"/>
        <v>0</v>
      </c>
      <c r="W57" s="11">
        <f t="shared" si="4"/>
        <v>-2.6478018355506307E-2</v>
      </c>
      <c r="X57" s="17">
        <f t="shared" si="5"/>
        <v>32519.64</v>
      </c>
      <c r="Y57" s="17">
        <f t="shared" si="6"/>
        <v>-838.84467999999833</v>
      </c>
      <c r="Z57" s="17">
        <f t="shared" si="7"/>
        <v>31680.795320000001</v>
      </c>
      <c r="AA57" s="17" t="str">
        <f t="shared" si="8"/>
        <v>Q2-2025</v>
      </c>
      <c r="AB57" s="12" t="str">
        <f t="shared" si="9"/>
        <v>Apr-2025</v>
      </c>
      <c r="AC57" s="12" t="str">
        <f t="shared" si="10"/>
        <v>Medium</v>
      </c>
      <c r="AD57">
        <v>38</v>
      </c>
      <c r="AE57" s="12">
        <f>_xlfn.MINIFS(Table1[MonthDate], Table1[Country], Table1[[#This Row],[Country]])</f>
        <v>44927</v>
      </c>
      <c r="AF57" s="12">
        <f t="shared" si="11"/>
        <v>45748</v>
      </c>
      <c r="AG57">
        <f>AD57*(1 + Scenario_Control!$B$4)</f>
        <v>41.800000000000004</v>
      </c>
      <c r="AH57">
        <f>O57*(1 + Scenario_Control!$B$3)</f>
        <v>898.56899999999996</v>
      </c>
      <c r="AI57">
        <f t="shared" si="12"/>
        <v>6969.7749703999998</v>
      </c>
      <c r="AJ57">
        <f t="shared" si="13"/>
        <v>-30590.409229600002</v>
      </c>
      <c r="AK57" s="29">
        <f>MIN(Q57*(1-U57), Scenario_Control!$B$2*Q57)</f>
        <v>195.476</v>
      </c>
      <c r="AL57" s="15">
        <f t="shared" si="14"/>
        <v>0</v>
      </c>
      <c r="AM57" s="8">
        <f>DATEDIF(Table1[[#This Row],[Country_FirstMonth]], Table1[[#This Row],[MonthDate]], "m")</f>
        <v>27</v>
      </c>
    </row>
    <row r="58" spans="1:39" x14ac:dyDescent="0.25">
      <c r="A58" t="s">
        <v>71</v>
      </c>
      <c r="B58" s="12">
        <v>45697</v>
      </c>
      <c r="C58" s="12">
        <f t="shared" si="0"/>
        <v>45717</v>
      </c>
      <c r="D58" s="2" t="str">
        <f>IF(Table1[[#This Row],[RequiredDate]]&lt;Table1[[#This Row],[OrderDate]],"Check","OK")</f>
        <v>OK</v>
      </c>
      <c r="E58" s="2">
        <v>45717</v>
      </c>
      <c r="F58" s="15">
        <f t="shared" si="1"/>
        <v>20</v>
      </c>
      <c r="G58" t="s">
        <v>648</v>
      </c>
      <c r="H58" t="s">
        <v>655</v>
      </c>
      <c r="I58" t="s">
        <v>670</v>
      </c>
      <c r="J58" t="s">
        <v>701</v>
      </c>
      <c r="K58" t="s">
        <v>710</v>
      </c>
      <c r="L58" t="s">
        <v>717</v>
      </c>
      <c r="M58" t="s">
        <v>731</v>
      </c>
      <c r="N58" t="s">
        <v>790</v>
      </c>
      <c r="O58" s="29">
        <v>1154.6400000000001</v>
      </c>
      <c r="P58" t="str">
        <f>IF(Table1[[#This Row],[UnitPrice]]&lt;=0,"Check","OK")</f>
        <v>OK</v>
      </c>
      <c r="Q58" s="29">
        <f t="shared" si="2"/>
        <v>2794.13</v>
      </c>
      <c r="R58">
        <v>2794.13</v>
      </c>
      <c r="S58" s="5">
        <f>IF(Table1[[#This Row],[Discount_Flag]]="Check", MIN(MAX(Table1[[#This Row],[DiscountPct]],0),0.3), Table1[[#This Row],[DiscountPct]])</f>
        <v>3.5000000000000003E-2</v>
      </c>
      <c r="T58" t="str">
        <f>IF(OR(Table1[[#This Row],[DiscountPct]]&lt;0,Table1[[#This Row],[DiscountPct]]&gt;0.3),"Check","OK")</f>
        <v>OK</v>
      </c>
      <c r="U58" s="11">
        <v>3.5000000000000003E-2</v>
      </c>
      <c r="V58" s="15">
        <f t="shared" si="3"/>
        <v>0</v>
      </c>
      <c r="W58" s="11">
        <f t="shared" si="4"/>
        <v>0.57177435025749479</v>
      </c>
      <c r="X58" s="17">
        <f t="shared" si="5"/>
        <v>12701.04</v>
      </c>
      <c r="Y58" s="17">
        <f t="shared" si="6"/>
        <v>16958.649949999999</v>
      </c>
      <c r="Z58" s="17">
        <f t="shared" si="7"/>
        <v>29659.68995</v>
      </c>
      <c r="AA58" s="17" t="str">
        <f t="shared" si="8"/>
        <v>Q1-2025</v>
      </c>
      <c r="AB58" s="12" t="str">
        <f t="shared" si="9"/>
        <v>Feb-2025</v>
      </c>
      <c r="AC58" s="12" t="str">
        <f t="shared" si="10"/>
        <v>High</v>
      </c>
      <c r="AD58">
        <v>11</v>
      </c>
      <c r="AE58" s="12">
        <f>_xlfn.MINIFS(Table1[MonthDate], Table1[Country], Table1[[#This Row],[Country]])</f>
        <v>44927</v>
      </c>
      <c r="AF58" s="12">
        <f t="shared" si="11"/>
        <v>45689</v>
      </c>
      <c r="AG58">
        <f>AD58*(1 + Scenario_Control!$B$4)</f>
        <v>12.100000000000001</v>
      </c>
      <c r="AH58">
        <f>O58*(1 + Scenario_Control!$B$3)</f>
        <v>1212.3720000000001</v>
      </c>
      <c r="AI58">
        <f t="shared" si="12"/>
        <v>6525.1317890000009</v>
      </c>
      <c r="AJ58">
        <f t="shared" si="13"/>
        <v>-8144.5694110000022</v>
      </c>
      <c r="AK58" s="29">
        <f>MIN(Q58*(1-U58), Scenario_Control!$B$2*Q58)</f>
        <v>558.82600000000002</v>
      </c>
      <c r="AL58" s="15">
        <f t="shared" si="14"/>
        <v>0</v>
      </c>
      <c r="AM58" s="8">
        <f>DATEDIF(Table1[[#This Row],[Country_FirstMonth]], Table1[[#This Row],[MonthDate]], "m")</f>
        <v>25</v>
      </c>
    </row>
    <row r="59" spans="1:39" x14ac:dyDescent="0.25">
      <c r="A59" t="s">
        <v>72</v>
      </c>
      <c r="B59" s="12">
        <v>45643</v>
      </c>
      <c r="C59" s="12">
        <f t="shared" si="0"/>
        <v>45644</v>
      </c>
      <c r="D59" s="2" t="str">
        <f>IF(Table1[[#This Row],[RequiredDate]]&lt;Table1[[#This Row],[OrderDate]],"Check","OK")</f>
        <v>OK</v>
      </c>
      <c r="E59" s="2">
        <v>45644</v>
      </c>
      <c r="F59" s="15">
        <f t="shared" si="1"/>
        <v>1</v>
      </c>
      <c r="G59" t="s">
        <v>649</v>
      </c>
      <c r="H59" t="s">
        <v>656</v>
      </c>
      <c r="I59" t="s">
        <v>684</v>
      </c>
      <c r="J59" t="s">
        <v>702</v>
      </c>
      <c r="K59" t="s">
        <v>707</v>
      </c>
      <c r="L59" t="s">
        <v>716</v>
      </c>
      <c r="M59" t="s">
        <v>733</v>
      </c>
      <c r="N59" t="s">
        <v>791</v>
      </c>
      <c r="O59" s="29">
        <v>346.82</v>
      </c>
      <c r="P59" t="str">
        <f>IF(Table1[[#This Row],[UnitPrice]]&lt;=0,"Check","OK")</f>
        <v>OK</v>
      </c>
      <c r="Q59" s="29">
        <f t="shared" si="2"/>
        <v>701.95</v>
      </c>
      <c r="R59">
        <v>701.95</v>
      </c>
      <c r="S59" s="5">
        <f>IF(Table1[[#This Row],[Discount_Flag]]="Check", MIN(MAX(Table1[[#This Row],[DiscountPct]],0),0.3), Table1[[#This Row],[DiscountPct]])</f>
        <v>0.14699999999999999</v>
      </c>
      <c r="T59" t="str">
        <f>IF(OR(Table1[[#This Row],[DiscountPct]]&lt;0,Table1[[#This Row],[DiscountPct]]&gt;0.3),"Check","OK")</f>
        <v>OK</v>
      </c>
      <c r="U59" s="11">
        <v>0.14699999999999999</v>
      </c>
      <c r="V59" s="15">
        <f t="shared" si="3"/>
        <v>0</v>
      </c>
      <c r="W59" s="11">
        <f t="shared" si="4"/>
        <v>0.42077283120284509</v>
      </c>
      <c r="X59" s="17">
        <f t="shared" si="5"/>
        <v>2774.56</v>
      </c>
      <c r="Y59" s="17">
        <f t="shared" si="6"/>
        <v>2015.5468000000005</v>
      </c>
      <c r="Z59" s="17">
        <f t="shared" si="7"/>
        <v>4790.1068000000005</v>
      </c>
      <c r="AA59" s="17" t="str">
        <f t="shared" si="8"/>
        <v>Q4-2024</v>
      </c>
      <c r="AB59" s="12" t="str">
        <f t="shared" si="9"/>
        <v>Dec-2024</v>
      </c>
      <c r="AC59" s="12" t="str">
        <f t="shared" si="10"/>
        <v>Medium</v>
      </c>
      <c r="AD59">
        <v>8</v>
      </c>
      <c r="AE59" s="12">
        <f>_xlfn.MINIFS(Table1[MonthDate], Table1[Country], Table1[[#This Row],[Country]])</f>
        <v>44927</v>
      </c>
      <c r="AF59" s="12">
        <f t="shared" si="11"/>
        <v>45627</v>
      </c>
      <c r="AG59">
        <f>AD59*(1 + Scenario_Control!$B$4)</f>
        <v>8.8000000000000007</v>
      </c>
      <c r="AH59">
        <f>O59*(1 + Scenario_Control!$B$3)</f>
        <v>364.161</v>
      </c>
      <c r="AI59">
        <f t="shared" si="12"/>
        <v>1053.8234960000002</v>
      </c>
      <c r="AJ59">
        <f t="shared" si="13"/>
        <v>-2150.7933039999998</v>
      </c>
      <c r="AK59" s="29">
        <f>MIN(Q59*(1-U59), Scenario_Control!$B$2*Q59)</f>
        <v>140.39000000000001</v>
      </c>
      <c r="AL59" s="15">
        <f t="shared" si="14"/>
        <v>1</v>
      </c>
      <c r="AM59" s="8">
        <f>DATEDIF(Table1[[#This Row],[Country_FirstMonth]], Table1[[#This Row],[MonthDate]], "m")</f>
        <v>23</v>
      </c>
    </row>
    <row r="60" spans="1:39" x14ac:dyDescent="0.25">
      <c r="A60" t="s">
        <v>73</v>
      </c>
      <c r="B60" s="12">
        <v>45817</v>
      </c>
      <c r="C60" s="12">
        <f t="shared" si="0"/>
        <v>45826</v>
      </c>
      <c r="D60" s="2" t="str">
        <f>IF(Table1[[#This Row],[RequiredDate]]&lt;Table1[[#This Row],[OrderDate]],"Check","OK")</f>
        <v>OK</v>
      </c>
      <c r="E60" s="2">
        <v>45826</v>
      </c>
      <c r="F60" s="15">
        <f t="shared" si="1"/>
        <v>9</v>
      </c>
      <c r="G60" t="s">
        <v>649</v>
      </c>
      <c r="H60" t="s">
        <v>657</v>
      </c>
      <c r="I60" t="s">
        <v>673</v>
      </c>
      <c r="J60" t="s">
        <v>705</v>
      </c>
      <c r="K60" t="s">
        <v>709</v>
      </c>
      <c r="L60" t="s">
        <v>722</v>
      </c>
      <c r="M60" t="s">
        <v>733</v>
      </c>
      <c r="N60" t="s">
        <v>792</v>
      </c>
      <c r="O60" s="29">
        <v>1225.5</v>
      </c>
      <c r="P60" t="str">
        <f>IF(Table1[[#This Row],[UnitPrice]]&lt;=0,"Check","OK")</f>
        <v>Check</v>
      </c>
      <c r="Q60" s="29">
        <f t="shared" si="2"/>
        <v>0</v>
      </c>
      <c r="R60">
        <v>-5.27</v>
      </c>
      <c r="S60" s="5">
        <f>IF(Table1[[#This Row],[Discount_Flag]]="Check", MIN(MAX(Table1[[#This Row],[DiscountPct]],0),0.3), Table1[[#This Row],[DiscountPct]])</f>
        <v>7.4999999999999997E-2</v>
      </c>
      <c r="T60" t="str">
        <f>IF(OR(Table1[[#This Row],[DiscountPct]]&lt;0,Table1[[#This Row],[DiscountPct]]&gt;0.3),"Check","OK")</f>
        <v>OK</v>
      </c>
      <c r="U60" s="11">
        <v>7.4999999999999997E-2</v>
      </c>
      <c r="V60" s="15">
        <f t="shared" si="3"/>
        <v>0</v>
      </c>
      <c r="W60" s="11">
        <f t="shared" si="4"/>
        <v>0</v>
      </c>
      <c r="X60" s="17">
        <f t="shared" si="5"/>
        <v>68628</v>
      </c>
      <c r="Y60" s="17">
        <f t="shared" si="6"/>
        <v>-68628</v>
      </c>
      <c r="Z60" s="17">
        <f t="shared" si="7"/>
        <v>0</v>
      </c>
      <c r="AA60" s="17" t="str">
        <f t="shared" si="8"/>
        <v>Q2-2025</v>
      </c>
      <c r="AB60" s="12" t="str">
        <f t="shared" si="9"/>
        <v>Jun-2025</v>
      </c>
      <c r="AC60" s="12" t="str">
        <f t="shared" si="10"/>
        <v>Low</v>
      </c>
      <c r="AD60">
        <v>56</v>
      </c>
      <c r="AE60" s="12">
        <f>_xlfn.MINIFS(Table1[MonthDate], Table1[Country], Table1[[#This Row],[Country]])</f>
        <v>44927</v>
      </c>
      <c r="AF60" s="12">
        <f t="shared" si="11"/>
        <v>45809</v>
      </c>
      <c r="AG60">
        <f>AD60*(1 + Scenario_Control!$B$4)</f>
        <v>61.600000000000009</v>
      </c>
      <c r="AH60">
        <f>O60*(1 + Scenario_Control!$B$3)</f>
        <v>1286.7750000000001</v>
      </c>
      <c r="AI60">
        <f t="shared" si="12"/>
        <v>0</v>
      </c>
      <c r="AJ60">
        <f t="shared" si="13"/>
        <v>-79265.340000000011</v>
      </c>
      <c r="AK60" s="29">
        <f>MIN(Q60*(1-U60), Scenario_Control!$B$2*Q60)</f>
        <v>0</v>
      </c>
      <c r="AL60" s="15">
        <f t="shared" si="14"/>
        <v>0</v>
      </c>
      <c r="AM60" s="8">
        <f>DATEDIF(Table1[[#This Row],[Country_FirstMonth]], Table1[[#This Row],[MonthDate]], "m")</f>
        <v>29</v>
      </c>
    </row>
    <row r="61" spans="1:39" x14ac:dyDescent="0.25">
      <c r="A61" t="s">
        <v>74</v>
      </c>
      <c r="B61" s="12">
        <v>45779</v>
      </c>
      <c r="C61" s="12">
        <f t="shared" si="0"/>
        <v>45790</v>
      </c>
      <c r="D61" s="2" t="str">
        <f>IF(Table1[[#This Row],[RequiredDate]]&lt;Table1[[#This Row],[OrderDate]],"Check","OK")</f>
        <v>OK</v>
      </c>
      <c r="E61" s="2">
        <v>45790</v>
      </c>
      <c r="F61" s="15">
        <f t="shared" si="1"/>
        <v>11</v>
      </c>
      <c r="G61" t="s">
        <v>646</v>
      </c>
      <c r="H61" t="s">
        <v>650</v>
      </c>
      <c r="I61" t="s">
        <v>678</v>
      </c>
      <c r="J61" t="s">
        <v>705</v>
      </c>
      <c r="K61" t="s">
        <v>708</v>
      </c>
      <c r="L61" t="s">
        <v>720</v>
      </c>
      <c r="M61" t="s">
        <v>733</v>
      </c>
      <c r="N61" t="s">
        <v>793</v>
      </c>
      <c r="O61" s="29">
        <v>1057.5999999999999</v>
      </c>
      <c r="P61" t="str">
        <f>IF(Table1[[#This Row],[UnitPrice]]&lt;=0,"Check","OK")</f>
        <v>OK</v>
      </c>
      <c r="Q61" s="29">
        <f t="shared" si="2"/>
        <v>1437.06</v>
      </c>
      <c r="R61">
        <v>1437.06</v>
      </c>
      <c r="S61" s="5">
        <f>IF(Table1[[#This Row],[Discount_Flag]]="Check", MIN(MAX(Table1[[#This Row],[DiscountPct]],0),0.3), Table1[[#This Row],[DiscountPct]])</f>
        <v>0.20499999999999999</v>
      </c>
      <c r="T61" t="str">
        <f>IF(OR(Table1[[#This Row],[DiscountPct]]&lt;0,Table1[[#This Row],[DiscountPct]]&gt;0.3),"Check","OK")</f>
        <v>OK</v>
      </c>
      <c r="U61" s="11">
        <v>0.20499999999999999</v>
      </c>
      <c r="V61" s="15">
        <f t="shared" si="3"/>
        <v>1</v>
      </c>
      <c r="W61" s="11">
        <f t="shared" si="4"/>
        <v>7.4280499485891424E-2</v>
      </c>
      <c r="X61" s="17">
        <f t="shared" si="5"/>
        <v>4230.3999999999996</v>
      </c>
      <c r="Y61" s="17">
        <f t="shared" si="6"/>
        <v>339.45080000000053</v>
      </c>
      <c r="Z61" s="17">
        <f t="shared" si="7"/>
        <v>4569.8508000000002</v>
      </c>
      <c r="AA61" s="17" t="str">
        <f t="shared" si="8"/>
        <v>Q2-2025</v>
      </c>
      <c r="AB61" s="12" t="str">
        <f t="shared" si="9"/>
        <v>May-2025</v>
      </c>
      <c r="AC61" s="12" t="str">
        <f t="shared" si="10"/>
        <v>Medium</v>
      </c>
      <c r="AD61">
        <v>4</v>
      </c>
      <c r="AE61" s="12">
        <f>_xlfn.MINIFS(Table1[MonthDate], Table1[Country], Table1[[#This Row],[Country]])</f>
        <v>44927</v>
      </c>
      <c r="AF61" s="12">
        <f t="shared" si="11"/>
        <v>45778</v>
      </c>
      <c r="AG61">
        <f>AD61*(1 + Scenario_Control!$B$4)</f>
        <v>4.4000000000000004</v>
      </c>
      <c r="AH61">
        <f>O61*(1 + Scenario_Control!$B$3)</f>
        <v>1110.48</v>
      </c>
      <c r="AI61">
        <f t="shared" si="12"/>
        <v>1005.3671760000001</v>
      </c>
      <c r="AJ61">
        <f t="shared" si="13"/>
        <v>-3880.7448239999999</v>
      </c>
      <c r="AK61" s="29">
        <f>MIN(Q61*(1-U61), Scenario_Control!$B$2*Q61)</f>
        <v>287.41199999999998</v>
      </c>
      <c r="AL61" s="15">
        <f t="shared" si="14"/>
        <v>0</v>
      </c>
      <c r="AM61" s="8">
        <f>DATEDIF(Table1[[#This Row],[Country_FirstMonth]], Table1[[#This Row],[MonthDate]], "m")</f>
        <v>28</v>
      </c>
    </row>
    <row r="62" spans="1:39" x14ac:dyDescent="0.25">
      <c r="A62" t="s">
        <v>75</v>
      </c>
      <c r="B62" s="12">
        <v>45361</v>
      </c>
      <c r="C62" s="12">
        <f t="shared" si="0"/>
        <v>45391</v>
      </c>
      <c r="D62" s="2" t="str">
        <f>IF(Table1[[#This Row],[RequiredDate]]&lt;Table1[[#This Row],[OrderDate]],"Check","OK")</f>
        <v>OK</v>
      </c>
      <c r="E62" s="2">
        <v>45391</v>
      </c>
      <c r="F62" s="15">
        <f t="shared" si="1"/>
        <v>30</v>
      </c>
      <c r="G62" t="s">
        <v>649</v>
      </c>
      <c r="H62" t="s">
        <v>657</v>
      </c>
      <c r="I62" t="s">
        <v>679</v>
      </c>
      <c r="J62" t="s">
        <v>701</v>
      </c>
      <c r="K62" t="s">
        <v>711</v>
      </c>
      <c r="L62" t="s">
        <v>714</v>
      </c>
      <c r="M62" t="s">
        <v>727</v>
      </c>
      <c r="N62" t="s">
        <v>794</v>
      </c>
      <c r="O62" s="29">
        <v>1176.56</v>
      </c>
      <c r="P62" t="str">
        <f>IF(Table1[[#This Row],[UnitPrice]]&lt;=0,"Check","OK")</f>
        <v>OK</v>
      </c>
      <c r="Q62" s="29">
        <f t="shared" si="2"/>
        <v>1911.89</v>
      </c>
      <c r="R62">
        <v>1911.89</v>
      </c>
      <c r="S62" s="5">
        <f>IF(Table1[[#This Row],[Discount_Flag]]="Check", MIN(MAX(Table1[[#This Row],[DiscountPct]],0),0.3), Table1[[#This Row],[DiscountPct]])</f>
        <v>0.11899999999999999</v>
      </c>
      <c r="T62" t="str">
        <f>IF(OR(Table1[[#This Row],[DiscountPct]]&lt;0,Table1[[#This Row],[DiscountPct]]&gt;0.3),"Check","OK")</f>
        <v>OK</v>
      </c>
      <c r="U62" s="11">
        <v>0.11899999999999999</v>
      </c>
      <c r="V62" s="15">
        <f t="shared" si="3"/>
        <v>0</v>
      </c>
      <c r="W62" s="11">
        <f t="shared" si="4"/>
        <v>0.30148575160892477</v>
      </c>
      <c r="X62" s="17">
        <f t="shared" si="5"/>
        <v>23531.199999999997</v>
      </c>
      <c r="Y62" s="17">
        <f t="shared" si="6"/>
        <v>10156.301800000008</v>
      </c>
      <c r="Z62" s="17">
        <f t="shared" si="7"/>
        <v>33687.501800000005</v>
      </c>
      <c r="AA62" s="17" t="str">
        <f t="shared" si="8"/>
        <v>Q1-2024</v>
      </c>
      <c r="AB62" s="12" t="str">
        <f t="shared" si="9"/>
        <v>Mar-2024</v>
      </c>
      <c r="AC62" s="12" t="str">
        <f t="shared" si="10"/>
        <v>Medium</v>
      </c>
      <c r="AD62">
        <v>20</v>
      </c>
      <c r="AE62" s="12">
        <f>_xlfn.MINIFS(Table1[MonthDate], Table1[Country], Table1[[#This Row],[Country]])</f>
        <v>44927</v>
      </c>
      <c r="AF62" s="12">
        <f t="shared" si="11"/>
        <v>45352</v>
      </c>
      <c r="AG62">
        <f>AD62*(1 + Scenario_Control!$B$4)</f>
        <v>22</v>
      </c>
      <c r="AH62">
        <f>O62*(1 + Scenario_Control!$B$3)</f>
        <v>1235.3879999999999</v>
      </c>
      <c r="AI62">
        <f t="shared" si="12"/>
        <v>7411.2503960000004</v>
      </c>
      <c r="AJ62">
        <f t="shared" si="13"/>
        <v>-19767.285604000001</v>
      </c>
      <c r="AK62" s="29">
        <f>MIN(Q62*(1-U62), Scenario_Control!$B$2*Q62)</f>
        <v>382.37800000000004</v>
      </c>
      <c r="AL62" s="15">
        <f t="shared" si="14"/>
        <v>0</v>
      </c>
      <c r="AM62" s="8">
        <f>DATEDIF(Table1[[#This Row],[Country_FirstMonth]], Table1[[#This Row],[MonthDate]], "m")</f>
        <v>14</v>
      </c>
    </row>
    <row r="63" spans="1:39" x14ac:dyDescent="0.25">
      <c r="A63" t="s">
        <v>76</v>
      </c>
      <c r="B63" s="12">
        <v>45910</v>
      </c>
      <c r="C63" s="12">
        <f t="shared" si="0"/>
        <v>45912</v>
      </c>
      <c r="D63" s="2" t="str">
        <f>IF(Table1[[#This Row],[RequiredDate]]&lt;Table1[[#This Row],[OrderDate]],"Check","OK")</f>
        <v>OK</v>
      </c>
      <c r="E63" s="2">
        <v>45912</v>
      </c>
      <c r="F63" s="15">
        <f t="shared" si="1"/>
        <v>2</v>
      </c>
      <c r="G63" t="s">
        <v>647</v>
      </c>
      <c r="H63" t="s">
        <v>652</v>
      </c>
      <c r="I63" t="s">
        <v>689</v>
      </c>
      <c r="J63" t="s">
        <v>704</v>
      </c>
      <c r="K63" t="s">
        <v>708</v>
      </c>
      <c r="L63" t="s">
        <v>719</v>
      </c>
      <c r="M63" t="s">
        <v>727</v>
      </c>
      <c r="N63" t="s">
        <v>795</v>
      </c>
      <c r="O63" s="29">
        <v>1470.15</v>
      </c>
      <c r="P63" t="str">
        <f>IF(Table1[[#This Row],[UnitPrice]]&lt;=0,"Check","OK")</f>
        <v>OK</v>
      </c>
      <c r="Q63" s="29">
        <f t="shared" si="2"/>
        <v>2593.7800000000002</v>
      </c>
      <c r="R63">
        <v>2593.7800000000002</v>
      </c>
      <c r="S63" s="5">
        <f>IF(Table1[[#This Row],[Discount_Flag]]="Check", MIN(MAX(Table1[[#This Row],[DiscountPct]],0),0.3), Table1[[#This Row],[DiscountPct]])</f>
        <v>0.11</v>
      </c>
      <c r="T63" t="str">
        <f>IF(OR(Table1[[#This Row],[DiscountPct]]&lt;0,Table1[[#This Row],[DiscountPct]]&gt;0.3),"Check","OK")</f>
        <v>OK</v>
      </c>
      <c r="U63" s="11">
        <v>0.11</v>
      </c>
      <c r="V63" s="15">
        <f t="shared" si="3"/>
        <v>0</v>
      </c>
      <c r="W63" s="11">
        <f t="shared" si="4"/>
        <v>0.36314801849645306</v>
      </c>
      <c r="X63" s="17">
        <f t="shared" si="5"/>
        <v>17641.800000000003</v>
      </c>
      <c r="Y63" s="17">
        <f t="shared" si="6"/>
        <v>10059.770399999998</v>
      </c>
      <c r="Z63" s="17">
        <f t="shared" si="7"/>
        <v>27701.570400000001</v>
      </c>
      <c r="AA63" s="17" t="str">
        <f t="shared" si="8"/>
        <v>Q3-2025</v>
      </c>
      <c r="AB63" s="12" t="str">
        <f t="shared" si="9"/>
        <v>Sept-2025</v>
      </c>
      <c r="AC63" s="12" t="str">
        <f t="shared" si="10"/>
        <v>High</v>
      </c>
      <c r="AD63">
        <v>12</v>
      </c>
      <c r="AE63" s="12">
        <f>_xlfn.MINIFS(Table1[MonthDate], Table1[Country], Table1[[#This Row],[Country]])</f>
        <v>44986</v>
      </c>
      <c r="AF63" s="12">
        <f t="shared" si="11"/>
        <v>45901</v>
      </c>
      <c r="AG63">
        <f>AD63*(1 + Scenario_Control!$B$4)</f>
        <v>13.200000000000001</v>
      </c>
      <c r="AH63">
        <f>O63*(1 + Scenario_Control!$B$3)</f>
        <v>1543.6575000000003</v>
      </c>
      <c r="AI63">
        <f t="shared" si="12"/>
        <v>6094.3454880000018</v>
      </c>
      <c r="AJ63">
        <f t="shared" si="13"/>
        <v>-14281.933512000003</v>
      </c>
      <c r="AK63" s="29">
        <f>MIN(Q63*(1-U63), Scenario_Control!$B$2*Q63)</f>
        <v>518.75600000000009</v>
      </c>
      <c r="AL63" s="15">
        <f t="shared" si="14"/>
        <v>1</v>
      </c>
      <c r="AM63" s="8">
        <f>DATEDIF(Table1[[#This Row],[Country_FirstMonth]], Table1[[#This Row],[MonthDate]], "m")</f>
        <v>30</v>
      </c>
    </row>
    <row r="64" spans="1:39" x14ac:dyDescent="0.25">
      <c r="A64" t="s">
        <v>77</v>
      </c>
      <c r="B64" s="12">
        <v>45774</v>
      </c>
      <c r="C64" s="12">
        <f t="shared" si="0"/>
        <v>45802</v>
      </c>
      <c r="D64" s="2" t="str">
        <f>IF(Table1[[#This Row],[RequiredDate]]&lt;Table1[[#This Row],[OrderDate]],"Check","OK")</f>
        <v>OK</v>
      </c>
      <c r="E64" s="2">
        <v>45802</v>
      </c>
      <c r="F64" s="15">
        <f t="shared" si="1"/>
        <v>28</v>
      </c>
      <c r="G64" t="s">
        <v>649</v>
      </c>
      <c r="H64" t="s">
        <v>657</v>
      </c>
      <c r="I64" t="s">
        <v>690</v>
      </c>
      <c r="J64" t="s">
        <v>705</v>
      </c>
      <c r="K64" t="s">
        <v>709</v>
      </c>
      <c r="L64" t="s">
        <v>714</v>
      </c>
      <c r="M64" t="s">
        <v>730</v>
      </c>
      <c r="N64" t="s">
        <v>796</v>
      </c>
      <c r="O64" s="29">
        <v>603.45000000000005</v>
      </c>
      <c r="P64" t="str">
        <f>IF(Table1[[#This Row],[UnitPrice]]&lt;=0,"Check","OK")</f>
        <v>OK</v>
      </c>
      <c r="Q64" s="29">
        <f t="shared" si="2"/>
        <v>1244.08</v>
      </c>
      <c r="R64">
        <v>1244.08</v>
      </c>
      <c r="S64" s="5">
        <f>IF(Table1[[#This Row],[Discount_Flag]]="Check", MIN(MAX(Table1[[#This Row],[DiscountPct]],0),0.3), Table1[[#This Row],[DiscountPct]])</f>
        <v>0.2</v>
      </c>
      <c r="T64" t="str">
        <f>IF(OR(Table1[[#This Row],[DiscountPct]]&lt;0,Table1[[#This Row],[DiscountPct]]&gt;0.3),"Check","OK")</f>
        <v>OK</v>
      </c>
      <c r="U64" s="11">
        <v>0.2</v>
      </c>
      <c r="V64" s="15">
        <f t="shared" si="3"/>
        <v>0</v>
      </c>
      <c r="W64" s="11">
        <f t="shared" si="4"/>
        <v>0.39367846119220623</v>
      </c>
      <c r="X64" s="17">
        <f t="shared" si="5"/>
        <v>6637.9500000000007</v>
      </c>
      <c r="Y64" s="17">
        <f t="shared" si="6"/>
        <v>4309.9539999999997</v>
      </c>
      <c r="Z64" s="17">
        <f t="shared" si="7"/>
        <v>10947.904</v>
      </c>
      <c r="AA64" s="17" t="str">
        <f t="shared" si="8"/>
        <v>Q2-2025</v>
      </c>
      <c r="AB64" s="12" t="str">
        <f t="shared" si="9"/>
        <v>Apr-2025</v>
      </c>
      <c r="AC64" s="12" t="str">
        <f t="shared" si="10"/>
        <v>Medium</v>
      </c>
      <c r="AD64">
        <v>11</v>
      </c>
      <c r="AE64" s="12">
        <f>_xlfn.MINIFS(Table1[MonthDate], Table1[Country], Table1[[#This Row],[Country]])</f>
        <v>44927</v>
      </c>
      <c r="AF64" s="12">
        <f t="shared" si="11"/>
        <v>45748</v>
      </c>
      <c r="AG64">
        <f>AD64*(1 + Scenario_Control!$B$4)</f>
        <v>12.100000000000001</v>
      </c>
      <c r="AH64">
        <f>O64*(1 + Scenario_Control!$B$3)</f>
        <v>633.62250000000006</v>
      </c>
      <c r="AI64">
        <f t="shared" si="12"/>
        <v>2408.5388800000005</v>
      </c>
      <c r="AJ64">
        <f t="shared" si="13"/>
        <v>-5258.2933700000012</v>
      </c>
      <c r="AK64" s="29">
        <f>MIN(Q64*(1-U64), Scenario_Control!$B$2*Q64)</f>
        <v>248.816</v>
      </c>
      <c r="AL64" s="15">
        <f t="shared" si="14"/>
        <v>0</v>
      </c>
      <c r="AM64" s="8">
        <f>DATEDIF(Table1[[#This Row],[Country_FirstMonth]], Table1[[#This Row],[MonthDate]], "m")</f>
        <v>27</v>
      </c>
    </row>
    <row r="65" spans="1:39" x14ac:dyDescent="0.25">
      <c r="A65" t="s">
        <v>78</v>
      </c>
      <c r="B65" s="12">
        <v>45598</v>
      </c>
      <c r="C65" s="12">
        <f t="shared" si="0"/>
        <v>45614</v>
      </c>
      <c r="D65" s="2" t="str">
        <f>IF(Table1[[#This Row],[RequiredDate]]&lt;Table1[[#This Row],[OrderDate]],"Check","OK")</f>
        <v>OK</v>
      </c>
      <c r="E65" s="2">
        <v>45614</v>
      </c>
      <c r="F65" s="15">
        <f t="shared" si="1"/>
        <v>16</v>
      </c>
      <c r="G65" t="s">
        <v>647</v>
      </c>
      <c r="H65" t="s">
        <v>654</v>
      </c>
      <c r="I65" t="s">
        <v>691</v>
      </c>
      <c r="J65" t="s">
        <v>705</v>
      </c>
      <c r="K65" t="s">
        <v>710</v>
      </c>
      <c r="L65" t="s">
        <v>719</v>
      </c>
      <c r="M65" t="s">
        <v>732</v>
      </c>
      <c r="N65" t="s">
        <v>797</v>
      </c>
      <c r="O65" s="29">
        <v>1233.58</v>
      </c>
      <c r="P65" t="str">
        <f>IF(Table1[[#This Row],[UnitPrice]]&lt;=0,"Check","OK")</f>
        <v>OK</v>
      </c>
      <c r="Q65" s="29">
        <f t="shared" si="2"/>
        <v>1912.51</v>
      </c>
      <c r="R65">
        <v>1912.51</v>
      </c>
      <c r="S65" s="5">
        <f>IF(Table1[[#This Row],[Discount_Flag]]="Check", MIN(MAX(Table1[[#This Row],[DiscountPct]],0),0.3), Table1[[#This Row],[DiscountPct]])</f>
        <v>0.255</v>
      </c>
      <c r="T65" t="str">
        <f>IF(OR(Table1[[#This Row],[DiscountPct]]&lt;0,Table1[[#This Row],[DiscountPct]]&gt;0.3),"Check","OK")</f>
        <v>OK</v>
      </c>
      <c r="U65" s="11">
        <v>0.255</v>
      </c>
      <c r="V65" s="15">
        <f t="shared" si="3"/>
        <v>1</v>
      </c>
      <c r="W65" s="11">
        <f t="shared" si="4"/>
        <v>0.134220432553601</v>
      </c>
      <c r="X65" s="17">
        <f t="shared" si="5"/>
        <v>62912.579999999994</v>
      </c>
      <c r="Y65" s="17">
        <f t="shared" si="6"/>
        <v>9753.2374500000078</v>
      </c>
      <c r="Z65" s="17">
        <f t="shared" si="7"/>
        <v>72665.817450000002</v>
      </c>
      <c r="AA65" s="17" t="str">
        <f t="shared" si="8"/>
        <v>Q4-2024</v>
      </c>
      <c r="AB65" s="12" t="str">
        <f t="shared" si="9"/>
        <v>Nov-2024</v>
      </c>
      <c r="AC65" s="12" t="str">
        <f t="shared" si="10"/>
        <v>High</v>
      </c>
      <c r="AD65">
        <v>51</v>
      </c>
      <c r="AE65" s="12">
        <f>_xlfn.MINIFS(Table1[MonthDate], Table1[Country], Table1[[#This Row],[Country]])</f>
        <v>44927</v>
      </c>
      <c r="AF65" s="12">
        <f t="shared" si="11"/>
        <v>45597</v>
      </c>
      <c r="AG65">
        <f>AD65*(1 + Scenario_Control!$B$4)</f>
        <v>56.1</v>
      </c>
      <c r="AH65">
        <f>O65*(1 + Scenario_Control!$B$3)</f>
        <v>1295.259</v>
      </c>
      <c r="AI65">
        <f t="shared" si="12"/>
        <v>15986.479839</v>
      </c>
      <c r="AJ65">
        <f t="shared" si="13"/>
        <v>-56677.550061000009</v>
      </c>
      <c r="AK65" s="29">
        <f>MIN(Q65*(1-U65), Scenario_Control!$B$2*Q65)</f>
        <v>382.50200000000001</v>
      </c>
      <c r="AL65" s="15">
        <f t="shared" si="14"/>
        <v>0</v>
      </c>
      <c r="AM65" s="8">
        <f>DATEDIF(Table1[[#This Row],[Country_FirstMonth]], Table1[[#This Row],[MonthDate]], "m")</f>
        <v>22</v>
      </c>
    </row>
    <row r="66" spans="1:39" x14ac:dyDescent="0.25">
      <c r="A66" t="s">
        <v>79</v>
      </c>
      <c r="B66" s="12">
        <v>44972</v>
      </c>
      <c r="C66" s="12">
        <f t="shared" ref="C66:C129" si="15">IF(D66="Check",B66+7,E66)</f>
        <v>44983</v>
      </c>
      <c r="D66" s="2" t="str">
        <f>IF(Table1[[#This Row],[RequiredDate]]&lt;Table1[[#This Row],[OrderDate]],"Check","OK")</f>
        <v>OK</v>
      </c>
      <c r="E66" s="2">
        <v>44983</v>
      </c>
      <c r="F66" s="15">
        <f t="shared" ref="F66:F129" si="16">C66-B66</f>
        <v>11</v>
      </c>
      <c r="G66" t="s">
        <v>646</v>
      </c>
      <c r="H66" t="s">
        <v>661</v>
      </c>
      <c r="I66" t="s">
        <v>682</v>
      </c>
      <c r="J66" t="s">
        <v>703</v>
      </c>
      <c r="K66" t="s">
        <v>707</v>
      </c>
      <c r="L66" t="s">
        <v>723</v>
      </c>
      <c r="M66" t="s">
        <v>731</v>
      </c>
      <c r="N66" t="s">
        <v>798</v>
      </c>
      <c r="O66" s="29">
        <v>498.5</v>
      </c>
      <c r="P66" t="str">
        <f>IF(Table1[[#This Row],[UnitPrice]]&lt;=0,"Check","OK")</f>
        <v>OK</v>
      </c>
      <c r="Q66" s="29">
        <f t="shared" ref="Q66:Q129" si="17">IF(R66&lt;0,0,R66)</f>
        <v>755.87</v>
      </c>
      <c r="R66">
        <v>755.87</v>
      </c>
      <c r="S66" s="5">
        <f>IF(Table1[[#This Row],[Discount_Flag]]="Check", MIN(MAX(Table1[[#This Row],[DiscountPct]],0),0.3), Table1[[#This Row],[DiscountPct]])</f>
        <v>0.13</v>
      </c>
      <c r="T66" t="str">
        <f>IF(OR(Table1[[#This Row],[DiscountPct]]&lt;0,Table1[[#This Row],[DiscountPct]]&gt;0.3),"Check","OK")</f>
        <v>OK</v>
      </c>
      <c r="U66" s="11">
        <v>0.13</v>
      </c>
      <c r="V66" s="15">
        <f t="shared" ref="V66:V129" si="18">IF(U66&gt;0.2,1,0)</f>
        <v>0</v>
      </c>
      <c r="W66" s="11">
        <f t="shared" ref="W66:W129" si="19">IF(Z66=0, 0, Y66/Z66)</f>
        <v>0.24194834330357537</v>
      </c>
      <c r="X66" s="17">
        <f t="shared" ref="X66:X129" si="20">O66*AD66</f>
        <v>19940</v>
      </c>
      <c r="Y66" s="17">
        <f t="shared" ref="Y66:Y129" si="21">Z66-X66</f>
        <v>6364.275999999998</v>
      </c>
      <c r="Z66" s="17">
        <f t="shared" ref="Z66:Z129" si="22">Q66*AD66*(1-S66)</f>
        <v>26304.275999999998</v>
      </c>
      <c r="AA66" s="17" t="str">
        <f t="shared" ref="AA66:AA129" si="23">"Q"&amp;ROUNDUP(MONTH(B66)/3,0)&amp;"-"&amp;YEAR(B66)</f>
        <v>Q1-2023</v>
      </c>
      <c r="AB66" s="12" t="str">
        <f t="shared" ref="AB66:AB129" si="24">TEXT(B66,"MMM-YYYY")</f>
        <v>Feb-2023</v>
      </c>
      <c r="AC66" s="12" t="str">
        <f t="shared" ref="AC66:AC129" si="25">IF(Q66&lt;=$AE$639,"Low",IF(Q66&lt;=$AE$641,"Medium","High"))</f>
        <v>Medium</v>
      </c>
      <c r="AD66">
        <v>40</v>
      </c>
      <c r="AE66" s="12">
        <f>_xlfn.MINIFS(Table1[MonthDate], Table1[Country], Table1[[#This Row],[Country]])</f>
        <v>44927</v>
      </c>
      <c r="AF66" s="12">
        <f t="shared" ref="AF66:AF129" si="26">DATE(YEAR(B66), MONTH(B66), 1)</f>
        <v>44958</v>
      </c>
      <c r="AG66">
        <f>AD66*(1 + Scenario_Control!$B$4)</f>
        <v>44</v>
      </c>
      <c r="AH66">
        <f>O66*(1 + Scenario_Control!$B$3)</f>
        <v>523.42500000000007</v>
      </c>
      <c r="AI66">
        <f t="shared" ref="AI66:AI129" si="27">AK66 * AG66 * (1 - U66)</f>
        <v>5786.9407199999996</v>
      </c>
      <c r="AJ66">
        <f t="shared" ref="AJ66:AJ129" si="28">AI66 - (AH66 * AG66)</f>
        <v>-17243.759280000006</v>
      </c>
      <c r="AK66" s="29">
        <f>MIN(Q66*(1-U66), Scenario_Control!$B$2*Q66)</f>
        <v>151.17400000000001</v>
      </c>
      <c r="AL66" s="15">
        <f t="shared" ref="AL66:AL129" si="29">IF(F66&lt;=7,1,0)</f>
        <v>0</v>
      </c>
      <c r="AM66" s="8">
        <f>DATEDIF(Table1[[#This Row],[Country_FirstMonth]], Table1[[#This Row],[MonthDate]], "m")</f>
        <v>1</v>
      </c>
    </row>
    <row r="67" spans="1:39" x14ac:dyDescent="0.25">
      <c r="A67" t="s">
        <v>80</v>
      </c>
      <c r="B67" s="12">
        <v>45263</v>
      </c>
      <c r="C67" s="12">
        <f t="shared" si="15"/>
        <v>45286</v>
      </c>
      <c r="D67" s="2" t="str">
        <f>IF(Table1[[#This Row],[RequiredDate]]&lt;Table1[[#This Row],[OrderDate]],"Check","OK")</f>
        <v>OK</v>
      </c>
      <c r="E67" s="2">
        <v>45286</v>
      </c>
      <c r="F67" s="15">
        <f t="shared" si="16"/>
        <v>23</v>
      </c>
      <c r="G67" t="s">
        <v>648</v>
      </c>
      <c r="H67" t="s">
        <v>655</v>
      </c>
      <c r="I67" t="s">
        <v>692</v>
      </c>
      <c r="J67" t="s">
        <v>702</v>
      </c>
      <c r="K67" t="s">
        <v>707</v>
      </c>
      <c r="L67" t="s">
        <v>719</v>
      </c>
      <c r="M67" t="s">
        <v>730</v>
      </c>
      <c r="N67" t="s">
        <v>799</v>
      </c>
      <c r="O67" s="29">
        <v>1303.1099999999999</v>
      </c>
      <c r="P67" t="str">
        <f>IF(Table1[[#This Row],[UnitPrice]]&lt;=0,"Check","OK")</f>
        <v>OK</v>
      </c>
      <c r="Q67" s="29">
        <f t="shared" si="17"/>
        <v>1145.67</v>
      </c>
      <c r="R67">
        <v>1145.67</v>
      </c>
      <c r="S67" s="5">
        <f>IF(Table1[[#This Row],[Discount_Flag]]="Check", MIN(MAX(Table1[[#This Row],[DiscountPct]],0),0.3), Table1[[#This Row],[DiscountPct]])</f>
        <v>0.184</v>
      </c>
      <c r="T67" t="str">
        <f>IF(OR(Table1[[#This Row],[DiscountPct]]&lt;0,Table1[[#This Row],[DiscountPct]]&gt;0.3),"Check","OK")</f>
        <v>OK</v>
      </c>
      <c r="U67" s="11">
        <v>0.184</v>
      </c>
      <c r="V67" s="15">
        <f t="shared" si="18"/>
        <v>0</v>
      </c>
      <c r="W67" s="11">
        <f t="shared" si="19"/>
        <v>-0.39389922875851208</v>
      </c>
      <c r="X67" s="17">
        <f t="shared" si="20"/>
        <v>16940.43</v>
      </c>
      <c r="Y67" s="17">
        <f t="shared" si="21"/>
        <v>-4787.1626399999986</v>
      </c>
      <c r="Z67" s="17">
        <f t="shared" si="22"/>
        <v>12153.267360000002</v>
      </c>
      <c r="AA67" s="17" t="str">
        <f t="shared" si="23"/>
        <v>Q4-2023</v>
      </c>
      <c r="AB67" s="12" t="str">
        <f t="shared" si="24"/>
        <v>Dec-2023</v>
      </c>
      <c r="AC67" s="12" t="str">
        <f t="shared" si="25"/>
        <v>Medium</v>
      </c>
      <c r="AD67">
        <v>13</v>
      </c>
      <c r="AE67" s="12">
        <f>_xlfn.MINIFS(Table1[MonthDate], Table1[Country], Table1[[#This Row],[Country]])</f>
        <v>44927</v>
      </c>
      <c r="AF67" s="12">
        <f t="shared" si="26"/>
        <v>45261</v>
      </c>
      <c r="AG67">
        <f>AD67*(1 + Scenario_Control!$B$4)</f>
        <v>14.3</v>
      </c>
      <c r="AH67">
        <f>O67*(1 + Scenario_Control!$B$3)</f>
        <v>1368.2655</v>
      </c>
      <c r="AI67">
        <f t="shared" si="27"/>
        <v>2673.7188192000003</v>
      </c>
      <c r="AJ67">
        <f t="shared" si="28"/>
        <v>-16892.477830800002</v>
      </c>
      <c r="AK67" s="29">
        <f>MIN(Q67*(1-U67), Scenario_Control!$B$2*Q67)</f>
        <v>229.13400000000001</v>
      </c>
      <c r="AL67" s="15">
        <f t="shared" si="29"/>
        <v>0</v>
      </c>
      <c r="AM67" s="8">
        <f>DATEDIF(Table1[[#This Row],[Country_FirstMonth]], Table1[[#This Row],[MonthDate]], "m")</f>
        <v>11</v>
      </c>
    </row>
    <row r="68" spans="1:39" x14ac:dyDescent="0.25">
      <c r="A68" t="s">
        <v>81</v>
      </c>
      <c r="B68" s="12">
        <v>45004</v>
      </c>
      <c r="C68" s="12">
        <f t="shared" si="15"/>
        <v>45025</v>
      </c>
      <c r="D68" s="2" t="str">
        <f>IF(Table1[[#This Row],[RequiredDate]]&lt;Table1[[#This Row],[OrderDate]],"Check","OK")</f>
        <v>OK</v>
      </c>
      <c r="E68" s="2">
        <v>45025</v>
      </c>
      <c r="F68" s="15">
        <f t="shared" si="16"/>
        <v>21</v>
      </c>
      <c r="G68" t="s">
        <v>649</v>
      </c>
      <c r="H68" t="s">
        <v>658</v>
      </c>
      <c r="I68" t="s">
        <v>693</v>
      </c>
      <c r="J68" t="s">
        <v>704</v>
      </c>
      <c r="K68" t="s">
        <v>707</v>
      </c>
      <c r="L68" t="s">
        <v>716</v>
      </c>
      <c r="M68" t="s">
        <v>733</v>
      </c>
      <c r="N68" t="s">
        <v>800</v>
      </c>
      <c r="O68" s="29">
        <v>1082.17</v>
      </c>
      <c r="P68" t="str">
        <f>IF(Table1[[#This Row],[UnitPrice]]&lt;=0,"Check","OK")</f>
        <v>OK</v>
      </c>
      <c r="Q68" s="29">
        <f t="shared" si="17"/>
        <v>1234.0999999999999</v>
      </c>
      <c r="R68">
        <v>1234.0999999999999</v>
      </c>
      <c r="S68" s="5">
        <f>IF(Table1[[#This Row],[Discount_Flag]]="Check", MIN(MAX(Table1[[#This Row],[DiscountPct]],0),0.3), Table1[[#This Row],[DiscountPct]])</f>
        <v>0.189</v>
      </c>
      <c r="T68" t="str">
        <f>IF(OR(Table1[[#This Row],[DiscountPct]]&lt;0,Table1[[#This Row],[DiscountPct]]&gt;0.3),"Check","OK")</f>
        <v>OK</v>
      </c>
      <c r="U68" s="11">
        <v>0.189</v>
      </c>
      <c r="V68" s="15">
        <f t="shared" si="18"/>
        <v>0</v>
      </c>
      <c r="W68" s="11">
        <f t="shared" si="19"/>
        <v>-8.124542703534228E-2</v>
      </c>
      <c r="X68" s="17">
        <f t="shared" si="20"/>
        <v>17314.72</v>
      </c>
      <c r="Y68" s="17">
        <f t="shared" si="21"/>
        <v>-1301.0384000000031</v>
      </c>
      <c r="Z68" s="17">
        <f t="shared" si="22"/>
        <v>16013.681599999998</v>
      </c>
      <c r="AA68" s="17" t="str">
        <f t="shared" si="23"/>
        <v>Q1-2023</v>
      </c>
      <c r="AB68" s="12" t="str">
        <f t="shared" si="24"/>
        <v>Mar-2023</v>
      </c>
      <c r="AC68" s="12" t="str">
        <f t="shared" si="25"/>
        <v>Medium</v>
      </c>
      <c r="AD68">
        <v>16</v>
      </c>
      <c r="AE68" s="12">
        <f>_xlfn.MINIFS(Table1[MonthDate], Table1[Country], Table1[[#This Row],[Country]])</f>
        <v>44927</v>
      </c>
      <c r="AF68" s="12">
        <f t="shared" si="26"/>
        <v>44986</v>
      </c>
      <c r="AG68">
        <f>AD68*(1 + Scenario_Control!$B$4)</f>
        <v>17.600000000000001</v>
      </c>
      <c r="AH68">
        <f>O68*(1 + Scenario_Control!$B$3)</f>
        <v>1136.2785000000001</v>
      </c>
      <c r="AI68">
        <f t="shared" si="27"/>
        <v>3523.0099519999999</v>
      </c>
      <c r="AJ68">
        <f t="shared" si="28"/>
        <v>-16475.491648000003</v>
      </c>
      <c r="AK68" s="29">
        <f>MIN(Q68*(1-U68), Scenario_Control!$B$2*Q68)</f>
        <v>246.82</v>
      </c>
      <c r="AL68" s="15">
        <f t="shared" si="29"/>
        <v>0</v>
      </c>
      <c r="AM68" s="8">
        <f>DATEDIF(Table1[[#This Row],[Country_FirstMonth]], Table1[[#This Row],[MonthDate]], "m")</f>
        <v>2</v>
      </c>
    </row>
    <row r="69" spans="1:39" x14ac:dyDescent="0.25">
      <c r="A69" t="s">
        <v>82</v>
      </c>
      <c r="B69" s="12">
        <v>45434</v>
      </c>
      <c r="C69" s="12">
        <f t="shared" si="15"/>
        <v>45449</v>
      </c>
      <c r="D69" s="2" t="str">
        <f>IF(Table1[[#This Row],[RequiredDate]]&lt;Table1[[#This Row],[OrderDate]],"Check","OK")</f>
        <v>OK</v>
      </c>
      <c r="E69" s="2">
        <v>45449</v>
      </c>
      <c r="F69" s="15">
        <f t="shared" si="16"/>
        <v>15</v>
      </c>
      <c r="G69" t="s">
        <v>647</v>
      </c>
      <c r="H69" t="s">
        <v>652</v>
      </c>
      <c r="I69" t="s">
        <v>694</v>
      </c>
      <c r="J69" t="s">
        <v>701</v>
      </c>
      <c r="K69" t="s">
        <v>710</v>
      </c>
      <c r="L69" t="s">
        <v>712</v>
      </c>
      <c r="M69" t="s">
        <v>732</v>
      </c>
      <c r="N69" t="s">
        <v>801</v>
      </c>
      <c r="O69" s="29">
        <v>673.88</v>
      </c>
      <c r="P69" t="str">
        <f>IF(Table1[[#This Row],[UnitPrice]]&lt;=0,"Check","OK")</f>
        <v>OK</v>
      </c>
      <c r="Q69" s="29">
        <f t="shared" si="17"/>
        <v>1228.01</v>
      </c>
      <c r="R69">
        <v>1228.01</v>
      </c>
      <c r="S69" s="5">
        <f>IF(Table1[[#This Row],[Discount_Flag]]="Check", MIN(MAX(Table1[[#This Row],[DiscountPct]],0),0.3), Table1[[#This Row],[DiscountPct]])</f>
        <v>0.105</v>
      </c>
      <c r="T69" t="str">
        <f>IF(OR(Table1[[#This Row],[DiscountPct]]&lt;0,Table1[[#This Row],[DiscountPct]]&gt;0.3),"Check","OK")</f>
        <v>OK</v>
      </c>
      <c r="U69" s="11">
        <v>0.105</v>
      </c>
      <c r="V69" s="15">
        <f t="shared" si="18"/>
        <v>0</v>
      </c>
      <c r="W69" s="11">
        <f t="shared" si="19"/>
        <v>0.38686285332689996</v>
      </c>
      <c r="X69" s="17">
        <f t="shared" si="20"/>
        <v>8760.44</v>
      </c>
      <c r="Y69" s="17">
        <f t="shared" si="21"/>
        <v>5527.4563499999986</v>
      </c>
      <c r="Z69" s="17">
        <f t="shared" si="22"/>
        <v>14287.896349999999</v>
      </c>
      <c r="AA69" s="17" t="str">
        <f t="shared" si="23"/>
        <v>Q2-2024</v>
      </c>
      <c r="AB69" s="12" t="str">
        <f t="shared" si="24"/>
        <v>May-2024</v>
      </c>
      <c r="AC69" s="12" t="str">
        <f t="shared" si="25"/>
        <v>Medium</v>
      </c>
      <c r="AD69">
        <v>13</v>
      </c>
      <c r="AE69" s="12">
        <f>_xlfn.MINIFS(Table1[MonthDate], Table1[Country], Table1[[#This Row],[Country]])</f>
        <v>44986</v>
      </c>
      <c r="AF69" s="12">
        <f t="shared" si="26"/>
        <v>45413</v>
      </c>
      <c r="AG69">
        <f>AD69*(1 + Scenario_Control!$B$4)</f>
        <v>14.3</v>
      </c>
      <c r="AH69">
        <f>O69*(1 + Scenario_Control!$B$3)</f>
        <v>707.57400000000007</v>
      </c>
      <c r="AI69">
        <f t="shared" si="27"/>
        <v>3143.3371970000003</v>
      </c>
      <c r="AJ69">
        <f t="shared" si="28"/>
        <v>-6974.9710030000006</v>
      </c>
      <c r="AK69" s="29">
        <f>MIN(Q69*(1-U69), Scenario_Control!$B$2*Q69)</f>
        <v>245.602</v>
      </c>
      <c r="AL69" s="15">
        <f t="shared" si="29"/>
        <v>0</v>
      </c>
      <c r="AM69" s="8">
        <f>DATEDIF(Table1[[#This Row],[Country_FirstMonth]], Table1[[#This Row],[MonthDate]], "m")</f>
        <v>14</v>
      </c>
    </row>
    <row r="70" spans="1:39" x14ac:dyDescent="0.25">
      <c r="A70" t="s">
        <v>83</v>
      </c>
      <c r="B70" s="12">
        <v>45157</v>
      </c>
      <c r="C70" s="12">
        <f t="shared" si="15"/>
        <v>45176</v>
      </c>
      <c r="D70" s="2" t="str">
        <f>IF(Table1[[#This Row],[RequiredDate]]&lt;Table1[[#This Row],[OrderDate]],"Check","OK")</f>
        <v>OK</v>
      </c>
      <c r="E70" s="2">
        <v>45176</v>
      </c>
      <c r="F70" s="15">
        <f t="shared" si="16"/>
        <v>19</v>
      </c>
      <c r="G70" t="s">
        <v>646</v>
      </c>
      <c r="H70" t="s">
        <v>661</v>
      </c>
      <c r="I70" t="s">
        <v>682</v>
      </c>
      <c r="J70" t="s">
        <v>706</v>
      </c>
      <c r="K70" t="s">
        <v>707</v>
      </c>
      <c r="L70" t="s">
        <v>726</v>
      </c>
      <c r="M70" t="s">
        <v>732</v>
      </c>
      <c r="N70" t="s">
        <v>802</v>
      </c>
      <c r="O70" s="29">
        <v>494.61</v>
      </c>
      <c r="P70" t="str">
        <f>IF(Table1[[#This Row],[UnitPrice]]&lt;=0,"Check","OK")</f>
        <v>OK</v>
      </c>
      <c r="Q70" s="29">
        <f t="shared" si="17"/>
        <v>605.23</v>
      </c>
      <c r="R70">
        <v>605.23</v>
      </c>
      <c r="S70" s="5">
        <f>IF(Table1[[#This Row],[Discount_Flag]]="Check", MIN(MAX(Table1[[#This Row],[DiscountPct]],0),0.3), Table1[[#This Row],[DiscountPct]])</f>
        <v>0.20399999999999999</v>
      </c>
      <c r="T70" t="str">
        <f>IF(OR(Table1[[#This Row],[DiscountPct]]&lt;0,Table1[[#This Row],[DiscountPct]]&gt;0.3),"Check","OK")</f>
        <v>OK</v>
      </c>
      <c r="U70" s="11">
        <v>0.20399999999999999</v>
      </c>
      <c r="V70" s="15">
        <f t="shared" si="18"/>
        <v>1</v>
      </c>
      <c r="W70" s="11">
        <f t="shared" si="19"/>
        <v>-2.6666468505639647E-2</v>
      </c>
      <c r="X70" s="17">
        <f t="shared" si="20"/>
        <v>8902.98</v>
      </c>
      <c r="Y70" s="17">
        <f t="shared" si="21"/>
        <v>-231.24455999999918</v>
      </c>
      <c r="Z70" s="17">
        <f t="shared" si="22"/>
        <v>8671.7354400000004</v>
      </c>
      <c r="AA70" s="17" t="str">
        <f t="shared" si="23"/>
        <v>Q3-2023</v>
      </c>
      <c r="AB70" s="12" t="str">
        <f t="shared" si="24"/>
        <v>Aug-2023</v>
      </c>
      <c r="AC70" s="12" t="str">
        <f t="shared" si="25"/>
        <v>Low</v>
      </c>
      <c r="AD70">
        <v>18</v>
      </c>
      <c r="AE70" s="12">
        <f>_xlfn.MINIFS(Table1[MonthDate], Table1[Country], Table1[[#This Row],[Country]])</f>
        <v>44927</v>
      </c>
      <c r="AF70" s="12">
        <f t="shared" si="26"/>
        <v>45139</v>
      </c>
      <c r="AG70">
        <f>AD70*(1 + Scenario_Control!$B$4)</f>
        <v>19.8</v>
      </c>
      <c r="AH70">
        <f>O70*(1 + Scenario_Control!$B$3)</f>
        <v>519.34050000000002</v>
      </c>
      <c r="AI70">
        <f t="shared" si="27"/>
        <v>1907.7817968000004</v>
      </c>
      <c r="AJ70">
        <f t="shared" si="28"/>
        <v>-8375.1601032000017</v>
      </c>
      <c r="AK70" s="29">
        <f>MIN(Q70*(1-U70), Scenario_Control!$B$2*Q70)</f>
        <v>121.04600000000001</v>
      </c>
      <c r="AL70" s="15">
        <f t="shared" si="29"/>
        <v>0</v>
      </c>
      <c r="AM70" s="8">
        <f>DATEDIF(Table1[[#This Row],[Country_FirstMonth]], Table1[[#This Row],[MonthDate]], "m")</f>
        <v>7</v>
      </c>
    </row>
    <row r="71" spans="1:39" x14ac:dyDescent="0.25">
      <c r="A71" t="s">
        <v>84</v>
      </c>
      <c r="B71" s="12">
        <v>45037</v>
      </c>
      <c r="C71" s="12">
        <f t="shared" si="15"/>
        <v>45056</v>
      </c>
      <c r="D71" s="2" t="str">
        <f>IF(Table1[[#This Row],[RequiredDate]]&lt;Table1[[#This Row],[OrderDate]],"Check","OK")</f>
        <v>OK</v>
      </c>
      <c r="E71" s="2">
        <v>45056</v>
      </c>
      <c r="F71" s="15">
        <f t="shared" si="16"/>
        <v>19</v>
      </c>
      <c r="G71" t="s">
        <v>647</v>
      </c>
      <c r="H71" t="s">
        <v>659</v>
      </c>
      <c r="I71" t="s">
        <v>685</v>
      </c>
      <c r="J71" t="s">
        <v>701</v>
      </c>
      <c r="K71" t="s">
        <v>707</v>
      </c>
      <c r="L71" t="s">
        <v>720</v>
      </c>
      <c r="M71" t="s">
        <v>727</v>
      </c>
      <c r="N71" t="s">
        <v>803</v>
      </c>
      <c r="O71" s="29">
        <v>882.33</v>
      </c>
      <c r="P71" t="str">
        <f>IF(Table1[[#This Row],[UnitPrice]]&lt;=0,"Check","OK")</f>
        <v>OK</v>
      </c>
      <c r="Q71" s="29">
        <f t="shared" si="17"/>
        <v>1880.15</v>
      </c>
      <c r="R71">
        <v>1880.15</v>
      </c>
      <c r="S71" s="5">
        <f>IF(Table1[[#This Row],[Discount_Flag]]="Check", MIN(MAX(Table1[[#This Row],[DiscountPct]],0),0.3), Table1[[#This Row],[DiscountPct]])</f>
        <v>0.05</v>
      </c>
      <c r="T71" t="str">
        <f>IF(OR(Table1[[#This Row],[DiscountPct]]&lt;0,Table1[[#This Row],[DiscountPct]]&gt;0.3),"Check","OK")</f>
        <v>OK</v>
      </c>
      <c r="U71" s="11">
        <v>0.05</v>
      </c>
      <c r="V71" s="15">
        <f t="shared" si="18"/>
        <v>0</v>
      </c>
      <c r="W71" s="11">
        <f t="shared" si="19"/>
        <v>0.50601365792482955</v>
      </c>
      <c r="X71" s="17">
        <f t="shared" si="20"/>
        <v>4411.6500000000005</v>
      </c>
      <c r="Y71" s="17">
        <f t="shared" si="21"/>
        <v>4519.0624999999991</v>
      </c>
      <c r="Z71" s="17">
        <f t="shared" si="22"/>
        <v>8930.7124999999996</v>
      </c>
      <c r="AA71" s="17" t="str">
        <f t="shared" si="23"/>
        <v>Q2-2023</v>
      </c>
      <c r="AB71" s="12" t="str">
        <f t="shared" si="24"/>
        <v>Apr-2023</v>
      </c>
      <c r="AC71" s="12" t="str">
        <f t="shared" si="25"/>
        <v>Medium</v>
      </c>
      <c r="AD71">
        <v>5</v>
      </c>
      <c r="AE71" s="12">
        <f>_xlfn.MINIFS(Table1[MonthDate], Table1[Country], Table1[[#This Row],[Country]])</f>
        <v>44927</v>
      </c>
      <c r="AF71" s="12">
        <f t="shared" si="26"/>
        <v>45017</v>
      </c>
      <c r="AG71">
        <f>AD71*(1 + Scenario_Control!$B$4)</f>
        <v>5.5</v>
      </c>
      <c r="AH71">
        <f>O71*(1 + Scenario_Control!$B$3)</f>
        <v>926.44650000000013</v>
      </c>
      <c r="AI71">
        <f t="shared" si="27"/>
        <v>1964.7567499999998</v>
      </c>
      <c r="AJ71">
        <f t="shared" si="28"/>
        <v>-3130.6990000000014</v>
      </c>
      <c r="AK71" s="29">
        <f>MIN(Q71*(1-U71), Scenario_Control!$B$2*Q71)</f>
        <v>376.03000000000003</v>
      </c>
      <c r="AL71" s="15">
        <f t="shared" si="29"/>
        <v>0</v>
      </c>
      <c r="AM71" s="8">
        <f>DATEDIF(Table1[[#This Row],[Country_FirstMonth]], Table1[[#This Row],[MonthDate]], "m")</f>
        <v>3</v>
      </c>
    </row>
    <row r="72" spans="1:39" x14ac:dyDescent="0.25">
      <c r="A72" t="s">
        <v>85</v>
      </c>
      <c r="B72" s="12">
        <v>45369</v>
      </c>
      <c r="C72" s="12">
        <f t="shared" si="15"/>
        <v>45372</v>
      </c>
      <c r="D72" s="2" t="str">
        <f>IF(Table1[[#This Row],[RequiredDate]]&lt;Table1[[#This Row],[OrderDate]],"Check","OK")</f>
        <v>OK</v>
      </c>
      <c r="E72" s="2">
        <v>45372</v>
      </c>
      <c r="F72" s="15">
        <f t="shared" si="16"/>
        <v>3</v>
      </c>
      <c r="G72" t="s">
        <v>649</v>
      </c>
      <c r="H72" t="s">
        <v>656</v>
      </c>
      <c r="I72" t="s">
        <v>684</v>
      </c>
      <c r="J72" t="s">
        <v>705</v>
      </c>
      <c r="K72" t="s">
        <v>708</v>
      </c>
      <c r="L72" t="s">
        <v>724</v>
      </c>
      <c r="M72" t="s">
        <v>733</v>
      </c>
      <c r="N72" t="s">
        <v>804</v>
      </c>
      <c r="O72" s="29">
        <v>910.63</v>
      </c>
      <c r="P72" t="str">
        <f>IF(Table1[[#This Row],[UnitPrice]]&lt;=0,"Check","OK")</f>
        <v>OK</v>
      </c>
      <c r="Q72" s="29">
        <f t="shared" si="17"/>
        <v>1269.4000000000001</v>
      </c>
      <c r="R72">
        <v>1269.4000000000001</v>
      </c>
      <c r="S72" s="5">
        <f>IF(Table1[[#This Row],[Discount_Flag]]="Check", MIN(MAX(Table1[[#This Row],[DiscountPct]],0),0.3), Table1[[#This Row],[DiscountPct]])</f>
        <v>6.8000000000000005E-2</v>
      </c>
      <c r="T72" t="str">
        <f>IF(OR(Table1[[#This Row],[DiscountPct]]&lt;0,Table1[[#This Row],[DiscountPct]]&gt;0.3),"Check","OK")</f>
        <v>OK</v>
      </c>
      <c r="U72" s="11">
        <v>6.8000000000000005E-2</v>
      </c>
      <c r="V72" s="15">
        <f t="shared" si="18"/>
        <v>0</v>
      </c>
      <c r="W72" s="11">
        <f t="shared" si="19"/>
        <v>0.23028925834989455</v>
      </c>
      <c r="X72" s="17">
        <f t="shared" si="20"/>
        <v>8195.67</v>
      </c>
      <c r="Y72" s="17">
        <f t="shared" si="21"/>
        <v>2452.0571999999993</v>
      </c>
      <c r="Z72" s="17">
        <f t="shared" si="22"/>
        <v>10647.727199999999</v>
      </c>
      <c r="AA72" s="17" t="str">
        <f t="shared" si="23"/>
        <v>Q1-2024</v>
      </c>
      <c r="AB72" s="12" t="str">
        <f t="shared" si="24"/>
        <v>Mar-2024</v>
      </c>
      <c r="AC72" s="12" t="str">
        <f t="shared" si="25"/>
        <v>Medium</v>
      </c>
      <c r="AD72">
        <v>9</v>
      </c>
      <c r="AE72" s="12">
        <f>_xlfn.MINIFS(Table1[MonthDate], Table1[Country], Table1[[#This Row],[Country]])</f>
        <v>44927</v>
      </c>
      <c r="AF72" s="12">
        <f t="shared" si="26"/>
        <v>45352</v>
      </c>
      <c r="AG72">
        <f>AD72*(1 + Scenario_Control!$B$4)</f>
        <v>9.9</v>
      </c>
      <c r="AH72">
        <f>O72*(1 + Scenario_Control!$B$3)</f>
        <v>956.16150000000005</v>
      </c>
      <c r="AI72">
        <f t="shared" si="27"/>
        <v>2342.499984</v>
      </c>
      <c r="AJ72">
        <f t="shared" si="28"/>
        <v>-7123.4988659999999</v>
      </c>
      <c r="AK72" s="29">
        <f>MIN(Q72*(1-U72), Scenario_Control!$B$2*Q72)</f>
        <v>253.88000000000002</v>
      </c>
      <c r="AL72" s="15">
        <f t="shared" si="29"/>
        <v>1</v>
      </c>
      <c r="AM72" s="8">
        <f>DATEDIF(Table1[[#This Row],[Country_FirstMonth]], Table1[[#This Row],[MonthDate]], "m")</f>
        <v>14</v>
      </c>
    </row>
    <row r="73" spans="1:39" x14ac:dyDescent="0.25">
      <c r="A73" t="s">
        <v>86</v>
      </c>
      <c r="B73" s="12">
        <v>45756</v>
      </c>
      <c r="C73" s="12">
        <f t="shared" si="15"/>
        <v>45783</v>
      </c>
      <c r="D73" s="2" t="str">
        <f>IF(Table1[[#This Row],[RequiredDate]]&lt;Table1[[#This Row],[OrderDate]],"Check","OK")</f>
        <v>OK</v>
      </c>
      <c r="E73" s="2">
        <v>45783</v>
      </c>
      <c r="F73" s="15">
        <f t="shared" si="16"/>
        <v>27</v>
      </c>
      <c r="G73" t="s">
        <v>648</v>
      </c>
      <c r="H73" t="s">
        <v>655</v>
      </c>
      <c r="I73" t="s">
        <v>672</v>
      </c>
      <c r="J73" t="s">
        <v>706</v>
      </c>
      <c r="K73" t="s">
        <v>709</v>
      </c>
      <c r="L73" t="s">
        <v>721</v>
      </c>
      <c r="M73" t="s">
        <v>731</v>
      </c>
      <c r="N73" t="s">
        <v>805</v>
      </c>
      <c r="O73" s="29">
        <v>264.19</v>
      </c>
      <c r="P73" t="str">
        <f>IF(Table1[[#This Row],[UnitPrice]]&lt;=0,"Check","OK")</f>
        <v>OK</v>
      </c>
      <c r="Q73" s="29">
        <f t="shared" si="17"/>
        <v>620.92999999999995</v>
      </c>
      <c r="R73">
        <v>620.92999999999995</v>
      </c>
      <c r="S73" s="5">
        <f>IF(Table1[[#This Row],[Discount_Flag]]="Check", MIN(MAX(Table1[[#This Row],[DiscountPct]],0),0.3), Table1[[#This Row],[DiscountPct]])</f>
        <v>0.14199999999999999</v>
      </c>
      <c r="T73" t="str">
        <f>IF(OR(Table1[[#This Row],[DiscountPct]]&lt;0,Table1[[#This Row],[DiscountPct]]&gt;0.3),"Check","OK")</f>
        <v>OK</v>
      </c>
      <c r="U73" s="11">
        <v>0.14199999999999999</v>
      </c>
      <c r="V73" s="15">
        <f t="shared" si="18"/>
        <v>0</v>
      </c>
      <c r="W73" s="11">
        <f t="shared" si="19"/>
        <v>0.50410875152794532</v>
      </c>
      <c r="X73" s="17">
        <f t="shared" si="20"/>
        <v>3170.2799999999997</v>
      </c>
      <c r="Y73" s="17">
        <f t="shared" si="21"/>
        <v>3222.8152799999998</v>
      </c>
      <c r="Z73" s="17">
        <f t="shared" si="22"/>
        <v>6393.0952799999995</v>
      </c>
      <c r="AA73" s="17" t="str">
        <f t="shared" si="23"/>
        <v>Q2-2025</v>
      </c>
      <c r="AB73" s="12" t="str">
        <f t="shared" si="24"/>
        <v>Apr-2025</v>
      </c>
      <c r="AC73" s="12" t="str">
        <f t="shared" si="25"/>
        <v>Medium</v>
      </c>
      <c r="AD73">
        <v>12</v>
      </c>
      <c r="AE73" s="12">
        <f>_xlfn.MINIFS(Table1[MonthDate], Table1[Country], Table1[[#This Row],[Country]])</f>
        <v>44927</v>
      </c>
      <c r="AF73" s="12">
        <f t="shared" si="26"/>
        <v>45748</v>
      </c>
      <c r="AG73">
        <f>AD73*(1 + Scenario_Control!$B$4)</f>
        <v>13.200000000000001</v>
      </c>
      <c r="AH73">
        <f>O73*(1 + Scenario_Control!$B$3)</f>
        <v>277.39949999999999</v>
      </c>
      <c r="AI73">
        <f t="shared" si="27"/>
        <v>1406.4809616</v>
      </c>
      <c r="AJ73">
        <f t="shared" si="28"/>
        <v>-2255.1924384000004</v>
      </c>
      <c r="AK73" s="29">
        <f>MIN(Q73*(1-U73), Scenario_Control!$B$2*Q73)</f>
        <v>124.18599999999999</v>
      </c>
      <c r="AL73" s="15">
        <f t="shared" si="29"/>
        <v>0</v>
      </c>
      <c r="AM73" s="8">
        <f>DATEDIF(Table1[[#This Row],[Country_FirstMonth]], Table1[[#This Row],[MonthDate]], "m")</f>
        <v>27</v>
      </c>
    </row>
    <row r="74" spans="1:39" x14ac:dyDescent="0.25">
      <c r="A74" t="s">
        <v>87</v>
      </c>
      <c r="B74" s="12">
        <v>45394</v>
      </c>
      <c r="C74" s="12">
        <f t="shared" si="15"/>
        <v>45419</v>
      </c>
      <c r="D74" s="2" t="str">
        <f>IF(Table1[[#This Row],[RequiredDate]]&lt;Table1[[#This Row],[OrderDate]],"Check","OK")</f>
        <v>OK</v>
      </c>
      <c r="E74" s="2">
        <v>45419</v>
      </c>
      <c r="F74" s="15">
        <f t="shared" si="16"/>
        <v>25</v>
      </c>
      <c r="G74" t="s">
        <v>646</v>
      </c>
      <c r="H74" t="s">
        <v>661</v>
      </c>
      <c r="I74" t="s">
        <v>682</v>
      </c>
      <c r="J74" t="s">
        <v>702</v>
      </c>
      <c r="K74" t="s">
        <v>710</v>
      </c>
      <c r="L74" t="s">
        <v>720</v>
      </c>
      <c r="M74" t="s">
        <v>731</v>
      </c>
      <c r="N74" t="s">
        <v>806</v>
      </c>
      <c r="O74" s="29">
        <v>1376.51</v>
      </c>
      <c r="P74" t="str">
        <f>IF(Table1[[#This Row],[UnitPrice]]&lt;=0,"Check","OK")</f>
        <v>OK</v>
      </c>
      <c r="Q74" s="29">
        <f t="shared" si="17"/>
        <v>1455.91</v>
      </c>
      <c r="R74">
        <v>1455.91</v>
      </c>
      <c r="S74" s="5">
        <f>IF(Table1[[#This Row],[Discount_Flag]]="Check", MIN(MAX(Table1[[#This Row],[DiscountPct]],0),0.3), Table1[[#This Row],[DiscountPct]])</f>
        <v>0.185</v>
      </c>
      <c r="T74" t="str">
        <f>IF(OR(Table1[[#This Row],[DiscountPct]]&lt;0,Table1[[#This Row],[DiscountPct]]&gt;0.3),"Check","OK")</f>
        <v>OK</v>
      </c>
      <c r="U74" s="11">
        <v>0.185</v>
      </c>
      <c r="V74" s="15">
        <f t="shared" si="18"/>
        <v>0</v>
      </c>
      <c r="W74" s="11">
        <f t="shared" si="19"/>
        <v>-0.1600781127634085</v>
      </c>
      <c r="X74" s="17">
        <f t="shared" si="20"/>
        <v>23400.67</v>
      </c>
      <c r="Y74" s="17">
        <f t="shared" si="21"/>
        <v>-3229.0369499999979</v>
      </c>
      <c r="Z74" s="17">
        <f t="shared" si="22"/>
        <v>20171.63305</v>
      </c>
      <c r="AA74" s="17" t="str">
        <f t="shared" si="23"/>
        <v>Q2-2024</v>
      </c>
      <c r="AB74" s="12" t="str">
        <f t="shared" si="24"/>
        <v>Apr-2024</v>
      </c>
      <c r="AC74" s="12" t="str">
        <f t="shared" si="25"/>
        <v>Medium</v>
      </c>
      <c r="AD74">
        <v>17</v>
      </c>
      <c r="AE74" s="12">
        <f>_xlfn.MINIFS(Table1[MonthDate], Table1[Country], Table1[[#This Row],[Country]])</f>
        <v>44927</v>
      </c>
      <c r="AF74" s="12">
        <f t="shared" si="26"/>
        <v>45383</v>
      </c>
      <c r="AG74">
        <f>AD74*(1 + Scenario_Control!$B$4)</f>
        <v>18.700000000000003</v>
      </c>
      <c r="AH74">
        <f>O74*(1 + Scenario_Control!$B$3)</f>
        <v>1445.3355000000001</v>
      </c>
      <c r="AI74">
        <f t="shared" si="27"/>
        <v>4437.7592710000008</v>
      </c>
      <c r="AJ74">
        <f t="shared" si="28"/>
        <v>-22590.014579000002</v>
      </c>
      <c r="AK74" s="29">
        <f>MIN(Q74*(1-U74), Scenario_Control!$B$2*Q74)</f>
        <v>291.18200000000002</v>
      </c>
      <c r="AL74" s="15">
        <f t="shared" si="29"/>
        <v>0</v>
      </c>
      <c r="AM74" s="8">
        <f>DATEDIF(Table1[[#This Row],[Country_FirstMonth]], Table1[[#This Row],[MonthDate]], "m")</f>
        <v>15</v>
      </c>
    </row>
    <row r="75" spans="1:39" x14ac:dyDescent="0.25">
      <c r="A75" t="s">
        <v>88</v>
      </c>
      <c r="B75" s="12">
        <v>45641</v>
      </c>
      <c r="C75" s="12">
        <f t="shared" si="15"/>
        <v>45646</v>
      </c>
      <c r="D75" s="2" t="str">
        <f>IF(Table1[[#This Row],[RequiredDate]]&lt;Table1[[#This Row],[OrderDate]],"Check","OK")</f>
        <v>OK</v>
      </c>
      <c r="E75" s="2">
        <v>45646</v>
      </c>
      <c r="F75" s="15">
        <f t="shared" si="16"/>
        <v>5</v>
      </c>
      <c r="G75" t="s">
        <v>647</v>
      </c>
      <c r="H75" t="s">
        <v>659</v>
      </c>
      <c r="I75" t="s">
        <v>676</v>
      </c>
      <c r="J75" t="s">
        <v>705</v>
      </c>
      <c r="K75" t="s">
        <v>711</v>
      </c>
      <c r="L75" t="s">
        <v>713</v>
      </c>
      <c r="M75" t="s">
        <v>729</v>
      </c>
      <c r="N75" t="s">
        <v>807</v>
      </c>
      <c r="O75" s="29">
        <v>717.55</v>
      </c>
      <c r="P75" t="str">
        <f>IF(Table1[[#This Row],[UnitPrice]]&lt;=0,"Check","OK")</f>
        <v>OK</v>
      </c>
      <c r="Q75" s="29">
        <f t="shared" si="17"/>
        <v>546.42999999999995</v>
      </c>
      <c r="R75">
        <v>546.42999999999995</v>
      </c>
      <c r="S75" s="5">
        <f>IF(Table1[[#This Row],[Discount_Flag]]="Check", MIN(MAX(Table1[[#This Row],[DiscountPct]],0),0.3), Table1[[#This Row],[DiscountPct]])</f>
        <v>4.7E-2</v>
      </c>
      <c r="T75" t="str">
        <f>IF(OR(Table1[[#This Row],[DiscountPct]]&lt;0,Table1[[#This Row],[DiscountPct]]&gt;0.3),"Check","OK")</f>
        <v>OK</v>
      </c>
      <c r="U75" s="11">
        <v>4.7E-2</v>
      </c>
      <c r="V75" s="15">
        <f t="shared" si="18"/>
        <v>0</v>
      </c>
      <c r="W75" s="11">
        <f t="shared" si="19"/>
        <v>-0.37792231437026369</v>
      </c>
      <c r="X75" s="17">
        <f t="shared" si="20"/>
        <v>12915.9</v>
      </c>
      <c r="Y75" s="17">
        <f t="shared" si="21"/>
        <v>-3542.4397800000006</v>
      </c>
      <c r="Z75" s="17">
        <f t="shared" si="22"/>
        <v>9373.460219999999</v>
      </c>
      <c r="AA75" s="17" t="str">
        <f t="shared" si="23"/>
        <v>Q4-2024</v>
      </c>
      <c r="AB75" s="12" t="str">
        <f t="shared" si="24"/>
        <v>Dec-2024</v>
      </c>
      <c r="AC75" s="12" t="str">
        <f t="shared" si="25"/>
        <v>Low</v>
      </c>
      <c r="AD75">
        <v>18</v>
      </c>
      <c r="AE75" s="12">
        <f>_xlfn.MINIFS(Table1[MonthDate], Table1[Country], Table1[[#This Row],[Country]])</f>
        <v>44927</v>
      </c>
      <c r="AF75" s="12">
        <f t="shared" si="26"/>
        <v>45627</v>
      </c>
      <c r="AG75">
        <f>AD75*(1 + Scenario_Control!$B$4)</f>
        <v>19.8</v>
      </c>
      <c r="AH75">
        <f>O75*(1 + Scenario_Control!$B$3)</f>
        <v>753.42750000000001</v>
      </c>
      <c r="AI75">
        <f t="shared" si="27"/>
        <v>2062.1612483999997</v>
      </c>
      <c r="AJ75">
        <f t="shared" si="28"/>
        <v>-12855.703251600002</v>
      </c>
      <c r="AK75" s="29">
        <f>MIN(Q75*(1-U75), Scenario_Control!$B$2*Q75)</f>
        <v>109.286</v>
      </c>
      <c r="AL75" s="15">
        <f t="shared" si="29"/>
        <v>1</v>
      </c>
      <c r="AM75" s="8">
        <f>DATEDIF(Table1[[#This Row],[Country_FirstMonth]], Table1[[#This Row],[MonthDate]], "m")</f>
        <v>23</v>
      </c>
    </row>
    <row r="76" spans="1:39" x14ac:dyDescent="0.25">
      <c r="A76" t="s">
        <v>89</v>
      </c>
      <c r="B76" s="12">
        <v>45066</v>
      </c>
      <c r="C76" s="12">
        <f t="shared" si="15"/>
        <v>45073</v>
      </c>
      <c r="D76" s="2" t="str">
        <f>IF(Table1[[#This Row],[RequiredDate]]&lt;Table1[[#This Row],[OrderDate]],"Check","OK")</f>
        <v>Check</v>
      </c>
      <c r="E76" s="2">
        <v>45064</v>
      </c>
      <c r="F76" s="15">
        <f t="shared" si="16"/>
        <v>7</v>
      </c>
      <c r="G76" t="s">
        <v>646</v>
      </c>
      <c r="H76" t="s">
        <v>661</v>
      </c>
      <c r="I76" t="s">
        <v>687</v>
      </c>
      <c r="J76" t="s">
        <v>701</v>
      </c>
      <c r="K76" t="s">
        <v>710</v>
      </c>
      <c r="L76" t="s">
        <v>720</v>
      </c>
      <c r="M76" t="s">
        <v>727</v>
      </c>
      <c r="N76" t="s">
        <v>808</v>
      </c>
      <c r="O76" s="29">
        <v>917.88</v>
      </c>
      <c r="P76" t="str">
        <f>IF(Table1[[#This Row],[UnitPrice]]&lt;=0,"Check","OK")</f>
        <v>OK</v>
      </c>
      <c r="Q76" s="29">
        <f t="shared" si="17"/>
        <v>1347.92</v>
      </c>
      <c r="R76">
        <v>1347.92</v>
      </c>
      <c r="S76" s="5">
        <f>IF(Table1[[#This Row],[Discount_Flag]]="Check", MIN(MAX(Table1[[#This Row],[DiscountPct]],0),0.3), Table1[[#This Row],[DiscountPct]])</f>
        <v>0.3</v>
      </c>
      <c r="T76" t="str">
        <f>IF(OR(Table1[[#This Row],[DiscountPct]]&lt;0,Table1[[#This Row],[DiscountPct]]&gt;0.3),"Check","OK")</f>
        <v>Check</v>
      </c>
      <c r="U76" s="11">
        <v>0.34300000000000003</v>
      </c>
      <c r="V76" s="15">
        <f t="shared" si="18"/>
        <v>1</v>
      </c>
      <c r="W76" s="11">
        <f t="shared" si="19"/>
        <v>2.7199579457873848E-2</v>
      </c>
      <c r="X76" s="17">
        <f t="shared" si="20"/>
        <v>4589.3999999999996</v>
      </c>
      <c r="Y76" s="17">
        <f t="shared" si="21"/>
        <v>128.32000000000062</v>
      </c>
      <c r="Z76" s="17">
        <f t="shared" si="22"/>
        <v>4717.72</v>
      </c>
      <c r="AA76" s="17" t="str">
        <f t="shared" si="23"/>
        <v>Q2-2023</v>
      </c>
      <c r="AB76" s="12" t="str">
        <f t="shared" si="24"/>
        <v>May-2023</v>
      </c>
      <c r="AC76" s="12" t="str">
        <f t="shared" si="25"/>
        <v>Medium</v>
      </c>
      <c r="AD76">
        <v>5</v>
      </c>
      <c r="AE76" s="12">
        <f>_xlfn.MINIFS(Table1[MonthDate], Table1[Country], Table1[[#This Row],[Country]])</f>
        <v>44927</v>
      </c>
      <c r="AF76" s="12">
        <f t="shared" si="26"/>
        <v>45047</v>
      </c>
      <c r="AG76">
        <f>AD76*(1 + Scenario_Control!$B$4)</f>
        <v>5.5</v>
      </c>
      <c r="AH76">
        <f>O76*(1 + Scenario_Control!$B$3)</f>
        <v>963.774</v>
      </c>
      <c r="AI76">
        <f t="shared" si="27"/>
        <v>974.14178400000003</v>
      </c>
      <c r="AJ76">
        <f t="shared" si="28"/>
        <v>-4326.6152159999992</v>
      </c>
      <c r="AK76" s="29">
        <f>MIN(Q76*(1-U76), Scenario_Control!$B$2*Q76)</f>
        <v>269.584</v>
      </c>
      <c r="AL76" s="15">
        <f t="shared" si="29"/>
        <v>1</v>
      </c>
      <c r="AM76" s="8">
        <f>DATEDIF(Table1[[#This Row],[Country_FirstMonth]], Table1[[#This Row],[MonthDate]], "m")</f>
        <v>4</v>
      </c>
    </row>
    <row r="77" spans="1:39" x14ac:dyDescent="0.25">
      <c r="A77" t="s">
        <v>90</v>
      </c>
      <c r="B77" s="12">
        <v>45187</v>
      </c>
      <c r="C77" s="12">
        <f t="shared" si="15"/>
        <v>45207</v>
      </c>
      <c r="D77" s="2" t="str">
        <f>IF(Table1[[#This Row],[RequiredDate]]&lt;Table1[[#This Row],[OrderDate]],"Check","OK")</f>
        <v>OK</v>
      </c>
      <c r="E77" s="2">
        <v>45207</v>
      </c>
      <c r="F77" s="15">
        <f t="shared" si="16"/>
        <v>20</v>
      </c>
      <c r="G77" t="s">
        <v>647</v>
      </c>
      <c r="H77" t="s">
        <v>654</v>
      </c>
      <c r="I77" t="s">
        <v>680</v>
      </c>
      <c r="J77" t="s">
        <v>705</v>
      </c>
      <c r="K77" t="s">
        <v>711</v>
      </c>
      <c r="L77" t="s">
        <v>717</v>
      </c>
      <c r="M77" t="s">
        <v>727</v>
      </c>
      <c r="N77" t="s">
        <v>809</v>
      </c>
      <c r="O77" s="29">
        <v>825.64</v>
      </c>
      <c r="P77" t="str">
        <f>IF(Table1[[#This Row],[UnitPrice]]&lt;=0,"Check","OK")</f>
        <v>OK</v>
      </c>
      <c r="Q77" s="29">
        <f t="shared" si="17"/>
        <v>1108.43</v>
      </c>
      <c r="R77">
        <v>1108.43</v>
      </c>
      <c r="S77" s="5">
        <f>IF(Table1[[#This Row],[Discount_Flag]]="Check", MIN(MAX(Table1[[#This Row],[DiscountPct]],0),0.3), Table1[[#This Row],[DiscountPct]])</f>
        <v>0.114</v>
      </c>
      <c r="T77" t="str">
        <f>IF(OR(Table1[[#This Row],[DiscountPct]]&lt;0,Table1[[#This Row],[DiscountPct]]&gt;0.3),"Check","OK")</f>
        <v>OK</v>
      </c>
      <c r="U77" s="11">
        <v>0.114</v>
      </c>
      <c r="V77" s="15">
        <f t="shared" si="18"/>
        <v>0</v>
      </c>
      <c r="W77" s="11">
        <f t="shared" si="19"/>
        <v>0.15928512475773349</v>
      </c>
      <c r="X77" s="17">
        <f t="shared" si="20"/>
        <v>5779.48</v>
      </c>
      <c r="Y77" s="17">
        <f t="shared" si="21"/>
        <v>1095.0028600000005</v>
      </c>
      <c r="Z77" s="17">
        <f t="shared" si="22"/>
        <v>6874.4828600000001</v>
      </c>
      <c r="AA77" s="17" t="str">
        <f t="shared" si="23"/>
        <v>Q3-2023</v>
      </c>
      <c r="AB77" s="12" t="str">
        <f t="shared" si="24"/>
        <v>Sept-2023</v>
      </c>
      <c r="AC77" s="12" t="str">
        <f t="shared" si="25"/>
        <v>Medium</v>
      </c>
      <c r="AD77">
        <v>7</v>
      </c>
      <c r="AE77" s="12">
        <f>_xlfn.MINIFS(Table1[MonthDate], Table1[Country], Table1[[#This Row],[Country]])</f>
        <v>44927</v>
      </c>
      <c r="AF77" s="12">
        <f t="shared" si="26"/>
        <v>45170</v>
      </c>
      <c r="AG77">
        <f>AD77*(1 + Scenario_Control!$B$4)</f>
        <v>7.7000000000000011</v>
      </c>
      <c r="AH77">
        <f>O77*(1 + Scenario_Control!$B$3)</f>
        <v>866.92200000000003</v>
      </c>
      <c r="AI77">
        <f t="shared" si="27"/>
        <v>1512.3862292000006</v>
      </c>
      <c r="AJ77">
        <f t="shared" si="28"/>
        <v>-5162.9131708000004</v>
      </c>
      <c r="AK77" s="29">
        <f>MIN(Q77*(1-U77), Scenario_Control!$B$2*Q77)</f>
        <v>221.68600000000004</v>
      </c>
      <c r="AL77" s="15">
        <f t="shared" si="29"/>
        <v>0</v>
      </c>
      <c r="AM77" s="8">
        <f>DATEDIF(Table1[[#This Row],[Country_FirstMonth]], Table1[[#This Row],[MonthDate]], "m")</f>
        <v>8</v>
      </c>
    </row>
    <row r="78" spans="1:39" x14ac:dyDescent="0.25">
      <c r="A78" t="s">
        <v>91</v>
      </c>
      <c r="B78" s="12">
        <v>45532</v>
      </c>
      <c r="C78" s="12">
        <f t="shared" si="15"/>
        <v>45560</v>
      </c>
      <c r="D78" s="2" t="str">
        <f>IF(Table1[[#This Row],[RequiredDate]]&lt;Table1[[#This Row],[OrderDate]],"Check","OK")</f>
        <v>OK</v>
      </c>
      <c r="E78" s="2">
        <v>45560</v>
      </c>
      <c r="F78" s="15">
        <f t="shared" si="16"/>
        <v>28</v>
      </c>
      <c r="G78" t="s">
        <v>648</v>
      </c>
      <c r="H78" t="s">
        <v>655</v>
      </c>
      <c r="I78" t="s">
        <v>692</v>
      </c>
      <c r="J78" t="s">
        <v>703</v>
      </c>
      <c r="K78" t="s">
        <v>708</v>
      </c>
      <c r="L78" t="s">
        <v>1430</v>
      </c>
      <c r="M78" t="s">
        <v>733</v>
      </c>
      <c r="N78" t="s">
        <v>810</v>
      </c>
      <c r="O78" s="29">
        <v>1394.65</v>
      </c>
      <c r="P78" t="str">
        <f>IF(Table1[[#This Row],[UnitPrice]]&lt;=0,"Check","OK")</f>
        <v>OK</v>
      </c>
      <c r="Q78" s="29">
        <f t="shared" si="17"/>
        <v>3144.1</v>
      </c>
      <c r="R78">
        <v>3144.1</v>
      </c>
      <c r="S78" s="5">
        <f>IF(Table1[[#This Row],[Discount_Flag]]="Check", MIN(MAX(Table1[[#This Row],[DiscountPct]],0),0.3), Table1[[#This Row],[DiscountPct]])</f>
        <v>0.13400000000000001</v>
      </c>
      <c r="T78" t="str">
        <f>IF(OR(Table1[[#This Row],[DiscountPct]]&lt;0,Table1[[#This Row],[DiscountPct]]&gt;0.3),"Check","OK")</f>
        <v>OK</v>
      </c>
      <c r="U78" s="11">
        <v>0.13400000000000001</v>
      </c>
      <c r="V78" s="15">
        <f t="shared" si="18"/>
        <v>0</v>
      </c>
      <c r="W78" s="11">
        <f t="shared" si="19"/>
        <v>0.4877865378263021</v>
      </c>
      <c r="X78" s="17">
        <f t="shared" si="20"/>
        <v>18130.45</v>
      </c>
      <c r="Y78" s="17">
        <f t="shared" si="21"/>
        <v>17265.827799999995</v>
      </c>
      <c r="Z78" s="17">
        <f t="shared" si="22"/>
        <v>35396.277799999996</v>
      </c>
      <c r="AA78" s="17" t="str">
        <f t="shared" si="23"/>
        <v>Q3-2024</v>
      </c>
      <c r="AB78" s="12" t="str">
        <f t="shared" si="24"/>
        <v>Aug-2024</v>
      </c>
      <c r="AC78" s="12" t="str">
        <f t="shared" si="25"/>
        <v>High</v>
      </c>
      <c r="AD78">
        <v>13</v>
      </c>
      <c r="AE78" s="12">
        <f>_xlfn.MINIFS(Table1[MonthDate], Table1[Country], Table1[[#This Row],[Country]])</f>
        <v>44927</v>
      </c>
      <c r="AF78" s="12">
        <f t="shared" si="26"/>
        <v>45505</v>
      </c>
      <c r="AG78">
        <f>AD78*(1 + Scenario_Control!$B$4)</f>
        <v>14.3</v>
      </c>
      <c r="AH78">
        <f>O78*(1 + Scenario_Control!$B$3)</f>
        <v>1464.3825000000002</v>
      </c>
      <c r="AI78">
        <f t="shared" si="27"/>
        <v>7787.1811160000016</v>
      </c>
      <c r="AJ78">
        <f t="shared" si="28"/>
        <v>-13153.488634000003</v>
      </c>
      <c r="AK78" s="29">
        <f>MIN(Q78*(1-U78), Scenario_Control!$B$2*Q78)</f>
        <v>628.82000000000005</v>
      </c>
      <c r="AL78" s="15">
        <f t="shared" si="29"/>
        <v>0</v>
      </c>
      <c r="AM78" s="8">
        <f>DATEDIF(Table1[[#This Row],[Country_FirstMonth]], Table1[[#This Row],[MonthDate]], "m")</f>
        <v>19</v>
      </c>
    </row>
    <row r="79" spans="1:39" x14ac:dyDescent="0.25">
      <c r="A79" t="s">
        <v>92</v>
      </c>
      <c r="B79" s="12">
        <v>45473</v>
      </c>
      <c r="C79" s="12">
        <f t="shared" si="15"/>
        <v>45480</v>
      </c>
      <c r="D79" s="2" t="str">
        <f>IF(Table1[[#This Row],[RequiredDate]]&lt;Table1[[#This Row],[OrderDate]],"Check","OK")</f>
        <v>Check</v>
      </c>
      <c r="E79" s="2">
        <v>45471</v>
      </c>
      <c r="F79" s="15">
        <f t="shared" si="16"/>
        <v>7</v>
      </c>
      <c r="G79" t="s">
        <v>648</v>
      </c>
      <c r="H79" t="s">
        <v>655</v>
      </c>
      <c r="I79" t="s">
        <v>692</v>
      </c>
      <c r="J79" t="s">
        <v>705</v>
      </c>
      <c r="K79" t="s">
        <v>711</v>
      </c>
      <c r="L79" t="s">
        <v>716</v>
      </c>
      <c r="M79" t="s">
        <v>733</v>
      </c>
      <c r="N79" t="s">
        <v>811</v>
      </c>
      <c r="O79" s="29">
        <v>1112.98</v>
      </c>
      <c r="P79" t="str">
        <f>IF(Table1[[#This Row],[UnitPrice]]&lt;=0,"Check","OK")</f>
        <v>OK</v>
      </c>
      <c r="Q79" s="29">
        <f t="shared" si="17"/>
        <v>2095.73</v>
      </c>
      <c r="R79">
        <v>2095.73</v>
      </c>
      <c r="S79" s="5">
        <f>IF(Table1[[#This Row],[Discount_Flag]]="Check", MIN(MAX(Table1[[#This Row],[DiscountPct]],0),0.3), Table1[[#This Row],[DiscountPct]])</f>
        <v>7.1999999999999995E-2</v>
      </c>
      <c r="T79" t="str">
        <f>IF(OR(Table1[[#This Row],[DiscountPct]]&lt;0,Table1[[#This Row],[DiscountPct]]&gt;0.3),"Check","OK")</f>
        <v>OK</v>
      </c>
      <c r="U79" s="11">
        <v>7.1999999999999995E-2</v>
      </c>
      <c r="V79" s="15">
        <f t="shared" si="18"/>
        <v>0</v>
      </c>
      <c r="W79" s="11">
        <f t="shared" si="19"/>
        <v>0.42772594916724777</v>
      </c>
      <c r="X79" s="17">
        <f t="shared" si="20"/>
        <v>18920.66</v>
      </c>
      <c r="Y79" s="17">
        <f t="shared" si="21"/>
        <v>14141.576480000007</v>
      </c>
      <c r="Z79" s="17">
        <f t="shared" si="22"/>
        <v>33062.236480000007</v>
      </c>
      <c r="AA79" s="17" t="str">
        <f t="shared" si="23"/>
        <v>Q2-2024</v>
      </c>
      <c r="AB79" s="12" t="str">
        <f t="shared" si="24"/>
        <v>Jun-2024</v>
      </c>
      <c r="AC79" s="12" t="str">
        <f t="shared" si="25"/>
        <v>High</v>
      </c>
      <c r="AD79">
        <v>17</v>
      </c>
      <c r="AE79" s="12">
        <f>_xlfn.MINIFS(Table1[MonthDate], Table1[Country], Table1[[#This Row],[Country]])</f>
        <v>44927</v>
      </c>
      <c r="AF79" s="12">
        <f t="shared" si="26"/>
        <v>45444</v>
      </c>
      <c r="AG79">
        <f>AD79*(1 + Scenario_Control!$B$4)</f>
        <v>18.700000000000003</v>
      </c>
      <c r="AH79">
        <f>O79*(1 + Scenario_Control!$B$3)</f>
        <v>1168.6290000000001</v>
      </c>
      <c r="AI79">
        <f t="shared" si="27"/>
        <v>7273.6920256000012</v>
      </c>
      <c r="AJ79">
        <f t="shared" si="28"/>
        <v>-14579.670274400003</v>
      </c>
      <c r="AK79" s="29">
        <f>MIN(Q79*(1-U79), Scenario_Control!$B$2*Q79)</f>
        <v>419.14600000000002</v>
      </c>
      <c r="AL79" s="15">
        <f t="shared" si="29"/>
        <v>1</v>
      </c>
      <c r="AM79" s="8">
        <f>DATEDIF(Table1[[#This Row],[Country_FirstMonth]], Table1[[#This Row],[MonthDate]], "m")</f>
        <v>17</v>
      </c>
    </row>
    <row r="80" spans="1:39" x14ac:dyDescent="0.25">
      <c r="A80" t="s">
        <v>93</v>
      </c>
      <c r="B80" s="12">
        <v>45091</v>
      </c>
      <c r="C80" s="12">
        <f t="shared" si="15"/>
        <v>45093</v>
      </c>
      <c r="D80" s="2" t="str">
        <f>IF(Table1[[#This Row],[RequiredDate]]&lt;Table1[[#This Row],[OrderDate]],"Check","OK")</f>
        <v>OK</v>
      </c>
      <c r="E80" s="2">
        <v>45093</v>
      </c>
      <c r="F80" s="15">
        <f t="shared" si="16"/>
        <v>2</v>
      </c>
      <c r="G80" t="s">
        <v>649</v>
      </c>
      <c r="H80" t="s">
        <v>658</v>
      </c>
      <c r="I80" t="s">
        <v>693</v>
      </c>
      <c r="J80" t="s">
        <v>703</v>
      </c>
      <c r="K80" t="s">
        <v>711</v>
      </c>
      <c r="L80" t="s">
        <v>723</v>
      </c>
      <c r="M80" t="s">
        <v>727</v>
      </c>
      <c r="N80" t="s">
        <v>812</v>
      </c>
      <c r="O80" s="29">
        <v>357.36</v>
      </c>
      <c r="P80" t="str">
        <f>IF(Table1[[#This Row],[UnitPrice]]&lt;=0,"Check","OK")</f>
        <v>OK</v>
      </c>
      <c r="Q80" s="29">
        <f t="shared" si="17"/>
        <v>703.62</v>
      </c>
      <c r="R80">
        <v>703.62</v>
      </c>
      <c r="S80" s="5">
        <f>IF(Table1[[#This Row],[Discount_Flag]]="Check", MIN(MAX(Table1[[#This Row],[DiscountPct]],0),0.3), Table1[[#This Row],[DiscountPct]])</f>
        <v>0.25700000000000001</v>
      </c>
      <c r="T80" t="str">
        <f>IF(OR(Table1[[#This Row],[DiscountPct]]&lt;0,Table1[[#This Row],[DiscountPct]]&gt;0.3),"Check","OK")</f>
        <v>OK</v>
      </c>
      <c r="U80" s="11">
        <v>0.25700000000000001</v>
      </c>
      <c r="V80" s="15">
        <f t="shared" si="18"/>
        <v>1</v>
      </c>
      <c r="W80" s="11">
        <f t="shared" si="19"/>
        <v>0.31643636563125593</v>
      </c>
      <c r="X80" s="17">
        <f t="shared" si="20"/>
        <v>7147.2000000000007</v>
      </c>
      <c r="Y80" s="17">
        <f t="shared" si="21"/>
        <v>3308.5931999999993</v>
      </c>
      <c r="Z80" s="17">
        <f t="shared" si="22"/>
        <v>10455.7932</v>
      </c>
      <c r="AA80" s="17" t="str">
        <f t="shared" si="23"/>
        <v>Q2-2023</v>
      </c>
      <c r="AB80" s="12" t="str">
        <f t="shared" si="24"/>
        <v>Jun-2023</v>
      </c>
      <c r="AC80" s="12" t="str">
        <f t="shared" si="25"/>
        <v>Medium</v>
      </c>
      <c r="AD80">
        <v>20</v>
      </c>
      <c r="AE80" s="12">
        <f>_xlfn.MINIFS(Table1[MonthDate], Table1[Country], Table1[[#This Row],[Country]])</f>
        <v>44927</v>
      </c>
      <c r="AF80" s="12">
        <f t="shared" si="26"/>
        <v>45078</v>
      </c>
      <c r="AG80">
        <f>AD80*(1 + Scenario_Control!$B$4)</f>
        <v>22</v>
      </c>
      <c r="AH80">
        <f>O80*(1 + Scenario_Control!$B$3)</f>
        <v>375.22800000000001</v>
      </c>
      <c r="AI80">
        <f t="shared" si="27"/>
        <v>2300.2745040000004</v>
      </c>
      <c r="AJ80">
        <f t="shared" si="28"/>
        <v>-5954.7414959999987</v>
      </c>
      <c r="AK80" s="29">
        <f>MIN(Q80*(1-U80), Scenario_Control!$B$2*Q80)</f>
        <v>140.72400000000002</v>
      </c>
      <c r="AL80" s="15">
        <f t="shared" si="29"/>
        <v>1</v>
      </c>
      <c r="AM80" s="8">
        <f>DATEDIF(Table1[[#This Row],[Country_FirstMonth]], Table1[[#This Row],[MonthDate]], "m")</f>
        <v>5</v>
      </c>
    </row>
    <row r="81" spans="1:39" x14ac:dyDescent="0.25">
      <c r="A81" t="s">
        <v>94</v>
      </c>
      <c r="B81" s="12">
        <v>45617</v>
      </c>
      <c r="C81" s="12">
        <f t="shared" si="15"/>
        <v>45647</v>
      </c>
      <c r="D81" s="2" t="str">
        <f>IF(Table1[[#This Row],[RequiredDate]]&lt;Table1[[#This Row],[OrderDate]],"Check","OK")</f>
        <v>OK</v>
      </c>
      <c r="E81" s="2">
        <v>45647</v>
      </c>
      <c r="F81" s="15">
        <f t="shared" si="16"/>
        <v>30</v>
      </c>
      <c r="G81" t="s">
        <v>649</v>
      </c>
      <c r="H81" t="s">
        <v>657</v>
      </c>
      <c r="I81" t="s">
        <v>673</v>
      </c>
      <c r="J81" t="s">
        <v>705</v>
      </c>
      <c r="K81" t="s">
        <v>711</v>
      </c>
      <c r="L81" t="s">
        <v>714</v>
      </c>
      <c r="M81" t="s">
        <v>732</v>
      </c>
      <c r="N81" t="s">
        <v>813</v>
      </c>
      <c r="O81" s="29">
        <v>1122.68</v>
      </c>
      <c r="P81" t="str">
        <f>IF(Table1[[#This Row],[UnitPrice]]&lt;=0,"Check","OK")</f>
        <v>OK</v>
      </c>
      <c r="Q81" s="29">
        <f t="shared" si="17"/>
        <v>1997.19</v>
      </c>
      <c r="R81">
        <v>1997.19</v>
      </c>
      <c r="S81" s="5">
        <f>IF(Table1[[#This Row],[Discount_Flag]]="Check", MIN(MAX(Table1[[#This Row],[DiscountPct]],0),0.3), Table1[[#This Row],[DiscountPct]])</f>
        <v>0.186</v>
      </c>
      <c r="T81" t="str">
        <f>IF(OR(Table1[[#This Row],[DiscountPct]]&lt;0,Table1[[#This Row],[DiscountPct]]&gt;0.3),"Check","OK")</f>
        <v>OK</v>
      </c>
      <c r="U81" s="11">
        <v>0.186</v>
      </c>
      <c r="V81" s="15">
        <f t="shared" si="18"/>
        <v>0</v>
      </c>
      <c r="W81" s="11">
        <f t="shared" si="19"/>
        <v>0.30942285951073306</v>
      </c>
      <c r="X81" s="17">
        <f t="shared" si="20"/>
        <v>3368.04</v>
      </c>
      <c r="Y81" s="17">
        <f t="shared" si="21"/>
        <v>1509.0979800000005</v>
      </c>
      <c r="Z81" s="17">
        <f t="shared" si="22"/>
        <v>4877.1379800000004</v>
      </c>
      <c r="AA81" s="17" t="str">
        <f t="shared" si="23"/>
        <v>Q4-2024</v>
      </c>
      <c r="AB81" s="12" t="str">
        <f t="shared" si="24"/>
        <v>Nov-2024</v>
      </c>
      <c r="AC81" s="12" t="str">
        <f t="shared" si="25"/>
        <v>High</v>
      </c>
      <c r="AD81">
        <v>3</v>
      </c>
      <c r="AE81" s="12">
        <f>_xlfn.MINIFS(Table1[MonthDate], Table1[Country], Table1[[#This Row],[Country]])</f>
        <v>44927</v>
      </c>
      <c r="AF81" s="12">
        <f t="shared" si="26"/>
        <v>45597</v>
      </c>
      <c r="AG81">
        <f>AD81*(1 + Scenario_Control!$B$4)</f>
        <v>3.3000000000000003</v>
      </c>
      <c r="AH81">
        <f>O81*(1 + Scenario_Control!$B$3)</f>
        <v>1178.8140000000001</v>
      </c>
      <c r="AI81">
        <f t="shared" si="27"/>
        <v>1072.9703556000004</v>
      </c>
      <c r="AJ81">
        <f t="shared" si="28"/>
        <v>-2817.1158444000002</v>
      </c>
      <c r="AK81" s="29">
        <f>MIN(Q81*(1-U81), Scenario_Control!$B$2*Q81)</f>
        <v>399.43800000000005</v>
      </c>
      <c r="AL81" s="15">
        <f t="shared" si="29"/>
        <v>0</v>
      </c>
      <c r="AM81" s="8">
        <f>DATEDIF(Table1[[#This Row],[Country_FirstMonth]], Table1[[#This Row],[MonthDate]], "m")</f>
        <v>22</v>
      </c>
    </row>
    <row r="82" spans="1:39" x14ac:dyDescent="0.25">
      <c r="A82" t="s">
        <v>95</v>
      </c>
      <c r="B82" s="12">
        <v>44965</v>
      </c>
      <c r="C82" s="12">
        <f t="shared" si="15"/>
        <v>44968</v>
      </c>
      <c r="D82" s="2" t="str">
        <f>IF(Table1[[#This Row],[RequiredDate]]&lt;Table1[[#This Row],[OrderDate]],"Check","OK")</f>
        <v>OK</v>
      </c>
      <c r="E82" s="2">
        <v>44968</v>
      </c>
      <c r="F82" s="15">
        <f t="shared" si="16"/>
        <v>3</v>
      </c>
      <c r="G82" t="s">
        <v>646</v>
      </c>
      <c r="H82" t="s">
        <v>661</v>
      </c>
      <c r="I82" t="s">
        <v>695</v>
      </c>
      <c r="J82" t="s">
        <v>701</v>
      </c>
      <c r="K82" t="s">
        <v>711</v>
      </c>
      <c r="L82" t="s">
        <v>724</v>
      </c>
      <c r="M82" t="s">
        <v>729</v>
      </c>
      <c r="N82" t="s">
        <v>814</v>
      </c>
      <c r="O82" s="29">
        <v>1410.05</v>
      </c>
      <c r="P82" t="str">
        <f>IF(Table1[[#This Row],[UnitPrice]]&lt;=0,"Check","OK")</f>
        <v>OK</v>
      </c>
      <c r="Q82" s="29">
        <f t="shared" si="17"/>
        <v>2763.95</v>
      </c>
      <c r="R82">
        <v>2763.95</v>
      </c>
      <c r="S82" s="5">
        <f>IF(Table1[[#This Row],[Discount_Flag]]="Check", MIN(MAX(Table1[[#This Row],[DiscountPct]],0),0.3), Table1[[#This Row],[DiscountPct]])</f>
        <v>0.161</v>
      </c>
      <c r="T82" t="str">
        <f>IF(OR(Table1[[#This Row],[DiscountPct]]&lt;0,Table1[[#This Row],[DiscountPct]]&gt;0.3),"Check","OK")</f>
        <v>OK</v>
      </c>
      <c r="U82" s="11">
        <v>0.161</v>
      </c>
      <c r="V82" s="15">
        <f t="shared" si="18"/>
        <v>0</v>
      </c>
      <c r="W82" s="11">
        <f t="shared" si="19"/>
        <v>0.39194569206750779</v>
      </c>
      <c r="X82" s="17">
        <f t="shared" si="20"/>
        <v>36661.299999999996</v>
      </c>
      <c r="Y82" s="17">
        <f t="shared" si="21"/>
        <v>23631.505299999997</v>
      </c>
      <c r="Z82" s="17">
        <f t="shared" si="22"/>
        <v>60292.805299999993</v>
      </c>
      <c r="AA82" s="17" t="str">
        <f t="shared" si="23"/>
        <v>Q1-2023</v>
      </c>
      <c r="AB82" s="12" t="str">
        <f t="shared" si="24"/>
        <v>Feb-2023</v>
      </c>
      <c r="AC82" s="12" t="str">
        <f t="shared" si="25"/>
        <v>High</v>
      </c>
      <c r="AD82">
        <v>26</v>
      </c>
      <c r="AE82" s="12">
        <f>_xlfn.MINIFS(Table1[MonthDate], Table1[Country], Table1[[#This Row],[Country]])</f>
        <v>44927</v>
      </c>
      <c r="AF82" s="12">
        <f t="shared" si="26"/>
        <v>44958</v>
      </c>
      <c r="AG82">
        <f>AD82*(1 + Scenario_Control!$B$4)</f>
        <v>28.6</v>
      </c>
      <c r="AH82">
        <f>O82*(1 + Scenario_Control!$B$3)</f>
        <v>1480.5525</v>
      </c>
      <c r="AI82">
        <f t="shared" si="27"/>
        <v>13264.417165999999</v>
      </c>
      <c r="AJ82">
        <f t="shared" si="28"/>
        <v>-29079.384334000002</v>
      </c>
      <c r="AK82" s="29">
        <f>MIN(Q82*(1-U82), Scenario_Control!$B$2*Q82)</f>
        <v>552.79</v>
      </c>
      <c r="AL82" s="15">
        <f t="shared" si="29"/>
        <v>1</v>
      </c>
      <c r="AM82" s="8">
        <f>DATEDIF(Table1[[#This Row],[Country_FirstMonth]], Table1[[#This Row],[MonthDate]], "m")</f>
        <v>1</v>
      </c>
    </row>
    <row r="83" spans="1:39" x14ac:dyDescent="0.25">
      <c r="A83" t="s">
        <v>96</v>
      </c>
      <c r="B83" s="12">
        <v>45157</v>
      </c>
      <c r="C83" s="12">
        <f t="shared" si="15"/>
        <v>45181</v>
      </c>
      <c r="D83" s="2" t="str">
        <f>IF(Table1[[#This Row],[RequiredDate]]&lt;Table1[[#This Row],[OrderDate]],"Check","OK")</f>
        <v>OK</v>
      </c>
      <c r="E83" s="2">
        <v>45181</v>
      </c>
      <c r="F83" s="15">
        <f t="shared" si="16"/>
        <v>24</v>
      </c>
      <c r="G83" t="s">
        <v>648</v>
      </c>
      <c r="H83" t="s">
        <v>653</v>
      </c>
      <c r="I83" t="s">
        <v>688</v>
      </c>
      <c r="J83" t="s">
        <v>706</v>
      </c>
      <c r="K83" t="s">
        <v>707</v>
      </c>
      <c r="L83" t="s">
        <v>714</v>
      </c>
      <c r="M83" t="s">
        <v>728</v>
      </c>
      <c r="N83" t="s">
        <v>815</v>
      </c>
      <c r="O83" s="29">
        <v>1183.95</v>
      </c>
      <c r="P83" t="str">
        <f>IF(Table1[[#This Row],[UnitPrice]]&lt;=0,"Check","OK")</f>
        <v>OK</v>
      </c>
      <c r="Q83" s="29">
        <f t="shared" si="17"/>
        <v>1503.53</v>
      </c>
      <c r="R83">
        <v>1503.53</v>
      </c>
      <c r="S83" s="5">
        <f>IF(Table1[[#This Row],[Discount_Flag]]="Check", MIN(MAX(Table1[[#This Row],[DiscountPct]],0),0.3), Table1[[#This Row],[DiscountPct]])</f>
        <v>0.24099999999999999</v>
      </c>
      <c r="T83" t="str">
        <f>IF(OR(Table1[[#This Row],[DiscountPct]]&lt;0,Table1[[#This Row],[DiscountPct]]&gt;0.3),"Check","OK")</f>
        <v>OK</v>
      </c>
      <c r="U83" s="11">
        <v>0.24099999999999999</v>
      </c>
      <c r="V83" s="15">
        <f t="shared" si="18"/>
        <v>1</v>
      </c>
      <c r="W83" s="11">
        <f t="shared" si="19"/>
        <v>-3.7479413729623705E-2</v>
      </c>
      <c r="X83" s="17">
        <f t="shared" si="20"/>
        <v>18943.2</v>
      </c>
      <c r="Y83" s="17">
        <f t="shared" si="21"/>
        <v>-684.33167999999932</v>
      </c>
      <c r="Z83" s="17">
        <f t="shared" si="22"/>
        <v>18258.868320000001</v>
      </c>
      <c r="AA83" s="17" t="str">
        <f t="shared" si="23"/>
        <v>Q3-2023</v>
      </c>
      <c r="AB83" s="12" t="str">
        <f t="shared" si="24"/>
        <v>Aug-2023</v>
      </c>
      <c r="AC83" s="12" t="str">
        <f t="shared" si="25"/>
        <v>Medium</v>
      </c>
      <c r="AD83">
        <v>16</v>
      </c>
      <c r="AE83" s="12">
        <f>_xlfn.MINIFS(Table1[MonthDate], Table1[Country], Table1[[#This Row],[Country]])</f>
        <v>44927</v>
      </c>
      <c r="AF83" s="12">
        <f t="shared" si="26"/>
        <v>45139</v>
      </c>
      <c r="AG83">
        <f>AD83*(1 + Scenario_Control!$B$4)</f>
        <v>17.600000000000001</v>
      </c>
      <c r="AH83">
        <f>O83*(1 + Scenario_Control!$B$3)</f>
        <v>1243.1475</v>
      </c>
      <c r="AI83">
        <f t="shared" si="27"/>
        <v>4016.9510304000005</v>
      </c>
      <c r="AJ83">
        <f t="shared" si="28"/>
        <v>-17862.444969600001</v>
      </c>
      <c r="AK83" s="29">
        <f>MIN(Q83*(1-U83), Scenario_Control!$B$2*Q83)</f>
        <v>300.70600000000002</v>
      </c>
      <c r="AL83" s="15">
        <f t="shared" si="29"/>
        <v>0</v>
      </c>
      <c r="AM83" s="8">
        <f>DATEDIF(Table1[[#This Row],[Country_FirstMonth]], Table1[[#This Row],[MonthDate]], "m")</f>
        <v>7</v>
      </c>
    </row>
    <row r="84" spans="1:39" x14ac:dyDescent="0.25">
      <c r="A84" t="s">
        <v>97</v>
      </c>
      <c r="B84" s="12">
        <v>45791</v>
      </c>
      <c r="C84" s="12">
        <f t="shared" si="15"/>
        <v>45801</v>
      </c>
      <c r="D84" s="2" t="str">
        <f>IF(Table1[[#This Row],[RequiredDate]]&lt;Table1[[#This Row],[OrderDate]],"Check","OK")</f>
        <v>OK</v>
      </c>
      <c r="E84" s="2">
        <v>45801</v>
      </c>
      <c r="F84" s="15">
        <f t="shared" si="16"/>
        <v>10</v>
      </c>
      <c r="G84" t="s">
        <v>649</v>
      </c>
      <c r="H84" t="s">
        <v>657</v>
      </c>
      <c r="I84" t="s">
        <v>690</v>
      </c>
      <c r="J84" t="s">
        <v>705</v>
      </c>
      <c r="K84" t="s">
        <v>709</v>
      </c>
      <c r="L84" t="s">
        <v>723</v>
      </c>
      <c r="M84" t="s">
        <v>727</v>
      </c>
      <c r="N84" t="s">
        <v>816</v>
      </c>
      <c r="O84" s="29">
        <v>170.39</v>
      </c>
      <c r="P84" t="str">
        <f>IF(Table1[[#This Row],[UnitPrice]]&lt;=0,"Check","OK")</f>
        <v>OK</v>
      </c>
      <c r="Q84" s="29">
        <f t="shared" si="17"/>
        <v>388.04</v>
      </c>
      <c r="R84">
        <v>388.04</v>
      </c>
      <c r="S84" s="5">
        <f>IF(Table1[[#This Row],[Discount_Flag]]="Check", MIN(MAX(Table1[[#This Row],[DiscountPct]],0),0.3), Table1[[#This Row],[DiscountPct]])</f>
        <v>8.4000000000000005E-2</v>
      </c>
      <c r="T84" t="str">
        <f>IF(OR(Table1[[#This Row],[DiscountPct]]&lt;0,Table1[[#This Row],[DiscountPct]]&gt;0.3),"Check","OK")</f>
        <v>OK</v>
      </c>
      <c r="U84" s="11">
        <v>8.4000000000000005E-2</v>
      </c>
      <c r="V84" s="15">
        <f t="shared" si="18"/>
        <v>0</v>
      </c>
      <c r="W84" s="11">
        <f t="shared" si="19"/>
        <v>0.52062858508711796</v>
      </c>
      <c r="X84" s="17">
        <f t="shared" si="20"/>
        <v>2555.85</v>
      </c>
      <c r="Y84" s="17">
        <f t="shared" si="21"/>
        <v>2775.8196000000003</v>
      </c>
      <c r="Z84" s="17">
        <f t="shared" si="22"/>
        <v>5331.6696000000002</v>
      </c>
      <c r="AA84" s="17" t="str">
        <f t="shared" si="23"/>
        <v>Q2-2025</v>
      </c>
      <c r="AB84" s="12" t="str">
        <f t="shared" si="24"/>
        <v>May-2025</v>
      </c>
      <c r="AC84" s="12" t="str">
        <f t="shared" si="25"/>
        <v>Low</v>
      </c>
      <c r="AD84">
        <v>15</v>
      </c>
      <c r="AE84" s="12">
        <f>_xlfn.MINIFS(Table1[MonthDate], Table1[Country], Table1[[#This Row],[Country]])</f>
        <v>44927</v>
      </c>
      <c r="AF84" s="12">
        <f t="shared" si="26"/>
        <v>45778</v>
      </c>
      <c r="AG84">
        <f>AD84*(1 + Scenario_Control!$B$4)</f>
        <v>16.5</v>
      </c>
      <c r="AH84">
        <f>O84*(1 + Scenario_Control!$B$3)</f>
        <v>178.90949999999998</v>
      </c>
      <c r="AI84">
        <f t="shared" si="27"/>
        <v>1172.9673120000002</v>
      </c>
      <c r="AJ84">
        <f t="shared" si="28"/>
        <v>-1779.0394379999993</v>
      </c>
      <c r="AK84" s="29">
        <f>MIN(Q84*(1-U84), Scenario_Control!$B$2*Q84)</f>
        <v>77.608000000000004</v>
      </c>
      <c r="AL84" s="15">
        <f t="shared" si="29"/>
        <v>0</v>
      </c>
      <c r="AM84" s="8">
        <f>DATEDIF(Table1[[#This Row],[Country_FirstMonth]], Table1[[#This Row],[MonthDate]], "m")</f>
        <v>28</v>
      </c>
    </row>
    <row r="85" spans="1:39" x14ac:dyDescent="0.25">
      <c r="A85" t="s">
        <v>98</v>
      </c>
      <c r="B85" s="12">
        <v>45770</v>
      </c>
      <c r="C85" s="12">
        <f t="shared" si="15"/>
        <v>45777</v>
      </c>
      <c r="D85" s="2" t="str">
        <f>IF(Table1[[#This Row],[RequiredDate]]&lt;Table1[[#This Row],[OrderDate]],"Check","OK")</f>
        <v>Check</v>
      </c>
      <c r="E85" s="2">
        <v>45769</v>
      </c>
      <c r="F85" s="15">
        <f t="shared" si="16"/>
        <v>7</v>
      </c>
      <c r="G85" t="s">
        <v>648</v>
      </c>
      <c r="H85" t="s">
        <v>660</v>
      </c>
      <c r="I85" t="s">
        <v>686</v>
      </c>
      <c r="J85" t="s">
        <v>703</v>
      </c>
      <c r="K85" t="s">
        <v>710</v>
      </c>
      <c r="L85" t="s">
        <v>726</v>
      </c>
      <c r="M85" t="s">
        <v>732</v>
      </c>
      <c r="N85" t="s">
        <v>817</v>
      </c>
      <c r="O85" s="29">
        <v>23.24</v>
      </c>
      <c r="P85" t="str">
        <f>IF(Table1[[#This Row],[UnitPrice]]&lt;=0,"Check","OK")</f>
        <v>OK</v>
      </c>
      <c r="Q85" s="29">
        <f t="shared" si="17"/>
        <v>44.57</v>
      </c>
      <c r="R85">
        <v>44.57</v>
      </c>
      <c r="S85" s="5">
        <f>IF(Table1[[#This Row],[Discount_Flag]]="Check", MIN(MAX(Table1[[#This Row],[DiscountPct]],0),0.3), Table1[[#This Row],[DiscountPct]])</f>
        <v>0.215</v>
      </c>
      <c r="T85" t="str">
        <f>IF(OR(Table1[[#This Row],[DiscountPct]]&lt;0,Table1[[#This Row],[DiscountPct]]&gt;0.3),"Check","OK")</f>
        <v>OK</v>
      </c>
      <c r="U85" s="11">
        <v>0.215</v>
      </c>
      <c r="V85" s="15">
        <f t="shared" si="18"/>
        <v>1</v>
      </c>
      <c r="W85" s="11">
        <f t="shared" si="19"/>
        <v>0.33576182316802167</v>
      </c>
      <c r="X85" s="17">
        <f t="shared" si="20"/>
        <v>348.59999999999997</v>
      </c>
      <c r="Y85" s="17">
        <f t="shared" si="21"/>
        <v>176.21174999999999</v>
      </c>
      <c r="Z85" s="17">
        <f t="shared" si="22"/>
        <v>524.81174999999996</v>
      </c>
      <c r="AA85" s="17" t="str">
        <f t="shared" si="23"/>
        <v>Q2-2025</v>
      </c>
      <c r="AB85" s="12" t="str">
        <f t="shared" si="24"/>
        <v>Apr-2025</v>
      </c>
      <c r="AC85" s="12" t="str">
        <f t="shared" si="25"/>
        <v>Low</v>
      </c>
      <c r="AD85">
        <v>15</v>
      </c>
      <c r="AE85" s="12">
        <f>_xlfn.MINIFS(Table1[MonthDate], Table1[Country], Table1[[#This Row],[Country]])</f>
        <v>44927</v>
      </c>
      <c r="AF85" s="12">
        <f t="shared" si="26"/>
        <v>45748</v>
      </c>
      <c r="AG85">
        <f>AD85*(1 + Scenario_Control!$B$4)</f>
        <v>16.5</v>
      </c>
      <c r="AH85">
        <f>O85*(1 + Scenario_Control!$B$3)</f>
        <v>24.402000000000001</v>
      </c>
      <c r="AI85">
        <f t="shared" si="27"/>
        <v>115.458585</v>
      </c>
      <c r="AJ85">
        <f t="shared" si="28"/>
        <v>-287.17441500000007</v>
      </c>
      <c r="AK85" s="29">
        <f>MIN(Q85*(1-U85), Scenario_Control!$B$2*Q85)</f>
        <v>8.9139999999999997</v>
      </c>
      <c r="AL85" s="15">
        <f t="shared" si="29"/>
        <v>1</v>
      </c>
      <c r="AM85" s="8">
        <f>DATEDIF(Table1[[#This Row],[Country_FirstMonth]], Table1[[#This Row],[MonthDate]], "m")</f>
        <v>27</v>
      </c>
    </row>
    <row r="86" spans="1:39" x14ac:dyDescent="0.25">
      <c r="A86" t="s">
        <v>99</v>
      </c>
      <c r="B86" s="12">
        <v>45741</v>
      </c>
      <c r="C86" s="12">
        <f t="shared" si="15"/>
        <v>45764</v>
      </c>
      <c r="D86" s="2" t="str">
        <f>IF(Table1[[#This Row],[RequiredDate]]&lt;Table1[[#This Row],[OrderDate]],"Check","OK")</f>
        <v>OK</v>
      </c>
      <c r="E86" s="2">
        <v>45764</v>
      </c>
      <c r="F86" s="15">
        <f t="shared" si="16"/>
        <v>23</v>
      </c>
      <c r="G86" t="s">
        <v>649</v>
      </c>
      <c r="H86" t="s">
        <v>658</v>
      </c>
      <c r="I86" t="s">
        <v>683</v>
      </c>
      <c r="J86" t="s">
        <v>704</v>
      </c>
      <c r="K86" t="s">
        <v>707</v>
      </c>
      <c r="L86" t="s">
        <v>722</v>
      </c>
      <c r="M86" t="s">
        <v>729</v>
      </c>
      <c r="N86" t="s">
        <v>818</v>
      </c>
      <c r="O86" s="29">
        <v>1421.19</v>
      </c>
      <c r="P86" t="str">
        <f>IF(Table1[[#This Row],[UnitPrice]]&lt;=0,"Check","OK")</f>
        <v>OK</v>
      </c>
      <c r="Q86" s="29">
        <f t="shared" si="17"/>
        <v>1808.26</v>
      </c>
      <c r="R86">
        <v>1808.26</v>
      </c>
      <c r="S86" s="5">
        <f>IF(Table1[[#This Row],[Discount_Flag]]="Check", MIN(MAX(Table1[[#This Row],[DiscountPct]],0),0.3), Table1[[#This Row],[DiscountPct]])</f>
        <v>0.104</v>
      </c>
      <c r="T86" t="str">
        <f>IF(OR(Table1[[#This Row],[DiscountPct]]&lt;0,Table1[[#This Row],[DiscountPct]]&gt;0.3),"Check","OK")</f>
        <v>OK</v>
      </c>
      <c r="U86" s="11">
        <v>0.104</v>
      </c>
      <c r="V86" s="15">
        <f t="shared" si="18"/>
        <v>0</v>
      </c>
      <c r="W86" s="11">
        <f t="shared" si="19"/>
        <v>0.12283103449093123</v>
      </c>
      <c r="X86" s="17">
        <f t="shared" si="20"/>
        <v>18475.47</v>
      </c>
      <c r="Y86" s="17">
        <f t="shared" si="21"/>
        <v>2587.1424799999986</v>
      </c>
      <c r="Z86" s="17">
        <f t="shared" si="22"/>
        <v>21062.61248</v>
      </c>
      <c r="AA86" s="17" t="str">
        <f t="shared" si="23"/>
        <v>Q1-2025</v>
      </c>
      <c r="AB86" s="12" t="str">
        <f t="shared" si="24"/>
        <v>Mar-2025</v>
      </c>
      <c r="AC86" s="12" t="str">
        <f t="shared" si="25"/>
        <v>Medium</v>
      </c>
      <c r="AD86">
        <v>13</v>
      </c>
      <c r="AE86" s="12">
        <f>_xlfn.MINIFS(Table1[MonthDate], Table1[Country], Table1[[#This Row],[Country]])</f>
        <v>44927</v>
      </c>
      <c r="AF86" s="12">
        <f t="shared" si="26"/>
        <v>45717</v>
      </c>
      <c r="AG86">
        <f>AD86*(1 + Scenario_Control!$B$4)</f>
        <v>14.3</v>
      </c>
      <c r="AH86">
        <f>O86*(1 + Scenario_Control!$B$3)</f>
        <v>1492.2495000000001</v>
      </c>
      <c r="AI86">
        <f t="shared" si="27"/>
        <v>4633.7747456000006</v>
      </c>
      <c r="AJ86">
        <f t="shared" si="28"/>
        <v>-16705.393104400002</v>
      </c>
      <c r="AK86" s="29">
        <f>MIN(Q86*(1-U86), Scenario_Control!$B$2*Q86)</f>
        <v>361.65200000000004</v>
      </c>
      <c r="AL86" s="15">
        <f t="shared" si="29"/>
        <v>0</v>
      </c>
      <c r="AM86" s="8">
        <f>DATEDIF(Table1[[#This Row],[Country_FirstMonth]], Table1[[#This Row],[MonthDate]], "m")</f>
        <v>26</v>
      </c>
    </row>
    <row r="87" spans="1:39" x14ac:dyDescent="0.25">
      <c r="A87" t="s">
        <v>100</v>
      </c>
      <c r="B87" s="12">
        <v>45282</v>
      </c>
      <c r="C87" s="12">
        <f t="shared" si="15"/>
        <v>45283</v>
      </c>
      <c r="D87" s="2" t="str">
        <f>IF(Table1[[#This Row],[RequiredDate]]&lt;Table1[[#This Row],[OrderDate]],"Check","OK")</f>
        <v>OK</v>
      </c>
      <c r="E87" s="2">
        <v>45283</v>
      </c>
      <c r="F87" s="15">
        <f t="shared" si="16"/>
        <v>1</v>
      </c>
      <c r="G87" t="s">
        <v>646</v>
      </c>
      <c r="H87" t="s">
        <v>661</v>
      </c>
      <c r="I87" t="s">
        <v>695</v>
      </c>
      <c r="J87" t="s">
        <v>703</v>
      </c>
      <c r="K87" t="s">
        <v>709</v>
      </c>
      <c r="L87" t="s">
        <v>726</v>
      </c>
      <c r="M87" t="s">
        <v>727</v>
      </c>
      <c r="N87" t="s">
        <v>819</v>
      </c>
      <c r="O87" s="29">
        <v>1186.18</v>
      </c>
      <c r="P87" t="str">
        <f>IF(Table1[[#This Row],[UnitPrice]]&lt;=0,"Check","OK")</f>
        <v>OK</v>
      </c>
      <c r="Q87" s="29">
        <f t="shared" si="17"/>
        <v>1285.0899999999999</v>
      </c>
      <c r="R87">
        <v>1285.0899999999999</v>
      </c>
      <c r="S87" s="5">
        <f>IF(Table1[[#This Row],[Discount_Flag]]="Check", MIN(MAX(Table1[[#This Row],[DiscountPct]],0),0.3), Table1[[#This Row],[DiscountPct]])</f>
        <v>7.0000000000000007E-2</v>
      </c>
      <c r="T87" t="str">
        <f>IF(OR(Table1[[#This Row],[DiscountPct]]&lt;0,Table1[[#This Row],[DiscountPct]]&gt;0.3),"Check","OK")</f>
        <v>OK</v>
      </c>
      <c r="U87" s="11">
        <v>7.0000000000000007E-2</v>
      </c>
      <c r="V87" s="15">
        <f t="shared" si="18"/>
        <v>0</v>
      </c>
      <c r="W87" s="11">
        <f t="shared" si="19"/>
        <v>7.4917977796121861E-3</v>
      </c>
      <c r="X87" s="17">
        <f t="shared" si="20"/>
        <v>13047.980000000001</v>
      </c>
      <c r="Y87" s="17">
        <f t="shared" si="21"/>
        <v>98.49069999999665</v>
      </c>
      <c r="Z87" s="17">
        <f t="shared" si="22"/>
        <v>13146.470699999998</v>
      </c>
      <c r="AA87" s="17" t="str">
        <f t="shared" si="23"/>
        <v>Q4-2023</v>
      </c>
      <c r="AB87" s="12" t="str">
        <f t="shared" si="24"/>
        <v>Dec-2023</v>
      </c>
      <c r="AC87" s="12" t="str">
        <f t="shared" si="25"/>
        <v>Medium</v>
      </c>
      <c r="AD87">
        <v>11</v>
      </c>
      <c r="AE87" s="12">
        <f>_xlfn.MINIFS(Table1[MonthDate], Table1[Country], Table1[[#This Row],[Country]])</f>
        <v>44927</v>
      </c>
      <c r="AF87" s="12">
        <f t="shared" si="26"/>
        <v>45261</v>
      </c>
      <c r="AG87">
        <f>AD87*(1 + Scenario_Control!$B$4)</f>
        <v>12.100000000000001</v>
      </c>
      <c r="AH87">
        <f>O87*(1 + Scenario_Control!$B$3)</f>
        <v>1245.489</v>
      </c>
      <c r="AI87">
        <f t="shared" si="27"/>
        <v>2892.2235540000001</v>
      </c>
      <c r="AJ87">
        <f t="shared" si="28"/>
        <v>-12178.193346000002</v>
      </c>
      <c r="AK87" s="29">
        <f>MIN(Q87*(1-U87), Scenario_Control!$B$2*Q87)</f>
        <v>257.01799999999997</v>
      </c>
      <c r="AL87" s="15">
        <f t="shared" si="29"/>
        <v>1</v>
      </c>
      <c r="AM87" s="8">
        <f>DATEDIF(Table1[[#This Row],[Country_FirstMonth]], Table1[[#This Row],[MonthDate]], "m")</f>
        <v>11</v>
      </c>
    </row>
    <row r="88" spans="1:39" x14ac:dyDescent="0.25">
      <c r="A88" t="s">
        <v>101</v>
      </c>
      <c r="B88" s="12">
        <v>45388</v>
      </c>
      <c r="C88" s="12">
        <f t="shared" si="15"/>
        <v>45407</v>
      </c>
      <c r="D88" s="2" t="str">
        <f>IF(Table1[[#This Row],[RequiredDate]]&lt;Table1[[#This Row],[OrderDate]],"Check","OK")</f>
        <v>OK</v>
      </c>
      <c r="E88" s="2">
        <v>45407</v>
      </c>
      <c r="F88" s="15">
        <f t="shared" si="16"/>
        <v>19</v>
      </c>
      <c r="G88" t="s">
        <v>647</v>
      </c>
      <c r="H88" t="s">
        <v>659</v>
      </c>
      <c r="I88" t="s">
        <v>685</v>
      </c>
      <c r="J88" t="s">
        <v>701</v>
      </c>
      <c r="K88" t="s">
        <v>707</v>
      </c>
      <c r="L88" t="s">
        <v>723</v>
      </c>
      <c r="M88" t="s">
        <v>727</v>
      </c>
      <c r="N88" t="s">
        <v>820</v>
      </c>
      <c r="O88" s="29">
        <v>1366.48</v>
      </c>
      <c r="P88" t="str">
        <f>IF(Table1[[#This Row],[UnitPrice]]&lt;=0,"Check","OK")</f>
        <v>OK</v>
      </c>
      <c r="Q88" s="29">
        <f t="shared" si="17"/>
        <v>1678.14</v>
      </c>
      <c r="R88">
        <v>1678.14</v>
      </c>
      <c r="S88" s="5">
        <f>IF(Table1[[#This Row],[Discount_Flag]]="Check", MIN(MAX(Table1[[#This Row],[DiscountPct]],0),0.3), Table1[[#This Row],[DiscountPct]])</f>
        <v>0.154</v>
      </c>
      <c r="T88" t="str">
        <f>IF(OR(Table1[[#This Row],[DiscountPct]]&lt;0,Table1[[#This Row],[DiscountPct]]&gt;0.3),"Check","OK")</f>
        <v>OK</v>
      </c>
      <c r="U88" s="11">
        <v>0.154</v>
      </c>
      <c r="V88" s="15">
        <f t="shared" si="18"/>
        <v>0</v>
      </c>
      <c r="W88" s="11">
        <f t="shared" si="19"/>
        <v>3.7491159087790132E-2</v>
      </c>
      <c r="X88" s="17">
        <f t="shared" si="20"/>
        <v>13664.8</v>
      </c>
      <c r="Y88" s="17">
        <f t="shared" si="21"/>
        <v>532.26440000000184</v>
      </c>
      <c r="Z88" s="17">
        <f t="shared" si="22"/>
        <v>14197.064400000001</v>
      </c>
      <c r="AA88" s="17" t="str">
        <f t="shared" si="23"/>
        <v>Q2-2024</v>
      </c>
      <c r="AB88" s="12" t="str">
        <f t="shared" si="24"/>
        <v>Apr-2024</v>
      </c>
      <c r="AC88" s="12" t="str">
        <f t="shared" si="25"/>
        <v>Medium</v>
      </c>
      <c r="AD88">
        <v>10</v>
      </c>
      <c r="AE88" s="12">
        <f>_xlfn.MINIFS(Table1[MonthDate], Table1[Country], Table1[[#This Row],[Country]])</f>
        <v>44927</v>
      </c>
      <c r="AF88" s="12">
        <f t="shared" si="26"/>
        <v>45383</v>
      </c>
      <c r="AG88">
        <f>AD88*(1 + Scenario_Control!$B$4)</f>
        <v>11</v>
      </c>
      <c r="AH88">
        <f>O88*(1 + Scenario_Control!$B$3)</f>
        <v>1434.8040000000001</v>
      </c>
      <c r="AI88">
        <f t="shared" si="27"/>
        <v>3123.3541680000003</v>
      </c>
      <c r="AJ88">
        <f t="shared" si="28"/>
        <v>-12659.489832000001</v>
      </c>
      <c r="AK88" s="29">
        <f>MIN(Q88*(1-U88), Scenario_Control!$B$2*Q88)</f>
        <v>335.62800000000004</v>
      </c>
      <c r="AL88" s="15">
        <f t="shared" si="29"/>
        <v>0</v>
      </c>
      <c r="AM88" s="8">
        <f>DATEDIF(Table1[[#This Row],[Country_FirstMonth]], Table1[[#This Row],[MonthDate]], "m")</f>
        <v>15</v>
      </c>
    </row>
    <row r="89" spans="1:39" x14ac:dyDescent="0.25">
      <c r="A89" t="s">
        <v>102</v>
      </c>
      <c r="B89" s="12">
        <v>45876</v>
      </c>
      <c r="C89" s="12">
        <f t="shared" si="15"/>
        <v>45888</v>
      </c>
      <c r="D89" s="2" t="str">
        <f>IF(Table1[[#This Row],[RequiredDate]]&lt;Table1[[#This Row],[OrderDate]],"Check","OK")</f>
        <v>OK</v>
      </c>
      <c r="E89" s="2">
        <v>45888</v>
      </c>
      <c r="F89" s="15">
        <f t="shared" si="16"/>
        <v>12</v>
      </c>
      <c r="G89" t="s">
        <v>646</v>
      </c>
      <c r="H89" t="s">
        <v>650</v>
      </c>
      <c r="I89" t="s">
        <v>678</v>
      </c>
      <c r="J89" t="s">
        <v>701</v>
      </c>
      <c r="K89" t="s">
        <v>1428</v>
      </c>
      <c r="L89" t="s">
        <v>724</v>
      </c>
      <c r="M89" t="s">
        <v>727</v>
      </c>
      <c r="N89" t="s">
        <v>821</v>
      </c>
      <c r="O89" s="29">
        <v>601.51</v>
      </c>
      <c r="P89" t="str">
        <f>IF(Table1[[#This Row],[UnitPrice]]&lt;=0,"Check","OK")</f>
        <v>OK</v>
      </c>
      <c r="Q89" s="29">
        <f t="shared" si="17"/>
        <v>679.35</v>
      </c>
      <c r="R89">
        <v>679.35</v>
      </c>
      <c r="S89" s="5">
        <f>IF(Table1[[#This Row],[Discount_Flag]]="Check", MIN(MAX(Table1[[#This Row],[DiscountPct]],0),0.3), Table1[[#This Row],[DiscountPct]])</f>
        <v>0.188</v>
      </c>
      <c r="T89" t="str">
        <f>IF(OR(Table1[[#This Row],[DiscountPct]]&lt;0,Table1[[#This Row],[DiscountPct]]&gt;0.3),"Check","OK")</f>
        <v>OK</v>
      </c>
      <c r="U89" s="11">
        <v>0.188</v>
      </c>
      <c r="V89" s="15">
        <f t="shared" si="18"/>
        <v>0</v>
      </c>
      <c r="W89" s="11">
        <f t="shared" si="19"/>
        <v>-9.0418579626062243E-2</v>
      </c>
      <c r="X89" s="17">
        <f t="shared" si="20"/>
        <v>1804.53</v>
      </c>
      <c r="Y89" s="17">
        <f t="shared" si="21"/>
        <v>-149.63339999999971</v>
      </c>
      <c r="Z89" s="17">
        <f t="shared" si="22"/>
        <v>1654.8966000000003</v>
      </c>
      <c r="AA89" s="17" t="str">
        <f t="shared" si="23"/>
        <v>Q3-2025</v>
      </c>
      <c r="AB89" s="12" t="str">
        <f t="shared" si="24"/>
        <v>Aug-2025</v>
      </c>
      <c r="AC89" s="12" t="str">
        <f t="shared" si="25"/>
        <v>Medium</v>
      </c>
      <c r="AD89">
        <v>3</v>
      </c>
      <c r="AE89" s="12">
        <f>_xlfn.MINIFS(Table1[MonthDate], Table1[Country], Table1[[#This Row],[Country]])</f>
        <v>44927</v>
      </c>
      <c r="AF89" s="12">
        <f t="shared" si="26"/>
        <v>45870</v>
      </c>
      <c r="AG89">
        <f>AD89*(1 + Scenario_Control!$B$4)</f>
        <v>3.3000000000000003</v>
      </c>
      <c r="AH89">
        <f>O89*(1 + Scenario_Control!$B$3)</f>
        <v>631.58550000000002</v>
      </c>
      <c r="AI89">
        <f t="shared" si="27"/>
        <v>364.07725200000004</v>
      </c>
      <c r="AJ89">
        <f t="shared" si="28"/>
        <v>-1720.1548980000002</v>
      </c>
      <c r="AK89" s="29">
        <f>MIN(Q89*(1-U89), Scenario_Control!$B$2*Q89)</f>
        <v>135.87</v>
      </c>
      <c r="AL89" s="15">
        <f t="shared" si="29"/>
        <v>0</v>
      </c>
      <c r="AM89" s="8">
        <f>DATEDIF(Table1[[#This Row],[Country_FirstMonth]], Table1[[#This Row],[MonthDate]], "m")</f>
        <v>31</v>
      </c>
    </row>
    <row r="90" spans="1:39" x14ac:dyDescent="0.25">
      <c r="A90" t="s">
        <v>103</v>
      </c>
      <c r="B90" s="12">
        <v>45312</v>
      </c>
      <c r="C90" s="12">
        <f t="shared" si="15"/>
        <v>45316</v>
      </c>
      <c r="D90" s="2" t="str">
        <f>IF(Table1[[#This Row],[RequiredDate]]&lt;Table1[[#This Row],[OrderDate]],"Check","OK")</f>
        <v>OK</v>
      </c>
      <c r="E90" s="2">
        <v>45316</v>
      </c>
      <c r="F90" s="15">
        <f t="shared" si="16"/>
        <v>4</v>
      </c>
      <c r="G90" t="s">
        <v>647</v>
      </c>
      <c r="H90" t="s">
        <v>654</v>
      </c>
      <c r="I90" t="s">
        <v>680</v>
      </c>
      <c r="J90" t="s">
        <v>704</v>
      </c>
      <c r="K90" t="s">
        <v>711</v>
      </c>
      <c r="L90" t="s">
        <v>712</v>
      </c>
      <c r="M90" t="s">
        <v>732</v>
      </c>
      <c r="N90" t="s">
        <v>822</v>
      </c>
      <c r="O90" s="29">
        <v>523.70000000000005</v>
      </c>
      <c r="P90" t="str">
        <f>IF(Table1[[#This Row],[UnitPrice]]&lt;=0,"Check","OK")</f>
        <v>OK</v>
      </c>
      <c r="Q90" s="29">
        <f t="shared" si="17"/>
        <v>1109.92</v>
      </c>
      <c r="R90">
        <v>1109.92</v>
      </c>
      <c r="S90" s="5">
        <f>IF(Table1[[#This Row],[Discount_Flag]]="Check", MIN(MAX(Table1[[#This Row],[DiscountPct]],0),0.3), Table1[[#This Row],[DiscountPct]])</f>
        <v>0.03</v>
      </c>
      <c r="T90" t="str">
        <f>IF(OR(Table1[[#This Row],[DiscountPct]]&lt;0,Table1[[#This Row],[DiscountPct]]&gt;0.3),"Check","OK")</f>
        <v>OK</v>
      </c>
      <c r="U90" s="11">
        <v>0.03</v>
      </c>
      <c r="V90" s="15">
        <f t="shared" si="18"/>
        <v>0</v>
      </c>
      <c r="W90" s="11">
        <f t="shared" si="19"/>
        <v>0.51357133197302973</v>
      </c>
      <c r="X90" s="17">
        <f t="shared" si="20"/>
        <v>5760.7000000000007</v>
      </c>
      <c r="Y90" s="17">
        <f t="shared" si="21"/>
        <v>6082.1463999999996</v>
      </c>
      <c r="Z90" s="17">
        <f t="shared" si="22"/>
        <v>11842.8464</v>
      </c>
      <c r="AA90" s="17" t="str">
        <f t="shared" si="23"/>
        <v>Q1-2024</v>
      </c>
      <c r="AB90" s="12" t="str">
        <f t="shared" si="24"/>
        <v>Jan-2024</v>
      </c>
      <c r="AC90" s="12" t="str">
        <f t="shared" si="25"/>
        <v>Medium</v>
      </c>
      <c r="AD90">
        <v>11</v>
      </c>
      <c r="AE90" s="12">
        <f>_xlfn.MINIFS(Table1[MonthDate], Table1[Country], Table1[[#This Row],[Country]])</f>
        <v>44927</v>
      </c>
      <c r="AF90" s="12">
        <f t="shared" si="26"/>
        <v>45292</v>
      </c>
      <c r="AG90">
        <f>AD90*(1 + Scenario_Control!$B$4)</f>
        <v>12.100000000000001</v>
      </c>
      <c r="AH90">
        <f>O90*(1 + Scenario_Control!$B$3)</f>
        <v>549.8850000000001</v>
      </c>
      <c r="AI90">
        <f t="shared" si="27"/>
        <v>2605.4262080000008</v>
      </c>
      <c r="AJ90">
        <f t="shared" si="28"/>
        <v>-4048.1822920000013</v>
      </c>
      <c r="AK90" s="29">
        <f>MIN(Q90*(1-U90), Scenario_Control!$B$2*Q90)</f>
        <v>221.98400000000004</v>
      </c>
      <c r="AL90" s="15">
        <f t="shared" si="29"/>
        <v>1</v>
      </c>
      <c r="AM90" s="8">
        <f>DATEDIF(Table1[[#This Row],[Country_FirstMonth]], Table1[[#This Row],[MonthDate]], "m")</f>
        <v>12</v>
      </c>
    </row>
    <row r="91" spans="1:39" x14ac:dyDescent="0.25">
      <c r="A91" t="s">
        <v>104</v>
      </c>
      <c r="B91" s="12">
        <v>45106</v>
      </c>
      <c r="C91" s="12">
        <f t="shared" si="15"/>
        <v>45109</v>
      </c>
      <c r="D91" s="2" t="str">
        <f>IF(Table1[[#This Row],[RequiredDate]]&lt;Table1[[#This Row],[OrderDate]],"Check","OK")</f>
        <v>OK</v>
      </c>
      <c r="E91" s="2">
        <v>45109</v>
      </c>
      <c r="F91" s="15">
        <f t="shared" si="16"/>
        <v>3</v>
      </c>
      <c r="G91" t="s">
        <v>647</v>
      </c>
      <c r="H91" t="s">
        <v>652</v>
      </c>
      <c r="I91" t="s">
        <v>694</v>
      </c>
      <c r="J91" t="s">
        <v>702</v>
      </c>
      <c r="K91" t="s">
        <v>709</v>
      </c>
      <c r="L91" t="s">
        <v>721</v>
      </c>
      <c r="M91" t="s">
        <v>732</v>
      </c>
      <c r="N91" t="s">
        <v>823</v>
      </c>
      <c r="O91" s="29">
        <v>55.65</v>
      </c>
      <c r="P91" t="str">
        <f>IF(Table1[[#This Row],[UnitPrice]]&lt;=0,"Check","OK")</f>
        <v>OK</v>
      </c>
      <c r="Q91" s="29">
        <f t="shared" si="17"/>
        <v>83.57</v>
      </c>
      <c r="R91">
        <v>83.57</v>
      </c>
      <c r="S91" s="5">
        <f>IF(Table1[[#This Row],[Discount_Flag]]="Check", MIN(MAX(Table1[[#This Row],[DiscountPct]],0),0.3), Table1[[#This Row],[DiscountPct]])</f>
        <v>6.6000000000000003E-2</v>
      </c>
      <c r="T91" t="str">
        <f>IF(OR(Table1[[#This Row],[DiscountPct]]&lt;0,Table1[[#This Row],[DiscountPct]]&gt;0.3),"Check","OK")</f>
        <v>OK</v>
      </c>
      <c r="U91" s="11">
        <v>6.6000000000000003E-2</v>
      </c>
      <c r="V91" s="15">
        <f t="shared" si="18"/>
        <v>0</v>
      </c>
      <c r="W91" s="11">
        <f t="shared" si="19"/>
        <v>0.2870355257449998</v>
      </c>
      <c r="X91" s="17">
        <f t="shared" si="20"/>
        <v>445.2</v>
      </c>
      <c r="Y91" s="17">
        <f t="shared" si="21"/>
        <v>179.23503999999997</v>
      </c>
      <c r="Z91" s="17">
        <f t="shared" si="22"/>
        <v>624.43503999999996</v>
      </c>
      <c r="AA91" s="17" t="str">
        <f t="shared" si="23"/>
        <v>Q2-2023</v>
      </c>
      <c r="AB91" s="12" t="str">
        <f t="shared" si="24"/>
        <v>Jun-2023</v>
      </c>
      <c r="AC91" s="12" t="str">
        <f t="shared" si="25"/>
        <v>Low</v>
      </c>
      <c r="AD91">
        <v>8</v>
      </c>
      <c r="AE91" s="12">
        <f>_xlfn.MINIFS(Table1[MonthDate], Table1[Country], Table1[[#This Row],[Country]])</f>
        <v>44986</v>
      </c>
      <c r="AF91" s="12">
        <f t="shared" si="26"/>
        <v>45078</v>
      </c>
      <c r="AG91">
        <f>AD91*(1 + Scenario_Control!$B$4)</f>
        <v>8.8000000000000007</v>
      </c>
      <c r="AH91">
        <f>O91*(1 + Scenario_Control!$B$3)</f>
        <v>58.432499999999997</v>
      </c>
      <c r="AI91">
        <f t="shared" si="27"/>
        <v>137.37570879999998</v>
      </c>
      <c r="AJ91">
        <f t="shared" si="28"/>
        <v>-376.83029120000003</v>
      </c>
      <c r="AK91" s="29">
        <f>MIN(Q91*(1-U91), Scenario_Control!$B$2*Q91)</f>
        <v>16.713999999999999</v>
      </c>
      <c r="AL91" s="15">
        <f t="shared" si="29"/>
        <v>1</v>
      </c>
      <c r="AM91" s="8">
        <f>DATEDIF(Table1[[#This Row],[Country_FirstMonth]], Table1[[#This Row],[MonthDate]], "m")</f>
        <v>3</v>
      </c>
    </row>
    <row r="92" spans="1:39" x14ac:dyDescent="0.25">
      <c r="A92" t="s">
        <v>105</v>
      </c>
      <c r="B92" s="12">
        <v>45775</v>
      </c>
      <c r="C92" s="12">
        <f t="shared" si="15"/>
        <v>45792</v>
      </c>
      <c r="D92" s="2" t="str">
        <f>IF(Table1[[#This Row],[RequiredDate]]&lt;Table1[[#This Row],[OrderDate]],"Check","OK")</f>
        <v>OK</v>
      </c>
      <c r="E92" s="2">
        <v>45792</v>
      </c>
      <c r="F92" s="15">
        <f t="shared" si="16"/>
        <v>17</v>
      </c>
      <c r="G92" t="s">
        <v>647</v>
      </c>
      <c r="H92" t="s">
        <v>652</v>
      </c>
      <c r="I92" t="s">
        <v>694</v>
      </c>
      <c r="J92" t="s">
        <v>702</v>
      </c>
      <c r="K92" t="s">
        <v>711</v>
      </c>
      <c r="L92" t="s">
        <v>725</v>
      </c>
      <c r="M92" t="s">
        <v>729</v>
      </c>
      <c r="N92" t="s">
        <v>824</v>
      </c>
      <c r="O92" s="29">
        <v>691.19</v>
      </c>
      <c r="P92" t="str">
        <f>IF(Table1[[#This Row],[UnitPrice]]&lt;=0,"Check","OK")</f>
        <v>OK</v>
      </c>
      <c r="Q92" s="29">
        <f t="shared" si="17"/>
        <v>1284.3</v>
      </c>
      <c r="R92">
        <v>1284.3</v>
      </c>
      <c r="S92" s="5">
        <f>IF(Table1[[#This Row],[Discount_Flag]]="Check", MIN(MAX(Table1[[#This Row],[DiscountPct]],0),0.3), Table1[[#This Row],[DiscountPct]])</f>
        <v>7.3999999999999996E-2</v>
      </c>
      <c r="T92" t="str">
        <f>IF(OR(Table1[[#This Row],[DiscountPct]]&lt;0,Table1[[#This Row],[DiscountPct]]&gt;0.3),"Check","OK")</f>
        <v>OK</v>
      </c>
      <c r="U92" s="11">
        <v>7.3999999999999996E-2</v>
      </c>
      <c r="V92" s="15">
        <f t="shared" si="18"/>
        <v>0</v>
      </c>
      <c r="W92" s="11">
        <f t="shared" si="19"/>
        <v>0.41880753253825198</v>
      </c>
      <c r="X92" s="17">
        <f t="shared" si="20"/>
        <v>4838.33</v>
      </c>
      <c r="Y92" s="17">
        <f t="shared" si="21"/>
        <v>3486.5026000000016</v>
      </c>
      <c r="Z92" s="17">
        <f t="shared" si="22"/>
        <v>8324.8326000000015</v>
      </c>
      <c r="AA92" s="17" t="str">
        <f t="shared" si="23"/>
        <v>Q2-2025</v>
      </c>
      <c r="AB92" s="12" t="str">
        <f t="shared" si="24"/>
        <v>Apr-2025</v>
      </c>
      <c r="AC92" s="12" t="str">
        <f t="shared" si="25"/>
        <v>Medium</v>
      </c>
      <c r="AD92">
        <v>7</v>
      </c>
      <c r="AE92" s="12">
        <f>_xlfn.MINIFS(Table1[MonthDate], Table1[Country], Table1[[#This Row],[Country]])</f>
        <v>44986</v>
      </c>
      <c r="AF92" s="12">
        <f t="shared" si="26"/>
        <v>45748</v>
      </c>
      <c r="AG92">
        <f>AD92*(1 + Scenario_Control!$B$4)</f>
        <v>7.7000000000000011</v>
      </c>
      <c r="AH92">
        <f>O92*(1 + Scenario_Control!$B$3)</f>
        <v>725.74950000000013</v>
      </c>
      <c r="AI92">
        <f t="shared" si="27"/>
        <v>1831.4631720000004</v>
      </c>
      <c r="AJ92">
        <f t="shared" si="28"/>
        <v>-3756.8079780000007</v>
      </c>
      <c r="AK92" s="29">
        <f>MIN(Q92*(1-U92), Scenario_Control!$B$2*Q92)</f>
        <v>256.86</v>
      </c>
      <c r="AL92" s="15">
        <f t="shared" si="29"/>
        <v>0</v>
      </c>
      <c r="AM92" s="8">
        <f>DATEDIF(Table1[[#This Row],[Country_FirstMonth]], Table1[[#This Row],[MonthDate]], "m")</f>
        <v>25</v>
      </c>
    </row>
    <row r="93" spans="1:39" x14ac:dyDescent="0.25">
      <c r="A93" t="s">
        <v>106</v>
      </c>
      <c r="B93" s="12">
        <v>45817</v>
      </c>
      <c r="C93" s="12">
        <f t="shared" si="15"/>
        <v>45833</v>
      </c>
      <c r="D93" s="2" t="str">
        <f>IF(Table1[[#This Row],[RequiredDate]]&lt;Table1[[#This Row],[OrderDate]],"Check","OK")</f>
        <v>OK</v>
      </c>
      <c r="E93" s="2">
        <v>45833</v>
      </c>
      <c r="F93" s="15">
        <f t="shared" si="16"/>
        <v>16</v>
      </c>
      <c r="G93" t="s">
        <v>647</v>
      </c>
      <c r="H93" t="s">
        <v>654</v>
      </c>
      <c r="I93" t="s">
        <v>696</v>
      </c>
      <c r="J93" t="s">
        <v>706</v>
      </c>
      <c r="K93" t="s">
        <v>710</v>
      </c>
      <c r="L93" t="s">
        <v>724</v>
      </c>
      <c r="M93" t="s">
        <v>730</v>
      </c>
      <c r="N93" t="s">
        <v>825</v>
      </c>
      <c r="O93" s="29">
        <v>527.33000000000004</v>
      </c>
      <c r="P93" t="str">
        <f>IF(Table1[[#This Row],[UnitPrice]]&lt;=0,"Check","OK")</f>
        <v>OK</v>
      </c>
      <c r="Q93" s="29">
        <f t="shared" si="17"/>
        <v>911.72</v>
      </c>
      <c r="R93">
        <v>911.72</v>
      </c>
      <c r="S93" s="5">
        <f>IF(Table1[[#This Row],[Discount_Flag]]="Check", MIN(MAX(Table1[[#This Row],[DiscountPct]],0),0.3), Table1[[#This Row],[DiscountPct]])</f>
        <v>0.14399999999999999</v>
      </c>
      <c r="T93" t="str">
        <f>IF(OR(Table1[[#This Row],[DiscountPct]]&lt;0,Table1[[#This Row],[DiscountPct]]&gt;0.3),"Check","OK")</f>
        <v>OK</v>
      </c>
      <c r="U93" s="11">
        <v>0.14399999999999999</v>
      </c>
      <c r="V93" s="15">
        <f t="shared" si="18"/>
        <v>0</v>
      </c>
      <c r="W93" s="11">
        <f t="shared" si="19"/>
        <v>0.32431040272652978</v>
      </c>
      <c r="X93" s="17">
        <f t="shared" si="20"/>
        <v>13183.250000000002</v>
      </c>
      <c r="Y93" s="17">
        <f t="shared" si="21"/>
        <v>6327.5579999999991</v>
      </c>
      <c r="Z93" s="17">
        <f t="shared" si="22"/>
        <v>19510.808000000001</v>
      </c>
      <c r="AA93" s="17" t="str">
        <f t="shared" si="23"/>
        <v>Q2-2025</v>
      </c>
      <c r="AB93" s="12" t="str">
        <f t="shared" si="24"/>
        <v>Jun-2025</v>
      </c>
      <c r="AC93" s="12" t="str">
        <f t="shared" si="25"/>
        <v>Medium</v>
      </c>
      <c r="AD93">
        <v>25</v>
      </c>
      <c r="AE93" s="12">
        <f>_xlfn.MINIFS(Table1[MonthDate], Table1[Country], Table1[[#This Row],[Country]])</f>
        <v>44927</v>
      </c>
      <c r="AF93" s="12">
        <f t="shared" si="26"/>
        <v>45809</v>
      </c>
      <c r="AG93">
        <f>AD93*(1 + Scenario_Control!$B$4)</f>
        <v>27.500000000000004</v>
      </c>
      <c r="AH93">
        <f>O93*(1 + Scenario_Control!$B$3)</f>
        <v>553.69650000000001</v>
      </c>
      <c r="AI93">
        <f t="shared" si="27"/>
        <v>4292.3777600000003</v>
      </c>
      <c r="AJ93">
        <f t="shared" si="28"/>
        <v>-10934.275990000002</v>
      </c>
      <c r="AK93" s="29">
        <f>MIN(Q93*(1-U93), Scenario_Control!$B$2*Q93)</f>
        <v>182.34400000000002</v>
      </c>
      <c r="AL93" s="15">
        <f t="shared" si="29"/>
        <v>0</v>
      </c>
      <c r="AM93" s="8">
        <f>DATEDIF(Table1[[#This Row],[Country_FirstMonth]], Table1[[#This Row],[MonthDate]], "m")</f>
        <v>29</v>
      </c>
    </row>
    <row r="94" spans="1:39" x14ac:dyDescent="0.25">
      <c r="A94" t="s">
        <v>107</v>
      </c>
      <c r="B94" s="12">
        <v>45101</v>
      </c>
      <c r="C94" s="12">
        <f t="shared" si="15"/>
        <v>45108</v>
      </c>
      <c r="D94" s="2" t="str">
        <f>IF(Table1[[#This Row],[RequiredDate]]&lt;Table1[[#This Row],[OrderDate]],"Check","OK")</f>
        <v>Check</v>
      </c>
      <c r="E94" s="2">
        <v>45100</v>
      </c>
      <c r="F94" s="15">
        <f t="shared" si="16"/>
        <v>7</v>
      </c>
      <c r="G94" t="s">
        <v>648</v>
      </c>
      <c r="H94" t="s">
        <v>655</v>
      </c>
      <c r="I94" t="s">
        <v>692</v>
      </c>
      <c r="J94" t="s">
        <v>703</v>
      </c>
      <c r="K94" t="s">
        <v>707</v>
      </c>
      <c r="L94" t="s">
        <v>718</v>
      </c>
      <c r="M94" t="s">
        <v>728</v>
      </c>
      <c r="N94" t="s">
        <v>826</v>
      </c>
      <c r="O94" s="29">
        <v>804.01</v>
      </c>
      <c r="P94" t="str">
        <f>IF(Table1[[#This Row],[UnitPrice]]&lt;=0,"Check","OK")</f>
        <v>OK</v>
      </c>
      <c r="Q94" s="29">
        <f t="shared" si="17"/>
        <v>1405.07</v>
      </c>
      <c r="R94">
        <v>1405.07</v>
      </c>
      <c r="S94" s="5">
        <f>IF(Table1[[#This Row],[Discount_Flag]]="Check", MIN(MAX(Table1[[#This Row],[DiscountPct]],0),0.3), Table1[[#This Row],[DiscountPct]])</f>
        <v>9.6000000000000002E-2</v>
      </c>
      <c r="T94" t="str">
        <f>IF(OR(Table1[[#This Row],[DiscountPct]]&lt;0,Table1[[#This Row],[DiscountPct]]&gt;0.3),"Check","OK")</f>
        <v>OK</v>
      </c>
      <c r="U94" s="11">
        <v>9.6000000000000002E-2</v>
      </c>
      <c r="V94" s="15">
        <f t="shared" si="18"/>
        <v>0</v>
      </c>
      <c r="W94" s="11">
        <f t="shared" si="19"/>
        <v>0.36701260939287439</v>
      </c>
      <c r="X94" s="17">
        <f t="shared" si="20"/>
        <v>6432.08</v>
      </c>
      <c r="Y94" s="17">
        <f t="shared" si="21"/>
        <v>3729.3862399999998</v>
      </c>
      <c r="Z94" s="17">
        <f t="shared" si="22"/>
        <v>10161.46624</v>
      </c>
      <c r="AA94" s="17" t="str">
        <f t="shared" si="23"/>
        <v>Q2-2023</v>
      </c>
      <c r="AB94" s="12" t="str">
        <f t="shared" si="24"/>
        <v>Jun-2023</v>
      </c>
      <c r="AC94" s="12" t="str">
        <f t="shared" si="25"/>
        <v>Medium</v>
      </c>
      <c r="AD94">
        <v>8</v>
      </c>
      <c r="AE94" s="12">
        <f>_xlfn.MINIFS(Table1[MonthDate], Table1[Country], Table1[[#This Row],[Country]])</f>
        <v>44927</v>
      </c>
      <c r="AF94" s="12">
        <f t="shared" si="26"/>
        <v>45078</v>
      </c>
      <c r="AG94">
        <f>AD94*(1 + Scenario_Control!$B$4)</f>
        <v>8.8000000000000007</v>
      </c>
      <c r="AH94">
        <f>O94*(1 + Scenario_Control!$B$3)</f>
        <v>844.21050000000002</v>
      </c>
      <c r="AI94">
        <f t="shared" si="27"/>
        <v>2235.5225728</v>
      </c>
      <c r="AJ94">
        <f t="shared" si="28"/>
        <v>-5193.5298272</v>
      </c>
      <c r="AK94" s="29">
        <f>MIN(Q94*(1-U94), Scenario_Control!$B$2*Q94)</f>
        <v>281.01400000000001</v>
      </c>
      <c r="AL94" s="15">
        <f t="shared" si="29"/>
        <v>1</v>
      </c>
      <c r="AM94" s="8">
        <f>DATEDIF(Table1[[#This Row],[Country_FirstMonth]], Table1[[#This Row],[MonthDate]], "m")</f>
        <v>5</v>
      </c>
    </row>
    <row r="95" spans="1:39" x14ac:dyDescent="0.25">
      <c r="A95" t="s">
        <v>108</v>
      </c>
      <c r="B95" s="12">
        <v>45569</v>
      </c>
      <c r="C95" s="12">
        <f t="shared" si="15"/>
        <v>45598</v>
      </c>
      <c r="D95" s="2" t="str">
        <f>IF(Table1[[#This Row],[RequiredDate]]&lt;Table1[[#This Row],[OrderDate]],"Check","OK")</f>
        <v>OK</v>
      </c>
      <c r="E95" s="2">
        <v>45598</v>
      </c>
      <c r="F95" s="15">
        <f t="shared" si="16"/>
        <v>29</v>
      </c>
      <c r="G95" t="s">
        <v>646</v>
      </c>
      <c r="H95" t="s">
        <v>651</v>
      </c>
      <c r="I95" t="s">
        <v>669</v>
      </c>
      <c r="J95" t="s">
        <v>701</v>
      </c>
      <c r="K95" t="s">
        <v>710</v>
      </c>
      <c r="L95" t="s">
        <v>721</v>
      </c>
      <c r="M95" t="s">
        <v>733</v>
      </c>
      <c r="N95" t="s">
        <v>827</v>
      </c>
      <c r="O95" s="29">
        <v>412.09</v>
      </c>
      <c r="P95" t="str">
        <f>IF(Table1[[#This Row],[UnitPrice]]&lt;=0,"Check","OK")</f>
        <v>OK</v>
      </c>
      <c r="Q95" s="29">
        <f t="shared" si="17"/>
        <v>968.94</v>
      </c>
      <c r="R95">
        <v>968.94</v>
      </c>
      <c r="S95" s="5">
        <f>IF(Table1[[#This Row],[Discount_Flag]]="Check", MIN(MAX(Table1[[#This Row],[DiscountPct]],0),0.3), Table1[[#This Row],[DiscountPct]])</f>
        <v>9.9000000000000005E-2</v>
      </c>
      <c r="T95" t="str">
        <f>IF(OR(Table1[[#This Row],[DiscountPct]]&lt;0,Table1[[#This Row],[DiscountPct]]&gt;0.3),"Check","OK")</f>
        <v>OK</v>
      </c>
      <c r="U95" s="11">
        <v>9.9000000000000005E-2</v>
      </c>
      <c r="V95" s="15">
        <f t="shared" si="18"/>
        <v>0</v>
      </c>
      <c r="W95" s="11">
        <f t="shared" si="19"/>
        <v>0.52796913189137418</v>
      </c>
      <c r="X95" s="17">
        <f t="shared" si="20"/>
        <v>9478.07</v>
      </c>
      <c r="Y95" s="17">
        <f t="shared" si="21"/>
        <v>10601.273620000004</v>
      </c>
      <c r="Z95" s="17">
        <f t="shared" si="22"/>
        <v>20079.343620000003</v>
      </c>
      <c r="AA95" s="17" t="str">
        <f t="shared" si="23"/>
        <v>Q4-2024</v>
      </c>
      <c r="AB95" s="12" t="str">
        <f t="shared" si="24"/>
        <v>Oct-2024</v>
      </c>
      <c r="AC95" s="12" t="str">
        <f t="shared" si="25"/>
        <v>Medium</v>
      </c>
      <c r="AD95">
        <v>23</v>
      </c>
      <c r="AE95" s="12">
        <f>_xlfn.MINIFS(Table1[MonthDate], Table1[Country], Table1[[#This Row],[Country]])</f>
        <v>44927</v>
      </c>
      <c r="AF95" s="12">
        <f t="shared" si="26"/>
        <v>45566</v>
      </c>
      <c r="AG95">
        <f>AD95*(1 + Scenario_Control!$B$4)</f>
        <v>25.3</v>
      </c>
      <c r="AH95">
        <f>O95*(1 + Scenario_Control!$B$3)</f>
        <v>432.69450000000001</v>
      </c>
      <c r="AI95">
        <f t="shared" si="27"/>
        <v>4417.4555964000001</v>
      </c>
      <c r="AJ95">
        <f t="shared" si="28"/>
        <v>-6529.7152536000003</v>
      </c>
      <c r="AK95" s="29">
        <f>MIN(Q95*(1-U95), Scenario_Control!$B$2*Q95)</f>
        <v>193.78800000000001</v>
      </c>
      <c r="AL95" s="15">
        <f t="shared" si="29"/>
        <v>0</v>
      </c>
      <c r="AM95" s="8">
        <f>DATEDIF(Table1[[#This Row],[Country_FirstMonth]], Table1[[#This Row],[MonthDate]], "m")</f>
        <v>21</v>
      </c>
    </row>
    <row r="96" spans="1:39" x14ac:dyDescent="0.25">
      <c r="A96" t="s">
        <v>109</v>
      </c>
      <c r="B96" s="12">
        <v>45910</v>
      </c>
      <c r="C96" s="12">
        <f t="shared" si="15"/>
        <v>45930</v>
      </c>
      <c r="D96" s="2" t="str">
        <f>IF(Table1[[#This Row],[RequiredDate]]&lt;Table1[[#This Row],[OrderDate]],"Check","OK")</f>
        <v>OK</v>
      </c>
      <c r="E96" s="2">
        <v>45930</v>
      </c>
      <c r="F96" s="15">
        <f t="shared" si="16"/>
        <v>20</v>
      </c>
      <c r="G96" t="s">
        <v>646</v>
      </c>
      <c r="H96" t="s">
        <v>650</v>
      </c>
      <c r="I96" t="s">
        <v>675</v>
      </c>
      <c r="J96" t="s">
        <v>701</v>
      </c>
      <c r="K96" t="s">
        <v>711</v>
      </c>
      <c r="L96" t="s">
        <v>716</v>
      </c>
      <c r="M96" t="s">
        <v>730</v>
      </c>
      <c r="N96" t="s">
        <v>828</v>
      </c>
      <c r="O96" s="29">
        <v>1009.48</v>
      </c>
      <c r="P96" t="str">
        <f>IF(Table1[[#This Row],[UnitPrice]]&lt;=0,"Check","OK")</f>
        <v>OK</v>
      </c>
      <c r="Q96" s="29">
        <f t="shared" si="17"/>
        <v>1088.81</v>
      </c>
      <c r="R96">
        <v>1088.81</v>
      </c>
      <c r="S96" s="5">
        <f>IF(Table1[[#This Row],[Discount_Flag]]="Check", MIN(MAX(Table1[[#This Row],[DiscountPct]],0),0.3), Table1[[#This Row],[DiscountPct]])</f>
        <v>0.16</v>
      </c>
      <c r="T96" t="str">
        <f>IF(OR(Table1[[#This Row],[DiscountPct]]&lt;0,Table1[[#This Row],[DiscountPct]]&gt;0.3),"Check","OK")</f>
        <v>OK</v>
      </c>
      <c r="U96" s="11">
        <v>0.16</v>
      </c>
      <c r="V96" s="15">
        <f t="shared" si="18"/>
        <v>0</v>
      </c>
      <c r="W96" s="11">
        <f t="shared" si="19"/>
        <v>-0.10373885688219693</v>
      </c>
      <c r="X96" s="17">
        <f t="shared" si="20"/>
        <v>6056.88</v>
      </c>
      <c r="Y96" s="17">
        <f t="shared" si="21"/>
        <v>-569.27760000000035</v>
      </c>
      <c r="Z96" s="17">
        <f t="shared" si="22"/>
        <v>5487.6023999999998</v>
      </c>
      <c r="AA96" s="17" t="str">
        <f t="shared" si="23"/>
        <v>Q3-2025</v>
      </c>
      <c r="AB96" s="12" t="str">
        <f t="shared" si="24"/>
        <v>Sept-2025</v>
      </c>
      <c r="AC96" s="12" t="str">
        <f t="shared" si="25"/>
        <v>Medium</v>
      </c>
      <c r="AD96">
        <v>6</v>
      </c>
      <c r="AE96" s="12">
        <f>_xlfn.MINIFS(Table1[MonthDate], Table1[Country], Table1[[#This Row],[Country]])</f>
        <v>44927</v>
      </c>
      <c r="AF96" s="12">
        <f t="shared" si="26"/>
        <v>45901</v>
      </c>
      <c r="AG96">
        <f>AD96*(1 + Scenario_Control!$B$4)</f>
        <v>6.6000000000000005</v>
      </c>
      <c r="AH96">
        <f>O96*(1 + Scenario_Control!$B$3)</f>
        <v>1059.954</v>
      </c>
      <c r="AI96">
        <f t="shared" si="27"/>
        <v>1207.2725280000002</v>
      </c>
      <c r="AJ96">
        <f t="shared" si="28"/>
        <v>-5788.4238719999994</v>
      </c>
      <c r="AK96" s="29">
        <f>MIN(Q96*(1-U96), Scenario_Control!$B$2*Q96)</f>
        <v>217.762</v>
      </c>
      <c r="AL96" s="15">
        <f t="shared" si="29"/>
        <v>0</v>
      </c>
      <c r="AM96" s="8">
        <f>DATEDIF(Table1[[#This Row],[Country_FirstMonth]], Table1[[#This Row],[MonthDate]], "m")</f>
        <v>32</v>
      </c>
    </row>
    <row r="97" spans="1:39" x14ac:dyDescent="0.25">
      <c r="A97" t="s">
        <v>110</v>
      </c>
      <c r="B97" s="12">
        <v>45022</v>
      </c>
      <c r="C97" s="12">
        <f t="shared" si="15"/>
        <v>45043</v>
      </c>
      <c r="D97" s="2" t="str">
        <f>IF(Table1[[#This Row],[RequiredDate]]&lt;Table1[[#This Row],[OrderDate]],"Check","OK")</f>
        <v>OK</v>
      </c>
      <c r="E97" s="2">
        <v>45043</v>
      </c>
      <c r="F97" s="15">
        <f t="shared" si="16"/>
        <v>21</v>
      </c>
      <c r="G97" t="s">
        <v>649</v>
      </c>
      <c r="H97" t="s">
        <v>658</v>
      </c>
      <c r="I97" t="s">
        <v>693</v>
      </c>
      <c r="J97" t="s">
        <v>706</v>
      </c>
      <c r="K97" t="s">
        <v>710</v>
      </c>
      <c r="L97" t="s">
        <v>714</v>
      </c>
      <c r="M97" t="s">
        <v>728</v>
      </c>
      <c r="N97" t="s">
        <v>829</v>
      </c>
      <c r="O97" s="29">
        <v>1084.79</v>
      </c>
      <c r="P97" t="str">
        <f>IF(Table1[[#This Row],[UnitPrice]]&lt;=0,"Check","OK")</f>
        <v>OK</v>
      </c>
      <c r="Q97" s="29">
        <f t="shared" si="17"/>
        <v>2484.9899999999998</v>
      </c>
      <c r="R97">
        <v>2484.9899999999998</v>
      </c>
      <c r="S97" s="5">
        <f>IF(Table1[[#This Row],[Discount_Flag]]="Check", MIN(MAX(Table1[[#This Row],[DiscountPct]],0),0.3), Table1[[#This Row],[DiscountPct]])</f>
        <v>3.4000000000000002E-2</v>
      </c>
      <c r="T97" t="str">
        <f>IF(OR(Table1[[#This Row],[DiscountPct]]&lt;0,Table1[[#This Row],[DiscountPct]]&gt;0.3),"Check","OK")</f>
        <v>OK</v>
      </c>
      <c r="U97" s="11">
        <v>3.4000000000000002E-2</v>
      </c>
      <c r="V97" s="15">
        <f t="shared" si="18"/>
        <v>0</v>
      </c>
      <c r="W97" s="11">
        <f t="shared" si="19"/>
        <v>0.54809837685755114</v>
      </c>
      <c r="X97" s="17">
        <f t="shared" si="20"/>
        <v>19526.22</v>
      </c>
      <c r="Y97" s="17">
        <f t="shared" si="21"/>
        <v>23682.78611999999</v>
      </c>
      <c r="Z97" s="17">
        <f t="shared" si="22"/>
        <v>43209.006119999991</v>
      </c>
      <c r="AA97" s="17" t="str">
        <f t="shared" si="23"/>
        <v>Q2-2023</v>
      </c>
      <c r="AB97" s="12" t="str">
        <f t="shared" si="24"/>
        <v>Apr-2023</v>
      </c>
      <c r="AC97" s="12" t="str">
        <f t="shared" si="25"/>
        <v>High</v>
      </c>
      <c r="AD97">
        <v>18</v>
      </c>
      <c r="AE97" s="12">
        <f>_xlfn.MINIFS(Table1[MonthDate], Table1[Country], Table1[[#This Row],[Country]])</f>
        <v>44927</v>
      </c>
      <c r="AF97" s="12">
        <f t="shared" si="26"/>
        <v>45017</v>
      </c>
      <c r="AG97">
        <f>AD97*(1 + Scenario_Control!$B$4)</f>
        <v>19.8</v>
      </c>
      <c r="AH97">
        <f>O97*(1 + Scenario_Control!$B$3)</f>
        <v>1139.0295000000001</v>
      </c>
      <c r="AI97">
        <f t="shared" si="27"/>
        <v>9505.9813463999999</v>
      </c>
      <c r="AJ97">
        <f t="shared" si="28"/>
        <v>-13046.802753600005</v>
      </c>
      <c r="AK97" s="29">
        <f>MIN(Q97*(1-U97), Scenario_Control!$B$2*Q97)</f>
        <v>496.99799999999999</v>
      </c>
      <c r="AL97" s="15">
        <f t="shared" si="29"/>
        <v>0</v>
      </c>
      <c r="AM97" s="8">
        <f>DATEDIF(Table1[[#This Row],[Country_FirstMonth]], Table1[[#This Row],[MonthDate]], "m")</f>
        <v>3</v>
      </c>
    </row>
    <row r="98" spans="1:39" x14ac:dyDescent="0.25">
      <c r="A98" t="s">
        <v>111</v>
      </c>
      <c r="B98" s="12">
        <v>45870</v>
      </c>
      <c r="C98" s="12">
        <f t="shared" si="15"/>
        <v>45885</v>
      </c>
      <c r="D98" s="2" t="str">
        <f>IF(Table1[[#This Row],[RequiredDate]]&lt;Table1[[#This Row],[OrderDate]],"Check","OK")</f>
        <v>OK</v>
      </c>
      <c r="E98" s="2">
        <v>45885</v>
      </c>
      <c r="F98" s="15">
        <f t="shared" si="16"/>
        <v>15</v>
      </c>
      <c r="G98" t="s">
        <v>647</v>
      </c>
      <c r="H98" t="s">
        <v>654</v>
      </c>
      <c r="I98" t="s">
        <v>1425</v>
      </c>
      <c r="J98" t="s">
        <v>706</v>
      </c>
      <c r="K98" t="s">
        <v>711</v>
      </c>
      <c r="L98" t="s">
        <v>719</v>
      </c>
      <c r="M98" t="s">
        <v>732</v>
      </c>
      <c r="N98" t="s">
        <v>830</v>
      </c>
      <c r="O98" s="29">
        <v>24.44</v>
      </c>
      <c r="P98" t="str">
        <f>IF(Table1[[#This Row],[UnitPrice]]&lt;=0,"Check","OK")</f>
        <v>OK</v>
      </c>
      <c r="Q98" s="29">
        <f t="shared" si="17"/>
        <v>28.69</v>
      </c>
      <c r="R98">
        <v>28.69</v>
      </c>
      <c r="S98" s="5">
        <f>IF(Table1[[#This Row],[Discount_Flag]]="Check", MIN(MAX(Table1[[#This Row],[DiscountPct]],0),0.3), Table1[[#This Row],[DiscountPct]])</f>
        <v>0.14599999999999999</v>
      </c>
      <c r="T98" t="str">
        <f>IF(OR(Table1[[#This Row],[DiscountPct]]&lt;0,Table1[[#This Row],[DiscountPct]]&gt;0.3),"Check","OK")</f>
        <v>OK</v>
      </c>
      <c r="U98" s="11">
        <v>0.14599999999999999</v>
      </c>
      <c r="V98" s="15">
        <f t="shared" si="18"/>
        <v>0</v>
      </c>
      <c r="W98" s="11">
        <f t="shared" si="19"/>
        <v>2.5002795774584476E-3</v>
      </c>
      <c r="X98" s="17">
        <f t="shared" si="20"/>
        <v>146.64000000000001</v>
      </c>
      <c r="Y98" s="17">
        <f t="shared" si="21"/>
        <v>0.36755999999999744</v>
      </c>
      <c r="Z98" s="17">
        <f t="shared" si="22"/>
        <v>147.00756000000001</v>
      </c>
      <c r="AA98" s="17" t="str">
        <f t="shared" si="23"/>
        <v>Q3-2025</v>
      </c>
      <c r="AB98" s="12" t="str">
        <f t="shared" si="24"/>
        <v>Aug-2025</v>
      </c>
      <c r="AC98" s="12" t="str">
        <f t="shared" si="25"/>
        <v>Low</v>
      </c>
      <c r="AD98">
        <v>6</v>
      </c>
      <c r="AE98" s="12">
        <f>_xlfn.MINIFS(Table1[MonthDate], Table1[Country], Table1[[#This Row],[Country]])</f>
        <v>44927</v>
      </c>
      <c r="AF98" s="12">
        <f t="shared" si="26"/>
        <v>45870</v>
      </c>
      <c r="AG98">
        <f>AD98*(1 + Scenario_Control!$B$4)</f>
        <v>6.6000000000000005</v>
      </c>
      <c r="AH98">
        <f>O98*(1 + Scenario_Control!$B$3)</f>
        <v>25.662000000000003</v>
      </c>
      <c r="AI98">
        <f t="shared" si="27"/>
        <v>32.341663199999999</v>
      </c>
      <c r="AJ98">
        <f t="shared" si="28"/>
        <v>-137.02753680000004</v>
      </c>
      <c r="AK98" s="29">
        <f>MIN(Q98*(1-U98), Scenario_Control!$B$2*Q98)</f>
        <v>5.7380000000000004</v>
      </c>
      <c r="AL98" s="15">
        <f t="shared" si="29"/>
        <v>0</v>
      </c>
      <c r="AM98" s="8">
        <f>DATEDIF(Table1[[#This Row],[Country_FirstMonth]], Table1[[#This Row],[MonthDate]], "m")</f>
        <v>31</v>
      </c>
    </row>
    <row r="99" spans="1:39" x14ac:dyDescent="0.25">
      <c r="A99" t="s">
        <v>112</v>
      </c>
      <c r="B99" s="12">
        <v>45440</v>
      </c>
      <c r="C99" s="12">
        <f t="shared" si="15"/>
        <v>45447</v>
      </c>
      <c r="D99" s="2" t="str">
        <f>IF(Table1[[#This Row],[RequiredDate]]&lt;Table1[[#This Row],[OrderDate]],"Check","OK")</f>
        <v>Check</v>
      </c>
      <c r="E99" s="2">
        <v>45438</v>
      </c>
      <c r="F99" s="15">
        <f t="shared" si="16"/>
        <v>7</v>
      </c>
      <c r="G99" t="s">
        <v>646</v>
      </c>
      <c r="H99" t="s">
        <v>651</v>
      </c>
      <c r="I99" t="s">
        <v>669</v>
      </c>
      <c r="J99" t="s">
        <v>706</v>
      </c>
      <c r="K99" t="s">
        <v>708</v>
      </c>
      <c r="L99" t="s">
        <v>721</v>
      </c>
      <c r="M99" t="s">
        <v>733</v>
      </c>
      <c r="N99" t="s">
        <v>831</v>
      </c>
      <c r="O99" s="29">
        <v>1227.08</v>
      </c>
      <c r="P99" t="str">
        <f>IF(Table1[[#This Row],[UnitPrice]]&lt;=0,"Check","OK")</f>
        <v>OK</v>
      </c>
      <c r="Q99" s="29">
        <f t="shared" si="17"/>
        <v>1896.62</v>
      </c>
      <c r="R99">
        <v>1896.62</v>
      </c>
      <c r="S99" s="5">
        <f>IF(Table1[[#This Row],[Discount_Flag]]="Check", MIN(MAX(Table1[[#This Row],[DiscountPct]],0),0.3), Table1[[#This Row],[DiscountPct]])</f>
        <v>0</v>
      </c>
      <c r="T99" t="str">
        <f>IF(OR(Table1[[#This Row],[DiscountPct]]&lt;0,Table1[[#This Row],[DiscountPct]]&gt;0.3),"Check","OK")</f>
        <v>OK</v>
      </c>
      <c r="U99" s="11">
        <v>0</v>
      </c>
      <c r="V99" s="15">
        <f t="shared" si="18"/>
        <v>0</v>
      </c>
      <c r="W99" s="11">
        <f t="shared" si="19"/>
        <v>0.353017473189147</v>
      </c>
      <c r="X99" s="17">
        <f t="shared" si="20"/>
        <v>22087.439999999999</v>
      </c>
      <c r="Y99" s="17">
        <f t="shared" si="21"/>
        <v>12051.719999999998</v>
      </c>
      <c r="Z99" s="17">
        <f t="shared" si="22"/>
        <v>34139.159999999996</v>
      </c>
      <c r="AA99" s="17" t="str">
        <f t="shared" si="23"/>
        <v>Q2-2024</v>
      </c>
      <c r="AB99" s="12" t="str">
        <f t="shared" si="24"/>
        <v>May-2024</v>
      </c>
      <c r="AC99" s="12" t="str">
        <f t="shared" si="25"/>
        <v>Medium</v>
      </c>
      <c r="AD99">
        <v>18</v>
      </c>
      <c r="AE99" s="12">
        <f>_xlfn.MINIFS(Table1[MonthDate], Table1[Country], Table1[[#This Row],[Country]])</f>
        <v>44927</v>
      </c>
      <c r="AF99" s="12">
        <f t="shared" si="26"/>
        <v>45413</v>
      </c>
      <c r="AG99">
        <f>AD99*(1 + Scenario_Control!$B$4)</f>
        <v>19.8</v>
      </c>
      <c r="AH99">
        <f>O99*(1 + Scenario_Control!$B$3)</f>
        <v>1288.434</v>
      </c>
      <c r="AI99">
        <f t="shared" si="27"/>
        <v>7510.6152000000002</v>
      </c>
      <c r="AJ99">
        <f t="shared" si="28"/>
        <v>-18000.378000000001</v>
      </c>
      <c r="AK99" s="29">
        <f>MIN(Q99*(1-U99), Scenario_Control!$B$2*Q99)</f>
        <v>379.32400000000001</v>
      </c>
      <c r="AL99" s="15">
        <f t="shared" si="29"/>
        <v>1</v>
      </c>
      <c r="AM99" s="8">
        <f>DATEDIF(Table1[[#This Row],[Country_FirstMonth]], Table1[[#This Row],[MonthDate]], "m")</f>
        <v>16</v>
      </c>
    </row>
    <row r="100" spans="1:39" x14ac:dyDescent="0.25">
      <c r="A100" t="s">
        <v>113</v>
      </c>
      <c r="B100" s="12">
        <v>45860</v>
      </c>
      <c r="C100" s="12">
        <f t="shared" si="15"/>
        <v>45887</v>
      </c>
      <c r="D100" s="2" t="str">
        <f>IF(Table1[[#This Row],[RequiredDate]]&lt;Table1[[#This Row],[OrderDate]],"Check","OK")</f>
        <v>OK</v>
      </c>
      <c r="E100" s="2">
        <v>45887</v>
      </c>
      <c r="F100" s="15">
        <f t="shared" si="16"/>
        <v>27</v>
      </c>
      <c r="G100" t="s">
        <v>647</v>
      </c>
      <c r="H100" t="s">
        <v>659</v>
      </c>
      <c r="I100" t="s">
        <v>676</v>
      </c>
      <c r="J100" t="s">
        <v>703</v>
      </c>
      <c r="K100" t="s">
        <v>709</v>
      </c>
      <c r="L100" t="s">
        <v>724</v>
      </c>
      <c r="M100" t="s">
        <v>729</v>
      </c>
      <c r="N100" t="s">
        <v>832</v>
      </c>
      <c r="O100" s="29">
        <v>547.32000000000005</v>
      </c>
      <c r="P100" t="str">
        <f>IF(Table1[[#This Row],[UnitPrice]]&lt;=0,"Check","OK")</f>
        <v>OK</v>
      </c>
      <c r="Q100" s="29">
        <f t="shared" si="17"/>
        <v>419.17</v>
      </c>
      <c r="R100">
        <v>419.17</v>
      </c>
      <c r="S100" s="5">
        <f>IF(Table1[[#This Row],[Discount_Flag]]="Check", MIN(MAX(Table1[[#This Row],[DiscountPct]],0),0.3), Table1[[#This Row],[DiscountPct]])</f>
        <v>9.1999999999999998E-2</v>
      </c>
      <c r="T100" t="str">
        <f>IF(OR(Table1[[#This Row],[DiscountPct]]&lt;0,Table1[[#This Row],[DiscountPct]]&gt;0.3),"Check","OK")</f>
        <v>OK</v>
      </c>
      <c r="U100" s="11">
        <v>9.1999999999999998E-2</v>
      </c>
      <c r="V100" s="15">
        <f t="shared" si="18"/>
        <v>0</v>
      </c>
      <c r="W100" s="11">
        <f t="shared" si="19"/>
        <v>-0.43802116181137907</v>
      </c>
      <c r="X100" s="17">
        <f t="shared" si="20"/>
        <v>7662.4800000000005</v>
      </c>
      <c r="Y100" s="17">
        <f t="shared" si="21"/>
        <v>-2333.9909600000001</v>
      </c>
      <c r="Z100" s="17">
        <f t="shared" si="22"/>
        <v>5328.4890400000004</v>
      </c>
      <c r="AA100" s="17" t="str">
        <f t="shared" si="23"/>
        <v>Q3-2025</v>
      </c>
      <c r="AB100" s="12" t="str">
        <f t="shared" si="24"/>
        <v>Jul-2025</v>
      </c>
      <c r="AC100" s="12" t="str">
        <f t="shared" si="25"/>
        <v>Low</v>
      </c>
      <c r="AD100">
        <v>14</v>
      </c>
      <c r="AE100" s="12">
        <f>_xlfn.MINIFS(Table1[MonthDate], Table1[Country], Table1[[#This Row],[Country]])</f>
        <v>44927</v>
      </c>
      <c r="AF100" s="12">
        <f t="shared" si="26"/>
        <v>45839</v>
      </c>
      <c r="AG100">
        <f>AD100*(1 + Scenario_Control!$B$4)</f>
        <v>15.400000000000002</v>
      </c>
      <c r="AH100">
        <f>O100*(1 + Scenario_Control!$B$3)</f>
        <v>574.68600000000004</v>
      </c>
      <c r="AI100">
        <f t="shared" si="27"/>
        <v>1172.2675888000001</v>
      </c>
      <c r="AJ100">
        <f t="shared" si="28"/>
        <v>-7677.8968112000011</v>
      </c>
      <c r="AK100" s="29">
        <f>MIN(Q100*(1-U100), Scenario_Control!$B$2*Q100)</f>
        <v>83.834000000000003</v>
      </c>
      <c r="AL100" s="15">
        <f t="shared" si="29"/>
        <v>0</v>
      </c>
      <c r="AM100" s="8">
        <f>DATEDIF(Table1[[#This Row],[Country_FirstMonth]], Table1[[#This Row],[MonthDate]], "m")</f>
        <v>30</v>
      </c>
    </row>
    <row r="101" spans="1:39" x14ac:dyDescent="0.25">
      <c r="A101" t="s">
        <v>114</v>
      </c>
      <c r="B101" s="12">
        <v>44985</v>
      </c>
      <c r="C101" s="12">
        <f t="shared" si="15"/>
        <v>45005</v>
      </c>
      <c r="D101" s="2" t="str">
        <f>IF(Table1[[#This Row],[RequiredDate]]&lt;Table1[[#This Row],[OrderDate]],"Check","OK")</f>
        <v>OK</v>
      </c>
      <c r="E101" s="2">
        <v>45005</v>
      </c>
      <c r="F101" s="15">
        <f t="shared" si="16"/>
        <v>20</v>
      </c>
      <c r="G101" t="s">
        <v>649</v>
      </c>
      <c r="H101" t="s">
        <v>656</v>
      </c>
      <c r="I101" t="s">
        <v>671</v>
      </c>
      <c r="J101" t="s">
        <v>705</v>
      </c>
      <c r="K101" t="s">
        <v>711</v>
      </c>
      <c r="L101" t="s">
        <v>722</v>
      </c>
      <c r="M101" t="s">
        <v>731</v>
      </c>
      <c r="N101" t="s">
        <v>833</v>
      </c>
      <c r="O101" s="29">
        <v>1200.78</v>
      </c>
      <c r="P101" t="str">
        <f>IF(Table1[[#This Row],[UnitPrice]]&lt;=0,"Check","OK")</f>
        <v>OK</v>
      </c>
      <c r="Q101" s="29">
        <f t="shared" si="17"/>
        <v>2001.17</v>
      </c>
      <c r="R101">
        <v>2001.17</v>
      </c>
      <c r="S101" s="5">
        <f>IF(Table1[[#This Row],[Discount_Flag]]="Check", MIN(MAX(Table1[[#This Row],[DiscountPct]],0),0.3), Table1[[#This Row],[DiscountPct]])</f>
        <v>0.29199999999999998</v>
      </c>
      <c r="T101" t="str">
        <f>IF(OR(Table1[[#This Row],[DiscountPct]]&lt;0,Table1[[#This Row],[DiscountPct]]&gt;0.3),"Check","OK")</f>
        <v>OK</v>
      </c>
      <c r="U101" s="11">
        <v>0.29199999999999998</v>
      </c>
      <c r="V101" s="15">
        <f t="shared" si="18"/>
        <v>1</v>
      </c>
      <c r="W101" s="11">
        <f t="shared" si="19"/>
        <v>0.15248732034132906</v>
      </c>
      <c r="X101" s="17">
        <f t="shared" si="20"/>
        <v>21614.04</v>
      </c>
      <c r="Y101" s="17">
        <f t="shared" si="21"/>
        <v>3888.8704799999978</v>
      </c>
      <c r="Z101" s="17">
        <f t="shared" si="22"/>
        <v>25502.910479999999</v>
      </c>
      <c r="AA101" s="17" t="str">
        <f t="shared" si="23"/>
        <v>Q1-2023</v>
      </c>
      <c r="AB101" s="12" t="str">
        <f t="shared" si="24"/>
        <v>Feb-2023</v>
      </c>
      <c r="AC101" s="12" t="str">
        <f t="shared" si="25"/>
        <v>High</v>
      </c>
      <c r="AD101">
        <v>18</v>
      </c>
      <c r="AE101" s="12">
        <f>_xlfn.MINIFS(Table1[MonthDate], Table1[Country], Table1[[#This Row],[Country]])</f>
        <v>44927</v>
      </c>
      <c r="AF101" s="12">
        <f t="shared" si="26"/>
        <v>44958</v>
      </c>
      <c r="AG101">
        <f>AD101*(1 + Scenario_Control!$B$4)</f>
        <v>19.8</v>
      </c>
      <c r="AH101">
        <f>O101*(1 + Scenario_Control!$B$3)</f>
        <v>1260.819</v>
      </c>
      <c r="AI101">
        <f t="shared" si="27"/>
        <v>5610.6403056000008</v>
      </c>
      <c r="AJ101">
        <f t="shared" si="28"/>
        <v>-19353.575894399997</v>
      </c>
      <c r="AK101" s="29">
        <f>MIN(Q101*(1-U101), Scenario_Control!$B$2*Q101)</f>
        <v>400.23400000000004</v>
      </c>
      <c r="AL101" s="15">
        <f t="shared" si="29"/>
        <v>0</v>
      </c>
      <c r="AM101" s="8">
        <f>DATEDIF(Table1[[#This Row],[Country_FirstMonth]], Table1[[#This Row],[MonthDate]], "m")</f>
        <v>1</v>
      </c>
    </row>
    <row r="102" spans="1:39" x14ac:dyDescent="0.25">
      <c r="A102" t="s">
        <v>115</v>
      </c>
      <c r="B102" s="12">
        <v>45684</v>
      </c>
      <c r="C102" s="12">
        <f t="shared" si="15"/>
        <v>45703</v>
      </c>
      <c r="D102" s="2" t="str">
        <f>IF(Table1[[#This Row],[RequiredDate]]&lt;Table1[[#This Row],[OrderDate]],"Check","OK")</f>
        <v>OK</v>
      </c>
      <c r="E102" s="2">
        <v>45703</v>
      </c>
      <c r="F102" s="15">
        <f t="shared" si="16"/>
        <v>19</v>
      </c>
      <c r="G102" t="s">
        <v>647</v>
      </c>
      <c r="H102" t="s">
        <v>659</v>
      </c>
      <c r="I102" t="s">
        <v>676</v>
      </c>
      <c r="J102" t="s">
        <v>703</v>
      </c>
      <c r="K102" t="s">
        <v>711</v>
      </c>
      <c r="L102" t="s">
        <v>716</v>
      </c>
      <c r="M102" t="s">
        <v>730</v>
      </c>
      <c r="N102" t="s">
        <v>834</v>
      </c>
      <c r="O102" s="29">
        <v>1253.22</v>
      </c>
      <c r="P102" t="str">
        <f>IF(Table1[[#This Row],[UnitPrice]]&lt;=0,"Check","OK")</f>
        <v>OK</v>
      </c>
      <c r="Q102" s="29">
        <f t="shared" si="17"/>
        <v>3104.71</v>
      </c>
      <c r="R102">
        <v>3104.71</v>
      </c>
      <c r="S102" s="5">
        <f>IF(Table1[[#This Row],[Discount_Flag]]="Check", MIN(MAX(Table1[[#This Row],[DiscountPct]],0),0.3), Table1[[#This Row],[DiscountPct]])</f>
        <v>0</v>
      </c>
      <c r="T102" t="str">
        <f>IF(OR(Table1[[#This Row],[DiscountPct]]&lt;0,Table1[[#This Row],[DiscountPct]]&gt;0.3),"Check","OK")</f>
        <v>OK</v>
      </c>
      <c r="U102" s="11">
        <v>0</v>
      </c>
      <c r="V102" s="15">
        <f t="shared" si="18"/>
        <v>0</v>
      </c>
      <c r="W102" s="11">
        <f t="shared" si="19"/>
        <v>0.59634877331538205</v>
      </c>
      <c r="X102" s="17">
        <f t="shared" si="20"/>
        <v>21304.74</v>
      </c>
      <c r="Y102" s="17">
        <f t="shared" si="21"/>
        <v>31475.329999999998</v>
      </c>
      <c r="Z102" s="17">
        <f t="shared" si="22"/>
        <v>52780.07</v>
      </c>
      <c r="AA102" s="17" t="str">
        <f t="shared" si="23"/>
        <v>Q1-2025</v>
      </c>
      <c r="AB102" s="12" t="str">
        <f t="shared" si="24"/>
        <v>Jan-2025</v>
      </c>
      <c r="AC102" s="12" t="str">
        <f t="shared" si="25"/>
        <v>High</v>
      </c>
      <c r="AD102">
        <v>17</v>
      </c>
      <c r="AE102" s="12">
        <f>_xlfn.MINIFS(Table1[MonthDate], Table1[Country], Table1[[#This Row],[Country]])</f>
        <v>44927</v>
      </c>
      <c r="AF102" s="12">
        <f t="shared" si="26"/>
        <v>45658</v>
      </c>
      <c r="AG102">
        <f>AD102*(1 + Scenario_Control!$B$4)</f>
        <v>18.700000000000003</v>
      </c>
      <c r="AH102">
        <f>O102*(1 + Scenario_Control!$B$3)</f>
        <v>1315.8810000000001</v>
      </c>
      <c r="AI102">
        <f t="shared" si="27"/>
        <v>11611.615400000002</v>
      </c>
      <c r="AJ102">
        <f t="shared" si="28"/>
        <v>-12995.359300000004</v>
      </c>
      <c r="AK102" s="29">
        <f>MIN(Q102*(1-U102), Scenario_Control!$B$2*Q102)</f>
        <v>620.94200000000001</v>
      </c>
      <c r="AL102" s="15">
        <f t="shared" si="29"/>
        <v>0</v>
      </c>
      <c r="AM102" s="8">
        <f>DATEDIF(Table1[[#This Row],[Country_FirstMonth]], Table1[[#This Row],[MonthDate]], "m")</f>
        <v>24</v>
      </c>
    </row>
    <row r="103" spans="1:39" x14ac:dyDescent="0.25">
      <c r="A103" t="s">
        <v>116</v>
      </c>
      <c r="B103" s="12">
        <v>45304</v>
      </c>
      <c r="C103" s="12">
        <f t="shared" si="15"/>
        <v>45313</v>
      </c>
      <c r="D103" s="2" t="str">
        <f>IF(Table1[[#This Row],[RequiredDate]]&lt;Table1[[#This Row],[OrderDate]],"Check","OK")</f>
        <v>OK</v>
      </c>
      <c r="E103" s="2">
        <v>45313</v>
      </c>
      <c r="F103" s="15">
        <f t="shared" si="16"/>
        <v>9</v>
      </c>
      <c r="G103" t="s">
        <v>647</v>
      </c>
      <c r="H103" t="s">
        <v>654</v>
      </c>
      <c r="I103" t="s">
        <v>691</v>
      </c>
      <c r="J103" t="s">
        <v>706</v>
      </c>
      <c r="K103" t="s">
        <v>709</v>
      </c>
      <c r="L103" t="s">
        <v>713</v>
      </c>
      <c r="M103" t="s">
        <v>727</v>
      </c>
      <c r="N103" t="s">
        <v>835</v>
      </c>
      <c r="O103" s="29">
        <v>313.60000000000002</v>
      </c>
      <c r="P103" t="str">
        <f>IF(Table1[[#This Row],[UnitPrice]]&lt;=0,"Check","OK")</f>
        <v>OK</v>
      </c>
      <c r="Q103" s="29">
        <f t="shared" si="17"/>
        <v>334.28</v>
      </c>
      <c r="R103">
        <v>334.28</v>
      </c>
      <c r="S103" s="5">
        <f>IF(Table1[[#This Row],[Discount_Flag]]="Check", MIN(MAX(Table1[[#This Row],[DiscountPct]],0),0.3), Table1[[#This Row],[DiscountPct]])</f>
        <v>0.14000000000000001</v>
      </c>
      <c r="T103" t="str">
        <f>IF(OR(Table1[[#This Row],[DiscountPct]]&lt;0,Table1[[#This Row],[DiscountPct]]&gt;0.3),"Check","OK")</f>
        <v>OK</v>
      </c>
      <c r="U103" s="11">
        <v>0.14000000000000001</v>
      </c>
      <c r="V103" s="15">
        <f t="shared" si="18"/>
        <v>0</v>
      </c>
      <c r="W103" s="11">
        <f t="shared" si="19"/>
        <v>-9.0855458868905517E-2</v>
      </c>
      <c r="X103" s="17">
        <f t="shared" si="20"/>
        <v>6899.2000000000007</v>
      </c>
      <c r="Y103" s="17">
        <f t="shared" si="21"/>
        <v>-574.62240000000111</v>
      </c>
      <c r="Z103" s="17">
        <f t="shared" si="22"/>
        <v>6324.5775999999996</v>
      </c>
      <c r="AA103" s="17" t="str">
        <f t="shared" si="23"/>
        <v>Q1-2024</v>
      </c>
      <c r="AB103" s="12" t="str">
        <f t="shared" si="24"/>
        <v>Jan-2024</v>
      </c>
      <c r="AC103" s="12" t="str">
        <f t="shared" si="25"/>
        <v>Low</v>
      </c>
      <c r="AD103">
        <v>22</v>
      </c>
      <c r="AE103" s="12">
        <f>_xlfn.MINIFS(Table1[MonthDate], Table1[Country], Table1[[#This Row],[Country]])</f>
        <v>44927</v>
      </c>
      <c r="AF103" s="12">
        <f t="shared" si="26"/>
        <v>45292</v>
      </c>
      <c r="AG103">
        <f>AD103*(1 + Scenario_Control!$B$4)</f>
        <v>24.200000000000003</v>
      </c>
      <c r="AH103">
        <f>O103*(1 + Scenario_Control!$B$3)</f>
        <v>329.28000000000003</v>
      </c>
      <c r="AI103">
        <f t="shared" si="27"/>
        <v>1391.4070720000002</v>
      </c>
      <c r="AJ103">
        <f t="shared" si="28"/>
        <v>-6577.1689280000019</v>
      </c>
      <c r="AK103" s="29">
        <f>MIN(Q103*(1-U103), Scenario_Control!$B$2*Q103)</f>
        <v>66.855999999999995</v>
      </c>
      <c r="AL103" s="15">
        <f t="shared" si="29"/>
        <v>0</v>
      </c>
      <c r="AM103" s="8">
        <f>DATEDIF(Table1[[#This Row],[Country_FirstMonth]], Table1[[#This Row],[MonthDate]], "m")</f>
        <v>12</v>
      </c>
    </row>
    <row r="104" spans="1:39" x14ac:dyDescent="0.25">
      <c r="A104" t="s">
        <v>117</v>
      </c>
      <c r="B104" s="12">
        <v>45747</v>
      </c>
      <c r="C104" s="12">
        <f t="shared" si="15"/>
        <v>45751</v>
      </c>
      <c r="D104" s="2" t="str">
        <f>IF(Table1[[#This Row],[RequiredDate]]&lt;Table1[[#This Row],[OrderDate]],"Check","OK")</f>
        <v>OK</v>
      </c>
      <c r="E104" s="2">
        <v>45751</v>
      </c>
      <c r="F104" s="15">
        <f t="shared" si="16"/>
        <v>4</v>
      </c>
      <c r="G104" t="s">
        <v>646</v>
      </c>
      <c r="H104" t="s">
        <v>650</v>
      </c>
      <c r="I104" t="s">
        <v>678</v>
      </c>
      <c r="J104" t="s">
        <v>701</v>
      </c>
      <c r="K104" t="s">
        <v>711</v>
      </c>
      <c r="L104" t="s">
        <v>712</v>
      </c>
      <c r="M104" t="s">
        <v>731</v>
      </c>
      <c r="N104" t="s">
        <v>836</v>
      </c>
      <c r="O104" s="29">
        <v>862.08</v>
      </c>
      <c r="P104" t="str">
        <f>IF(Table1[[#This Row],[UnitPrice]]&lt;=0,"Check","OK")</f>
        <v>OK</v>
      </c>
      <c r="Q104" s="29">
        <f t="shared" si="17"/>
        <v>1952.83</v>
      </c>
      <c r="R104">
        <v>1952.83</v>
      </c>
      <c r="S104" s="5">
        <f>IF(Table1[[#This Row],[Discount_Flag]]="Check", MIN(MAX(Table1[[#This Row],[DiscountPct]],0),0.3), Table1[[#This Row],[DiscountPct]])</f>
        <v>0</v>
      </c>
      <c r="T104" t="str">
        <f>IF(OR(Table1[[#This Row],[DiscountPct]]&lt;0,Table1[[#This Row],[DiscountPct]]&gt;0.3),"Check","OK")</f>
        <v>OK</v>
      </c>
      <c r="U104" s="11">
        <v>0</v>
      </c>
      <c r="V104" s="15">
        <f t="shared" si="18"/>
        <v>0</v>
      </c>
      <c r="W104" s="11">
        <f t="shared" si="19"/>
        <v>0.5585483631447693</v>
      </c>
      <c r="X104" s="17">
        <f t="shared" si="20"/>
        <v>6034.56</v>
      </c>
      <c r="Y104" s="17">
        <f t="shared" si="21"/>
        <v>7635.2499999999991</v>
      </c>
      <c r="Z104" s="17">
        <f t="shared" si="22"/>
        <v>13669.81</v>
      </c>
      <c r="AA104" s="17" t="str">
        <f t="shared" si="23"/>
        <v>Q1-2025</v>
      </c>
      <c r="AB104" s="12" t="str">
        <f t="shared" si="24"/>
        <v>Mar-2025</v>
      </c>
      <c r="AC104" s="12" t="str">
        <f t="shared" si="25"/>
        <v>High</v>
      </c>
      <c r="AD104">
        <v>7</v>
      </c>
      <c r="AE104" s="12">
        <f>_xlfn.MINIFS(Table1[MonthDate], Table1[Country], Table1[[#This Row],[Country]])</f>
        <v>44927</v>
      </c>
      <c r="AF104" s="12">
        <f t="shared" si="26"/>
        <v>45717</v>
      </c>
      <c r="AG104">
        <f>AD104*(1 + Scenario_Control!$B$4)</f>
        <v>7.7000000000000011</v>
      </c>
      <c r="AH104">
        <f>O104*(1 + Scenario_Control!$B$3)</f>
        <v>905.18400000000008</v>
      </c>
      <c r="AI104">
        <f t="shared" si="27"/>
        <v>3007.3582000000006</v>
      </c>
      <c r="AJ104">
        <f t="shared" si="28"/>
        <v>-3962.5586000000012</v>
      </c>
      <c r="AK104" s="29">
        <f>MIN(Q104*(1-U104), Scenario_Control!$B$2*Q104)</f>
        <v>390.56600000000003</v>
      </c>
      <c r="AL104" s="15">
        <f t="shared" si="29"/>
        <v>1</v>
      </c>
      <c r="AM104" s="8">
        <f>DATEDIF(Table1[[#This Row],[Country_FirstMonth]], Table1[[#This Row],[MonthDate]], "m")</f>
        <v>26</v>
      </c>
    </row>
    <row r="105" spans="1:39" x14ac:dyDescent="0.25">
      <c r="A105" t="s">
        <v>118</v>
      </c>
      <c r="B105" s="12">
        <v>45631</v>
      </c>
      <c r="C105" s="12">
        <f t="shared" si="15"/>
        <v>45654</v>
      </c>
      <c r="D105" s="2" t="str">
        <f>IF(Table1[[#This Row],[RequiredDate]]&lt;Table1[[#This Row],[OrderDate]],"Check","OK")</f>
        <v>OK</v>
      </c>
      <c r="E105" s="2">
        <v>45654</v>
      </c>
      <c r="F105" s="15">
        <f t="shared" si="16"/>
        <v>23</v>
      </c>
      <c r="G105" t="s">
        <v>648</v>
      </c>
      <c r="H105" t="s">
        <v>653</v>
      </c>
      <c r="I105" t="s">
        <v>688</v>
      </c>
      <c r="J105" t="s">
        <v>701</v>
      </c>
      <c r="K105" t="s">
        <v>711</v>
      </c>
      <c r="L105" t="s">
        <v>721</v>
      </c>
      <c r="M105" t="s">
        <v>733</v>
      </c>
      <c r="N105" t="s">
        <v>837</v>
      </c>
      <c r="O105" s="29">
        <v>107.03</v>
      </c>
      <c r="P105" t="str">
        <f>IF(Table1[[#This Row],[UnitPrice]]&lt;=0,"Check","OK")</f>
        <v>OK</v>
      </c>
      <c r="Q105" s="29">
        <f t="shared" si="17"/>
        <v>242.29</v>
      </c>
      <c r="R105">
        <v>242.29</v>
      </c>
      <c r="S105" s="5">
        <f>IF(Table1[[#This Row],[Discount_Flag]]="Check", MIN(MAX(Table1[[#This Row],[DiscountPct]],0),0.3), Table1[[#This Row],[DiscountPct]])</f>
        <v>0.18</v>
      </c>
      <c r="T105" t="str">
        <f>IF(OR(Table1[[#This Row],[DiscountPct]]&lt;0,Table1[[#This Row],[DiscountPct]]&gt;0.3),"Check","OK")</f>
        <v>OK</v>
      </c>
      <c r="U105" s="11">
        <v>0.18</v>
      </c>
      <c r="V105" s="15">
        <f t="shared" si="18"/>
        <v>0</v>
      </c>
      <c r="W105" s="11">
        <f t="shared" si="19"/>
        <v>0.46128857879440988</v>
      </c>
      <c r="X105" s="17">
        <f t="shared" si="20"/>
        <v>3210.9</v>
      </c>
      <c r="Y105" s="17">
        <f t="shared" si="21"/>
        <v>2749.4340000000007</v>
      </c>
      <c r="Z105" s="17">
        <f t="shared" si="22"/>
        <v>5960.3340000000007</v>
      </c>
      <c r="AA105" s="17" t="str">
        <f t="shared" si="23"/>
        <v>Q4-2024</v>
      </c>
      <c r="AB105" s="12" t="str">
        <f t="shared" si="24"/>
        <v>Dec-2024</v>
      </c>
      <c r="AC105" s="12" t="str">
        <f t="shared" si="25"/>
        <v>Low</v>
      </c>
      <c r="AD105">
        <v>30</v>
      </c>
      <c r="AE105" s="12">
        <f>_xlfn.MINIFS(Table1[MonthDate], Table1[Country], Table1[[#This Row],[Country]])</f>
        <v>44927</v>
      </c>
      <c r="AF105" s="12">
        <f t="shared" si="26"/>
        <v>45627</v>
      </c>
      <c r="AG105">
        <f>AD105*(1 + Scenario_Control!$B$4)</f>
        <v>33</v>
      </c>
      <c r="AH105">
        <f>O105*(1 + Scenario_Control!$B$3)</f>
        <v>112.3815</v>
      </c>
      <c r="AI105">
        <f t="shared" si="27"/>
        <v>1311.2734800000001</v>
      </c>
      <c r="AJ105">
        <f t="shared" si="28"/>
        <v>-2397.3160200000002</v>
      </c>
      <c r="AK105" s="29">
        <f>MIN(Q105*(1-U105), Scenario_Control!$B$2*Q105)</f>
        <v>48.457999999999998</v>
      </c>
      <c r="AL105" s="15">
        <f t="shared" si="29"/>
        <v>0</v>
      </c>
      <c r="AM105" s="8">
        <f>DATEDIF(Table1[[#This Row],[Country_FirstMonth]], Table1[[#This Row],[MonthDate]], "m")</f>
        <v>23</v>
      </c>
    </row>
    <row r="106" spans="1:39" x14ac:dyDescent="0.25">
      <c r="A106" t="s">
        <v>119</v>
      </c>
      <c r="B106" s="12">
        <v>45549</v>
      </c>
      <c r="C106" s="12">
        <f t="shared" si="15"/>
        <v>45570</v>
      </c>
      <c r="D106" s="2" t="str">
        <f>IF(Table1[[#This Row],[RequiredDate]]&lt;Table1[[#This Row],[OrderDate]],"Check","OK")</f>
        <v>OK</v>
      </c>
      <c r="E106" s="2">
        <v>45570</v>
      </c>
      <c r="F106" s="15">
        <f t="shared" si="16"/>
        <v>21</v>
      </c>
      <c r="G106" t="s">
        <v>647</v>
      </c>
      <c r="H106" t="s">
        <v>659</v>
      </c>
      <c r="I106" t="s">
        <v>685</v>
      </c>
      <c r="J106" t="s">
        <v>705</v>
      </c>
      <c r="K106" t="s">
        <v>708</v>
      </c>
      <c r="L106" t="s">
        <v>722</v>
      </c>
      <c r="M106" t="s">
        <v>731</v>
      </c>
      <c r="N106" t="s">
        <v>838</v>
      </c>
      <c r="O106" s="29">
        <v>1405.56</v>
      </c>
      <c r="P106" t="str">
        <f>IF(Table1[[#This Row],[UnitPrice]]&lt;=0,"Check","OK")</f>
        <v>OK</v>
      </c>
      <c r="Q106" s="29">
        <f t="shared" si="17"/>
        <v>2968.87</v>
      </c>
      <c r="R106">
        <v>2968.87</v>
      </c>
      <c r="S106" s="5">
        <f>IF(Table1[[#This Row],[Discount_Flag]]="Check", MIN(MAX(Table1[[#This Row],[DiscountPct]],0),0.3), Table1[[#This Row],[DiscountPct]])</f>
        <v>0.16900000000000001</v>
      </c>
      <c r="T106" t="str">
        <f>IF(OR(Table1[[#This Row],[DiscountPct]]&lt;0,Table1[[#This Row],[DiscountPct]]&gt;0.3),"Check","OK")</f>
        <v>OK</v>
      </c>
      <c r="U106" s="11">
        <v>0.16900000000000001</v>
      </c>
      <c r="V106" s="15">
        <f t="shared" si="18"/>
        <v>0</v>
      </c>
      <c r="W106" s="11">
        <f t="shared" si="19"/>
        <v>0.4302856163327235</v>
      </c>
      <c r="X106" s="17">
        <f t="shared" si="20"/>
        <v>7027.7999999999993</v>
      </c>
      <c r="Y106" s="17">
        <f t="shared" si="21"/>
        <v>5307.8548499999997</v>
      </c>
      <c r="Z106" s="17">
        <f t="shared" si="22"/>
        <v>12335.654849999999</v>
      </c>
      <c r="AA106" s="17" t="str">
        <f t="shared" si="23"/>
        <v>Q3-2024</v>
      </c>
      <c r="AB106" s="12" t="str">
        <f t="shared" si="24"/>
        <v>Sept-2024</v>
      </c>
      <c r="AC106" s="12" t="str">
        <f t="shared" si="25"/>
        <v>High</v>
      </c>
      <c r="AD106">
        <v>5</v>
      </c>
      <c r="AE106" s="12">
        <f>_xlfn.MINIFS(Table1[MonthDate], Table1[Country], Table1[[#This Row],[Country]])</f>
        <v>44927</v>
      </c>
      <c r="AF106" s="12">
        <f t="shared" si="26"/>
        <v>45536</v>
      </c>
      <c r="AG106">
        <f>AD106*(1 + Scenario_Control!$B$4)</f>
        <v>5.5</v>
      </c>
      <c r="AH106">
        <f>O106*(1 + Scenario_Control!$B$3)</f>
        <v>1475.838</v>
      </c>
      <c r="AI106">
        <f t="shared" si="27"/>
        <v>2713.844067</v>
      </c>
      <c r="AJ106">
        <f t="shared" si="28"/>
        <v>-5403.2649329999995</v>
      </c>
      <c r="AK106" s="29">
        <f>MIN(Q106*(1-U106), Scenario_Control!$B$2*Q106)</f>
        <v>593.774</v>
      </c>
      <c r="AL106" s="15">
        <f t="shared" si="29"/>
        <v>0</v>
      </c>
      <c r="AM106" s="8">
        <f>DATEDIF(Table1[[#This Row],[Country_FirstMonth]], Table1[[#This Row],[MonthDate]], "m")</f>
        <v>20</v>
      </c>
    </row>
    <row r="107" spans="1:39" x14ac:dyDescent="0.25">
      <c r="A107" t="s">
        <v>120</v>
      </c>
      <c r="B107" s="12">
        <v>45433</v>
      </c>
      <c r="C107" s="12">
        <f t="shared" si="15"/>
        <v>45439</v>
      </c>
      <c r="D107" s="2" t="str">
        <f>IF(Table1[[#This Row],[RequiredDate]]&lt;Table1[[#This Row],[OrderDate]],"Check","OK")</f>
        <v>OK</v>
      </c>
      <c r="E107" s="2">
        <v>45439</v>
      </c>
      <c r="F107" s="15">
        <f t="shared" si="16"/>
        <v>6</v>
      </c>
      <c r="G107" t="s">
        <v>646</v>
      </c>
      <c r="H107" t="s">
        <v>661</v>
      </c>
      <c r="I107" t="s">
        <v>682</v>
      </c>
      <c r="J107" t="s">
        <v>703</v>
      </c>
      <c r="K107" t="s">
        <v>708</v>
      </c>
      <c r="L107" t="s">
        <v>724</v>
      </c>
      <c r="M107" t="s">
        <v>727</v>
      </c>
      <c r="N107" t="s">
        <v>839</v>
      </c>
      <c r="O107" s="29">
        <v>1157.51</v>
      </c>
      <c r="P107" t="str">
        <f>IF(Table1[[#This Row],[UnitPrice]]&lt;=0,"Check","OK")</f>
        <v>OK</v>
      </c>
      <c r="Q107" s="29">
        <f t="shared" si="17"/>
        <v>1394.3</v>
      </c>
      <c r="R107">
        <v>1394.3</v>
      </c>
      <c r="S107" s="5">
        <f>IF(Table1[[#This Row],[Discount_Flag]]="Check", MIN(MAX(Table1[[#This Row],[DiscountPct]],0),0.3), Table1[[#This Row],[DiscountPct]])</f>
        <v>0.27800000000000002</v>
      </c>
      <c r="T107" t="str">
        <f>IF(OR(Table1[[#This Row],[DiscountPct]]&lt;0,Table1[[#This Row],[DiscountPct]]&gt;0.3),"Check","OK")</f>
        <v>OK</v>
      </c>
      <c r="U107" s="11">
        <v>0.27800000000000002</v>
      </c>
      <c r="V107" s="15">
        <f t="shared" si="18"/>
        <v>1</v>
      </c>
      <c r="W107" s="11">
        <f t="shared" si="19"/>
        <v>-0.14982388724333326</v>
      </c>
      <c r="X107" s="17">
        <f t="shared" si="20"/>
        <v>13890.119999999999</v>
      </c>
      <c r="Y107" s="17">
        <f t="shared" si="21"/>
        <v>-1809.9048000000003</v>
      </c>
      <c r="Z107" s="17">
        <f t="shared" si="22"/>
        <v>12080.215199999999</v>
      </c>
      <c r="AA107" s="17" t="str">
        <f t="shared" si="23"/>
        <v>Q2-2024</v>
      </c>
      <c r="AB107" s="12" t="str">
        <f t="shared" si="24"/>
        <v>May-2024</v>
      </c>
      <c r="AC107" s="12" t="str">
        <f t="shared" si="25"/>
        <v>Medium</v>
      </c>
      <c r="AD107">
        <v>12</v>
      </c>
      <c r="AE107" s="12">
        <f>_xlfn.MINIFS(Table1[MonthDate], Table1[Country], Table1[[#This Row],[Country]])</f>
        <v>44927</v>
      </c>
      <c r="AF107" s="12">
        <f t="shared" si="26"/>
        <v>45413</v>
      </c>
      <c r="AG107">
        <f>AD107*(1 + Scenario_Control!$B$4)</f>
        <v>13.200000000000001</v>
      </c>
      <c r="AH107">
        <f>O107*(1 + Scenario_Control!$B$3)</f>
        <v>1215.3855000000001</v>
      </c>
      <c r="AI107">
        <f t="shared" si="27"/>
        <v>2657.6473440000004</v>
      </c>
      <c r="AJ107">
        <f t="shared" si="28"/>
        <v>-13385.441256000002</v>
      </c>
      <c r="AK107" s="29">
        <f>MIN(Q107*(1-U107), Scenario_Control!$B$2*Q107)</f>
        <v>278.86</v>
      </c>
      <c r="AL107" s="15">
        <f t="shared" si="29"/>
        <v>1</v>
      </c>
      <c r="AM107" s="8">
        <f>DATEDIF(Table1[[#This Row],[Country_FirstMonth]], Table1[[#This Row],[MonthDate]], "m")</f>
        <v>16</v>
      </c>
    </row>
    <row r="108" spans="1:39" x14ac:dyDescent="0.25">
      <c r="A108" t="s">
        <v>121</v>
      </c>
      <c r="B108" s="12">
        <v>45057</v>
      </c>
      <c r="C108" s="12">
        <f t="shared" si="15"/>
        <v>45084</v>
      </c>
      <c r="D108" s="2" t="str">
        <f>IF(Table1[[#This Row],[RequiredDate]]&lt;Table1[[#This Row],[OrderDate]],"Check","OK")</f>
        <v>OK</v>
      </c>
      <c r="E108" s="2">
        <v>45084</v>
      </c>
      <c r="F108" s="15">
        <f t="shared" si="16"/>
        <v>27</v>
      </c>
      <c r="G108" t="s">
        <v>646</v>
      </c>
      <c r="H108" t="s">
        <v>650</v>
      </c>
      <c r="I108" t="s">
        <v>675</v>
      </c>
      <c r="J108" t="s">
        <v>701</v>
      </c>
      <c r="K108" t="s">
        <v>708</v>
      </c>
      <c r="L108" t="s">
        <v>713</v>
      </c>
      <c r="M108" t="s">
        <v>730</v>
      </c>
      <c r="N108" t="s">
        <v>840</v>
      </c>
      <c r="O108" s="29">
        <v>12.85</v>
      </c>
      <c r="P108" t="str">
        <f>IF(Table1[[#This Row],[UnitPrice]]&lt;=0,"Check","OK")</f>
        <v>OK</v>
      </c>
      <c r="Q108" s="29">
        <f t="shared" si="17"/>
        <v>15.41</v>
      </c>
      <c r="R108">
        <v>15.41</v>
      </c>
      <c r="S108" s="5">
        <f>IF(Table1[[#This Row],[Discount_Flag]]="Check", MIN(MAX(Table1[[#This Row],[DiscountPct]],0),0.3), Table1[[#This Row],[DiscountPct]])</f>
        <v>0.13700000000000001</v>
      </c>
      <c r="T108" t="str">
        <f>IF(OR(Table1[[#This Row],[DiscountPct]]&lt;0,Table1[[#This Row],[DiscountPct]]&gt;0.3),"Check","OK")</f>
        <v>OK</v>
      </c>
      <c r="U108" s="11">
        <v>0.13700000000000001</v>
      </c>
      <c r="V108" s="15">
        <f t="shared" si="18"/>
        <v>0</v>
      </c>
      <c r="W108" s="11">
        <f t="shared" si="19"/>
        <v>3.3749585489851353E-2</v>
      </c>
      <c r="X108" s="17">
        <f t="shared" si="20"/>
        <v>501.15</v>
      </c>
      <c r="Y108" s="17">
        <f t="shared" si="21"/>
        <v>17.504369999999994</v>
      </c>
      <c r="Z108" s="17">
        <f t="shared" si="22"/>
        <v>518.65436999999997</v>
      </c>
      <c r="AA108" s="17" t="str">
        <f t="shared" si="23"/>
        <v>Q2-2023</v>
      </c>
      <c r="AB108" s="12" t="str">
        <f t="shared" si="24"/>
        <v>May-2023</v>
      </c>
      <c r="AC108" s="12" t="str">
        <f t="shared" si="25"/>
        <v>Low</v>
      </c>
      <c r="AD108">
        <v>39</v>
      </c>
      <c r="AE108" s="12">
        <f>_xlfn.MINIFS(Table1[MonthDate], Table1[Country], Table1[[#This Row],[Country]])</f>
        <v>44927</v>
      </c>
      <c r="AF108" s="12">
        <f t="shared" si="26"/>
        <v>45047</v>
      </c>
      <c r="AG108">
        <f>AD108*(1 + Scenario_Control!$B$4)</f>
        <v>42.900000000000006</v>
      </c>
      <c r="AH108">
        <f>O108*(1 + Scenario_Control!$B$3)</f>
        <v>13.4925</v>
      </c>
      <c r="AI108">
        <f t="shared" si="27"/>
        <v>114.10396140000003</v>
      </c>
      <c r="AJ108">
        <f t="shared" si="28"/>
        <v>-464.72428860000002</v>
      </c>
      <c r="AK108" s="29">
        <f>MIN(Q108*(1-U108), Scenario_Control!$B$2*Q108)</f>
        <v>3.0820000000000003</v>
      </c>
      <c r="AL108" s="15">
        <f t="shared" si="29"/>
        <v>0</v>
      </c>
      <c r="AM108" s="8">
        <f>DATEDIF(Table1[[#This Row],[Country_FirstMonth]], Table1[[#This Row],[MonthDate]], "m")</f>
        <v>4</v>
      </c>
    </row>
    <row r="109" spans="1:39" x14ac:dyDescent="0.25">
      <c r="A109" t="s">
        <v>122</v>
      </c>
      <c r="B109" s="12">
        <v>45518</v>
      </c>
      <c r="C109" s="12">
        <f t="shared" si="15"/>
        <v>45539</v>
      </c>
      <c r="D109" s="2" t="str">
        <f>IF(Table1[[#This Row],[RequiredDate]]&lt;Table1[[#This Row],[OrderDate]],"Check","OK")</f>
        <v>OK</v>
      </c>
      <c r="E109" s="2">
        <v>45539</v>
      </c>
      <c r="F109" s="15">
        <f t="shared" si="16"/>
        <v>21</v>
      </c>
      <c r="G109" t="s">
        <v>649</v>
      </c>
      <c r="H109" t="s">
        <v>658</v>
      </c>
      <c r="I109" t="s">
        <v>693</v>
      </c>
      <c r="J109" t="s">
        <v>703</v>
      </c>
      <c r="K109" t="s">
        <v>708</v>
      </c>
      <c r="L109" t="s">
        <v>713</v>
      </c>
      <c r="M109" t="s">
        <v>730</v>
      </c>
      <c r="N109" t="s">
        <v>841</v>
      </c>
      <c r="O109" s="29">
        <v>1138.8</v>
      </c>
      <c r="P109" t="str">
        <f>IF(Table1[[#This Row],[UnitPrice]]&lt;=0,"Check","OK")</f>
        <v>OK</v>
      </c>
      <c r="Q109" s="29">
        <f t="shared" si="17"/>
        <v>2250.81</v>
      </c>
      <c r="R109">
        <v>2250.81</v>
      </c>
      <c r="S109" s="5">
        <f>IF(Table1[[#This Row],[Discount_Flag]]="Check", MIN(MAX(Table1[[#This Row],[DiscountPct]],0),0.3), Table1[[#This Row],[DiscountPct]])</f>
        <v>0.123</v>
      </c>
      <c r="T109" t="str">
        <f>IF(OR(Table1[[#This Row],[DiscountPct]]&lt;0,Table1[[#This Row],[DiscountPct]]&gt;0.3),"Check","OK")</f>
        <v>OK</v>
      </c>
      <c r="U109" s="11">
        <v>0.123</v>
      </c>
      <c r="V109" s="15">
        <f t="shared" si="18"/>
        <v>0</v>
      </c>
      <c r="W109" s="11">
        <f t="shared" si="19"/>
        <v>0.42308872188756258</v>
      </c>
      <c r="X109" s="17">
        <f t="shared" si="20"/>
        <v>13665.599999999999</v>
      </c>
      <c r="Y109" s="17">
        <f t="shared" si="21"/>
        <v>10021.924440000003</v>
      </c>
      <c r="Z109" s="17">
        <f t="shared" si="22"/>
        <v>23687.524440000001</v>
      </c>
      <c r="AA109" s="17" t="str">
        <f t="shared" si="23"/>
        <v>Q3-2024</v>
      </c>
      <c r="AB109" s="12" t="str">
        <f t="shared" si="24"/>
        <v>Aug-2024</v>
      </c>
      <c r="AC109" s="12" t="str">
        <f t="shared" si="25"/>
        <v>High</v>
      </c>
      <c r="AD109">
        <v>12</v>
      </c>
      <c r="AE109" s="12">
        <f>_xlfn.MINIFS(Table1[MonthDate], Table1[Country], Table1[[#This Row],[Country]])</f>
        <v>44927</v>
      </c>
      <c r="AF109" s="12">
        <f t="shared" si="26"/>
        <v>45505</v>
      </c>
      <c r="AG109">
        <f>AD109*(1 + Scenario_Control!$B$4)</f>
        <v>13.200000000000001</v>
      </c>
      <c r="AH109">
        <f>O109*(1 + Scenario_Control!$B$3)</f>
        <v>1195.74</v>
      </c>
      <c r="AI109">
        <f t="shared" si="27"/>
        <v>5211.2553768000007</v>
      </c>
      <c r="AJ109">
        <f t="shared" si="28"/>
        <v>-10572.5126232</v>
      </c>
      <c r="AK109" s="29">
        <f>MIN(Q109*(1-U109), Scenario_Control!$B$2*Q109)</f>
        <v>450.16200000000003</v>
      </c>
      <c r="AL109" s="15">
        <f t="shared" si="29"/>
        <v>0</v>
      </c>
      <c r="AM109" s="8">
        <f>DATEDIF(Table1[[#This Row],[Country_FirstMonth]], Table1[[#This Row],[MonthDate]], "m")</f>
        <v>19</v>
      </c>
    </row>
    <row r="110" spans="1:39" x14ac:dyDescent="0.25">
      <c r="A110" t="s">
        <v>123</v>
      </c>
      <c r="B110" s="12">
        <v>45581</v>
      </c>
      <c r="C110" s="12">
        <f t="shared" si="15"/>
        <v>45604</v>
      </c>
      <c r="D110" s="2" t="str">
        <f>IF(Table1[[#This Row],[RequiredDate]]&lt;Table1[[#This Row],[OrderDate]],"Check","OK")</f>
        <v>OK</v>
      </c>
      <c r="E110" s="2">
        <v>45604</v>
      </c>
      <c r="F110" s="15">
        <f t="shared" si="16"/>
        <v>23</v>
      </c>
      <c r="G110" t="s">
        <v>647</v>
      </c>
      <c r="H110" t="s">
        <v>652</v>
      </c>
      <c r="I110" t="s">
        <v>666</v>
      </c>
      <c r="J110" t="s">
        <v>705</v>
      </c>
      <c r="K110" t="s">
        <v>707</v>
      </c>
      <c r="L110" t="s">
        <v>713</v>
      </c>
      <c r="M110" t="s">
        <v>729</v>
      </c>
      <c r="N110" t="s">
        <v>842</v>
      </c>
      <c r="O110" s="29">
        <v>82.14</v>
      </c>
      <c r="P110" t="str">
        <f>IF(Table1[[#This Row],[UnitPrice]]&lt;=0,"Check","OK")</f>
        <v>OK</v>
      </c>
      <c r="Q110" s="29">
        <f t="shared" si="17"/>
        <v>166.04</v>
      </c>
      <c r="R110">
        <v>166.04</v>
      </c>
      <c r="S110" s="5">
        <f>IF(Table1[[#This Row],[Discount_Flag]]="Check", MIN(MAX(Table1[[#This Row],[DiscountPct]],0),0.3), Table1[[#This Row],[DiscountPct]])</f>
        <v>0</v>
      </c>
      <c r="T110" t="str">
        <f>IF(OR(Table1[[#This Row],[DiscountPct]]&lt;0,Table1[[#This Row],[DiscountPct]]&gt;0.3),"Check","OK")</f>
        <v>OK</v>
      </c>
      <c r="U110" s="11">
        <v>0</v>
      </c>
      <c r="V110" s="15">
        <f t="shared" si="18"/>
        <v>0</v>
      </c>
      <c r="W110" s="11">
        <f t="shared" si="19"/>
        <v>0.50529992772825827</v>
      </c>
      <c r="X110" s="17">
        <f t="shared" si="20"/>
        <v>821.4</v>
      </c>
      <c r="Y110" s="17">
        <f t="shared" si="21"/>
        <v>838.99999999999989</v>
      </c>
      <c r="Z110" s="17">
        <f t="shared" si="22"/>
        <v>1660.3999999999999</v>
      </c>
      <c r="AA110" s="17" t="str">
        <f t="shared" si="23"/>
        <v>Q4-2024</v>
      </c>
      <c r="AB110" s="12" t="str">
        <f t="shared" si="24"/>
        <v>Oct-2024</v>
      </c>
      <c r="AC110" s="12" t="str">
        <f t="shared" si="25"/>
        <v>Low</v>
      </c>
      <c r="AD110">
        <v>10</v>
      </c>
      <c r="AE110" s="12">
        <f>_xlfn.MINIFS(Table1[MonthDate], Table1[Country], Table1[[#This Row],[Country]])</f>
        <v>44986</v>
      </c>
      <c r="AF110" s="12">
        <f t="shared" si="26"/>
        <v>45566</v>
      </c>
      <c r="AG110">
        <f>AD110*(1 + Scenario_Control!$B$4)</f>
        <v>11</v>
      </c>
      <c r="AH110">
        <f>O110*(1 + Scenario_Control!$B$3)</f>
        <v>86.247</v>
      </c>
      <c r="AI110">
        <f t="shared" si="27"/>
        <v>365.28800000000001</v>
      </c>
      <c r="AJ110">
        <f t="shared" si="28"/>
        <v>-583.42899999999997</v>
      </c>
      <c r="AK110" s="29">
        <f>MIN(Q110*(1-U110), Scenario_Control!$B$2*Q110)</f>
        <v>33.207999999999998</v>
      </c>
      <c r="AL110" s="15">
        <f t="shared" si="29"/>
        <v>0</v>
      </c>
      <c r="AM110" s="8">
        <f>DATEDIF(Table1[[#This Row],[Country_FirstMonth]], Table1[[#This Row],[MonthDate]], "m")</f>
        <v>19</v>
      </c>
    </row>
    <row r="111" spans="1:39" x14ac:dyDescent="0.25">
      <c r="A111" t="s">
        <v>124</v>
      </c>
      <c r="B111" s="12">
        <v>45445</v>
      </c>
      <c r="C111" s="12">
        <f t="shared" si="15"/>
        <v>45451</v>
      </c>
      <c r="D111" s="2" t="str">
        <f>IF(Table1[[#This Row],[RequiredDate]]&lt;Table1[[#This Row],[OrderDate]],"Check","OK")</f>
        <v>OK</v>
      </c>
      <c r="E111" s="2">
        <v>45451</v>
      </c>
      <c r="F111" s="15">
        <f t="shared" si="16"/>
        <v>6</v>
      </c>
      <c r="G111" t="s">
        <v>646</v>
      </c>
      <c r="H111" t="s">
        <v>650</v>
      </c>
      <c r="I111" t="s">
        <v>662</v>
      </c>
      <c r="J111" t="s">
        <v>704</v>
      </c>
      <c r="K111" t="s">
        <v>709</v>
      </c>
      <c r="L111" t="s">
        <v>720</v>
      </c>
      <c r="M111" t="s">
        <v>733</v>
      </c>
      <c r="N111" t="s">
        <v>843</v>
      </c>
      <c r="O111" s="29">
        <v>292.94</v>
      </c>
      <c r="P111" t="str">
        <f>IF(Table1[[#This Row],[UnitPrice]]&lt;=0,"Check","OK")</f>
        <v>OK</v>
      </c>
      <c r="Q111" s="29">
        <f t="shared" si="17"/>
        <v>356.55</v>
      </c>
      <c r="R111">
        <v>356.55</v>
      </c>
      <c r="S111" s="5">
        <f>IF(Table1[[#This Row],[Discount_Flag]]="Check", MIN(MAX(Table1[[#This Row],[DiscountPct]],0),0.3), Table1[[#This Row],[DiscountPct]])</f>
        <v>0.22900000000000001</v>
      </c>
      <c r="T111" t="str">
        <f>IF(OR(Table1[[#This Row],[DiscountPct]]&lt;0,Table1[[#This Row],[DiscountPct]]&gt;0.3),"Check","OK")</f>
        <v>OK</v>
      </c>
      <c r="U111" s="11">
        <v>0.22900000000000001</v>
      </c>
      <c r="V111" s="15">
        <f t="shared" si="18"/>
        <v>1</v>
      </c>
      <c r="W111" s="11">
        <f t="shared" si="19"/>
        <v>-6.5623669402751925E-2</v>
      </c>
      <c r="X111" s="17">
        <f t="shared" si="20"/>
        <v>585.88</v>
      </c>
      <c r="Y111" s="17">
        <f t="shared" si="21"/>
        <v>-36.079899999999952</v>
      </c>
      <c r="Z111" s="17">
        <f t="shared" si="22"/>
        <v>549.80010000000004</v>
      </c>
      <c r="AA111" s="17" t="str">
        <f t="shared" si="23"/>
        <v>Q2-2024</v>
      </c>
      <c r="AB111" s="12" t="str">
        <f t="shared" si="24"/>
        <v>Jun-2024</v>
      </c>
      <c r="AC111" s="12" t="str">
        <f t="shared" si="25"/>
        <v>Low</v>
      </c>
      <c r="AD111">
        <v>2</v>
      </c>
      <c r="AE111" s="12">
        <f>_xlfn.MINIFS(Table1[MonthDate], Table1[Country], Table1[[#This Row],[Country]])</f>
        <v>44927</v>
      </c>
      <c r="AF111" s="12">
        <f t="shared" si="26"/>
        <v>45444</v>
      </c>
      <c r="AG111">
        <f>AD111*(1 + Scenario_Control!$B$4)</f>
        <v>2.2000000000000002</v>
      </c>
      <c r="AH111">
        <f>O111*(1 + Scenario_Control!$B$3)</f>
        <v>307.58699999999999</v>
      </c>
      <c r="AI111">
        <f t="shared" si="27"/>
        <v>120.956022</v>
      </c>
      <c r="AJ111">
        <f t="shared" si="28"/>
        <v>-555.73537800000008</v>
      </c>
      <c r="AK111" s="29">
        <f>MIN(Q111*(1-U111), Scenario_Control!$B$2*Q111)</f>
        <v>71.31</v>
      </c>
      <c r="AL111" s="15">
        <f t="shared" si="29"/>
        <v>1</v>
      </c>
      <c r="AM111" s="8">
        <f>DATEDIF(Table1[[#This Row],[Country_FirstMonth]], Table1[[#This Row],[MonthDate]], "m")</f>
        <v>17</v>
      </c>
    </row>
    <row r="112" spans="1:39" x14ac:dyDescent="0.25">
      <c r="A112" t="s">
        <v>125</v>
      </c>
      <c r="B112" s="12">
        <v>45452</v>
      </c>
      <c r="C112" s="12">
        <f t="shared" si="15"/>
        <v>45480</v>
      </c>
      <c r="D112" s="2" t="str">
        <f>IF(Table1[[#This Row],[RequiredDate]]&lt;Table1[[#This Row],[OrderDate]],"Check","OK")</f>
        <v>OK</v>
      </c>
      <c r="E112" s="2">
        <v>45480</v>
      </c>
      <c r="F112" s="15">
        <f t="shared" si="16"/>
        <v>28</v>
      </c>
      <c r="G112" t="s">
        <v>647</v>
      </c>
      <c r="H112" t="s">
        <v>659</v>
      </c>
      <c r="I112" t="s">
        <v>676</v>
      </c>
      <c r="J112" t="s">
        <v>701</v>
      </c>
      <c r="K112" t="s">
        <v>708</v>
      </c>
      <c r="L112" t="s">
        <v>713</v>
      </c>
      <c r="M112" t="s">
        <v>727</v>
      </c>
      <c r="N112" t="s">
        <v>844</v>
      </c>
      <c r="O112" s="29">
        <v>550.22</v>
      </c>
      <c r="P112" t="str">
        <f>IF(Table1[[#This Row],[UnitPrice]]&lt;=0,"Check","OK")</f>
        <v>OK</v>
      </c>
      <c r="Q112" s="29">
        <f t="shared" si="17"/>
        <v>1025.05</v>
      </c>
      <c r="R112">
        <v>1025.05</v>
      </c>
      <c r="S112" s="5">
        <f>IF(Table1[[#This Row],[Discount_Flag]]="Check", MIN(MAX(Table1[[#This Row],[DiscountPct]],0),0.3), Table1[[#This Row],[DiscountPct]])</f>
        <v>0</v>
      </c>
      <c r="T112" t="str">
        <f>IF(OR(Table1[[#This Row],[DiscountPct]]&lt;0,Table1[[#This Row],[DiscountPct]]&gt;0.3),"Check","OK")</f>
        <v>OK</v>
      </c>
      <c r="U112" s="11">
        <v>0</v>
      </c>
      <c r="V112" s="15">
        <f t="shared" si="18"/>
        <v>0</v>
      </c>
      <c r="W112" s="11">
        <f t="shared" si="19"/>
        <v>0.46322618408858102</v>
      </c>
      <c r="X112" s="17">
        <f t="shared" si="20"/>
        <v>14855.94</v>
      </c>
      <c r="Y112" s="17">
        <f t="shared" si="21"/>
        <v>12820.409999999998</v>
      </c>
      <c r="Z112" s="17">
        <f t="shared" si="22"/>
        <v>27676.35</v>
      </c>
      <c r="AA112" s="17" t="str">
        <f t="shared" si="23"/>
        <v>Q2-2024</v>
      </c>
      <c r="AB112" s="12" t="str">
        <f t="shared" si="24"/>
        <v>Jun-2024</v>
      </c>
      <c r="AC112" s="12" t="str">
        <f t="shared" si="25"/>
        <v>Medium</v>
      </c>
      <c r="AD112">
        <v>27</v>
      </c>
      <c r="AE112" s="12">
        <f>_xlfn.MINIFS(Table1[MonthDate], Table1[Country], Table1[[#This Row],[Country]])</f>
        <v>44927</v>
      </c>
      <c r="AF112" s="12">
        <f t="shared" si="26"/>
        <v>45444</v>
      </c>
      <c r="AG112">
        <f>AD112*(1 + Scenario_Control!$B$4)</f>
        <v>29.700000000000003</v>
      </c>
      <c r="AH112">
        <f>O112*(1 + Scenario_Control!$B$3)</f>
        <v>577.73100000000011</v>
      </c>
      <c r="AI112">
        <f t="shared" si="27"/>
        <v>6088.7970000000005</v>
      </c>
      <c r="AJ112">
        <f t="shared" si="28"/>
        <v>-11069.813700000004</v>
      </c>
      <c r="AK112" s="29">
        <f>MIN(Q112*(1-U112), Scenario_Control!$B$2*Q112)</f>
        <v>205.01</v>
      </c>
      <c r="AL112" s="15">
        <f t="shared" si="29"/>
        <v>0</v>
      </c>
      <c r="AM112" s="8">
        <f>DATEDIF(Table1[[#This Row],[Country_FirstMonth]], Table1[[#This Row],[MonthDate]], "m")</f>
        <v>17</v>
      </c>
    </row>
    <row r="113" spans="1:39" x14ac:dyDescent="0.25">
      <c r="A113" t="s">
        <v>126</v>
      </c>
      <c r="B113" s="12">
        <v>45453</v>
      </c>
      <c r="C113" s="12">
        <f t="shared" si="15"/>
        <v>45454</v>
      </c>
      <c r="D113" s="2" t="str">
        <f>IF(Table1[[#This Row],[RequiredDate]]&lt;Table1[[#This Row],[OrderDate]],"Check","OK")</f>
        <v>OK</v>
      </c>
      <c r="E113" s="2">
        <v>45454</v>
      </c>
      <c r="F113" s="15">
        <f t="shared" si="16"/>
        <v>1</v>
      </c>
      <c r="G113" t="s">
        <v>649</v>
      </c>
      <c r="H113" t="s">
        <v>658</v>
      </c>
      <c r="I113" t="s">
        <v>674</v>
      </c>
      <c r="J113" t="s">
        <v>705</v>
      </c>
      <c r="K113" t="s">
        <v>709</v>
      </c>
      <c r="L113" t="s">
        <v>724</v>
      </c>
      <c r="M113" t="s">
        <v>731</v>
      </c>
      <c r="N113" t="s">
        <v>845</v>
      </c>
      <c r="O113" s="29">
        <v>1187.1300000000001</v>
      </c>
      <c r="P113" t="str">
        <f>IF(Table1[[#This Row],[UnitPrice]]&lt;=0,"Check","OK")</f>
        <v>OK</v>
      </c>
      <c r="Q113" s="29">
        <f t="shared" si="17"/>
        <v>1795.17</v>
      </c>
      <c r="R113">
        <v>1795.17</v>
      </c>
      <c r="S113" s="5">
        <f>IF(Table1[[#This Row],[Discount_Flag]]="Check", MIN(MAX(Table1[[#This Row],[DiscountPct]],0),0.3), Table1[[#This Row],[DiscountPct]])</f>
        <v>1.2E-2</v>
      </c>
      <c r="T113" t="str">
        <f>IF(OR(Table1[[#This Row],[DiscountPct]]&lt;0,Table1[[#This Row],[DiscountPct]]&gt;0.3),"Check","OK")</f>
        <v>OK</v>
      </c>
      <c r="U113" s="11">
        <v>1.2E-2</v>
      </c>
      <c r="V113" s="15">
        <f t="shared" si="18"/>
        <v>0</v>
      </c>
      <c r="W113" s="11">
        <f t="shared" si="19"/>
        <v>0.33067699271046663</v>
      </c>
      <c r="X113" s="17">
        <f t="shared" si="20"/>
        <v>20181.210000000003</v>
      </c>
      <c r="Y113" s="17">
        <f t="shared" si="21"/>
        <v>9970.4653199999957</v>
      </c>
      <c r="Z113" s="17">
        <f t="shared" si="22"/>
        <v>30151.675319999998</v>
      </c>
      <c r="AA113" s="17" t="str">
        <f t="shared" si="23"/>
        <v>Q2-2024</v>
      </c>
      <c r="AB113" s="12" t="str">
        <f t="shared" si="24"/>
        <v>Jun-2024</v>
      </c>
      <c r="AC113" s="12" t="str">
        <f t="shared" si="25"/>
        <v>Medium</v>
      </c>
      <c r="AD113">
        <v>17</v>
      </c>
      <c r="AE113" s="12">
        <f>_xlfn.MINIFS(Table1[MonthDate], Table1[Country], Table1[[#This Row],[Country]])</f>
        <v>44927</v>
      </c>
      <c r="AF113" s="12">
        <f t="shared" si="26"/>
        <v>45444</v>
      </c>
      <c r="AG113">
        <f>AD113*(1 + Scenario_Control!$B$4)</f>
        <v>18.700000000000003</v>
      </c>
      <c r="AH113">
        <f>O113*(1 + Scenario_Control!$B$3)</f>
        <v>1246.4865000000002</v>
      </c>
      <c r="AI113">
        <f t="shared" si="27"/>
        <v>6633.3685704000018</v>
      </c>
      <c r="AJ113">
        <f t="shared" si="28"/>
        <v>-16675.928979600005</v>
      </c>
      <c r="AK113" s="29">
        <f>MIN(Q113*(1-U113), Scenario_Control!$B$2*Q113)</f>
        <v>359.03400000000005</v>
      </c>
      <c r="AL113" s="15">
        <f t="shared" si="29"/>
        <v>1</v>
      </c>
      <c r="AM113" s="8">
        <f>DATEDIF(Table1[[#This Row],[Country_FirstMonth]], Table1[[#This Row],[MonthDate]], "m")</f>
        <v>17</v>
      </c>
    </row>
    <row r="114" spans="1:39" x14ac:dyDescent="0.25">
      <c r="A114" t="s">
        <v>127</v>
      </c>
      <c r="B114" s="12">
        <v>45472</v>
      </c>
      <c r="C114" s="12">
        <f t="shared" si="15"/>
        <v>45499</v>
      </c>
      <c r="D114" s="2" t="str">
        <f>IF(Table1[[#This Row],[RequiredDate]]&lt;Table1[[#This Row],[OrderDate]],"Check","OK")</f>
        <v>OK</v>
      </c>
      <c r="E114" s="2">
        <v>45499</v>
      </c>
      <c r="F114" s="15">
        <f t="shared" si="16"/>
        <v>27</v>
      </c>
      <c r="G114" t="s">
        <v>646</v>
      </c>
      <c r="H114" t="s">
        <v>661</v>
      </c>
      <c r="I114" t="s">
        <v>687</v>
      </c>
      <c r="J114" t="s">
        <v>706</v>
      </c>
      <c r="K114" t="s">
        <v>710</v>
      </c>
      <c r="L114" t="s">
        <v>717</v>
      </c>
      <c r="M114" t="s">
        <v>729</v>
      </c>
      <c r="N114" t="s">
        <v>846</v>
      </c>
      <c r="O114" s="29">
        <v>5.36</v>
      </c>
      <c r="P114" t="str">
        <f>IF(Table1[[#This Row],[UnitPrice]]&lt;=0,"Check","OK")</f>
        <v>OK</v>
      </c>
      <c r="Q114" s="29">
        <f t="shared" si="17"/>
        <v>4.37</v>
      </c>
      <c r="R114">
        <v>4.37</v>
      </c>
      <c r="S114" s="5">
        <f>IF(Table1[[#This Row],[Discount_Flag]]="Check", MIN(MAX(Table1[[#This Row],[DiscountPct]],0),0.3), Table1[[#This Row],[DiscountPct]])</f>
        <v>0.11799999999999999</v>
      </c>
      <c r="T114" t="str">
        <f>IF(OR(Table1[[#This Row],[DiscountPct]]&lt;0,Table1[[#This Row],[DiscountPct]]&gt;0.3),"Check","OK")</f>
        <v>OK</v>
      </c>
      <c r="U114" s="11">
        <v>0.11799999999999999</v>
      </c>
      <c r="V114" s="15">
        <f t="shared" si="18"/>
        <v>0</v>
      </c>
      <c r="W114" s="11">
        <f t="shared" si="19"/>
        <v>-0.39064016148030545</v>
      </c>
      <c r="X114" s="17">
        <f t="shared" si="20"/>
        <v>48.24</v>
      </c>
      <c r="Y114" s="17">
        <f t="shared" si="21"/>
        <v>-13.550940000000004</v>
      </c>
      <c r="Z114" s="17">
        <f t="shared" si="22"/>
        <v>34.689059999999998</v>
      </c>
      <c r="AA114" s="17" t="str">
        <f t="shared" si="23"/>
        <v>Q2-2024</v>
      </c>
      <c r="AB114" s="12" t="str">
        <f t="shared" si="24"/>
        <v>Jun-2024</v>
      </c>
      <c r="AC114" s="12" t="str">
        <f t="shared" si="25"/>
        <v>Low</v>
      </c>
      <c r="AD114">
        <v>9</v>
      </c>
      <c r="AE114" s="12">
        <f>_xlfn.MINIFS(Table1[MonthDate], Table1[Country], Table1[[#This Row],[Country]])</f>
        <v>44927</v>
      </c>
      <c r="AF114" s="12">
        <f t="shared" si="26"/>
        <v>45444</v>
      </c>
      <c r="AG114">
        <f>AD114*(1 + Scenario_Control!$B$4)</f>
        <v>9.9</v>
      </c>
      <c r="AH114">
        <f>O114*(1 + Scenario_Control!$B$3)</f>
        <v>5.628000000000001</v>
      </c>
      <c r="AI114">
        <f t="shared" si="27"/>
        <v>7.6315932000000011</v>
      </c>
      <c r="AJ114">
        <f t="shared" si="28"/>
        <v>-48.085606800000008</v>
      </c>
      <c r="AK114" s="29">
        <f>MIN(Q114*(1-U114), Scenario_Control!$B$2*Q114)</f>
        <v>0.87400000000000011</v>
      </c>
      <c r="AL114" s="15">
        <f t="shared" si="29"/>
        <v>0</v>
      </c>
      <c r="AM114" s="8">
        <f>DATEDIF(Table1[[#This Row],[Country_FirstMonth]], Table1[[#This Row],[MonthDate]], "m")</f>
        <v>17</v>
      </c>
    </row>
    <row r="115" spans="1:39" x14ac:dyDescent="0.25">
      <c r="A115" t="s">
        <v>128</v>
      </c>
      <c r="B115" s="12">
        <v>45674</v>
      </c>
      <c r="C115" s="12">
        <f t="shared" si="15"/>
        <v>45681</v>
      </c>
      <c r="D115" s="2" t="str">
        <f>IF(Table1[[#This Row],[RequiredDate]]&lt;Table1[[#This Row],[OrderDate]],"Check","OK")</f>
        <v>OK</v>
      </c>
      <c r="E115" s="2">
        <v>45681</v>
      </c>
      <c r="F115" s="15">
        <f t="shared" si="16"/>
        <v>7</v>
      </c>
      <c r="G115" t="s">
        <v>648</v>
      </c>
      <c r="H115" t="s">
        <v>660</v>
      </c>
      <c r="I115" t="s">
        <v>697</v>
      </c>
      <c r="J115" t="s">
        <v>706</v>
      </c>
      <c r="K115" t="s">
        <v>708</v>
      </c>
      <c r="L115" t="s">
        <v>715</v>
      </c>
      <c r="M115" t="s">
        <v>733</v>
      </c>
      <c r="N115" t="s">
        <v>847</v>
      </c>
      <c r="O115" s="29">
        <v>142.09</v>
      </c>
      <c r="P115" t="str">
        <f>IF(Table1[[#This Row],[UnitPrice]]&lt;=0,"Check","OK")</f>
        <v>OK</v>
      </c>
      <c r="Q115" s="29">
        <f t="shared" si="17"/>
        <v>218.5</v>
      </c>
      <c r="R115">
        <v>218.5</v>
      </c>
      <c r="S115" s="5">
        <f>IF(Table1[[#This Row],[Discount_Flag]]="Check", MIN(MAX(Table1[[#This Row],[DiscountPct]],0),0.3), Table1[[#This Row],[DiscountPct]])</f>
        <v>0.11899999999999999</v>
      </c>
      <c r="T115" t="str">
        <f>IF(OR(Table1[[#This Row],[DiscountPct]]&lt;0,Table1[[#This Row],[DiscountPct]]&gt;0.3),"Check","OK")</f>
        <v>OK</v>
      </c>
      <c r="U115" s="11">
        <v>0.11899999999999999</v>
      </c>
      <c r="V115" s="15">
        <f t="shared" si="18"/>
        <v>0</v>
      </c>
      <c r="W115" s="11">
        <f t="shared" si="19"/>
        <v>0.26186437816398561</v>
      </c>
      <c r="X115" s="17">
        <f t="shared" si="20"/>
        <v>1562.99</v>
      </c>
      <c r="Y115" s="17">
        <f t="shared" si="21"/>
        <v>554.49349999999981</v>
      </c>
      <c r="Z115" s="17">
        <f t="shared" si="22"/>
        <v>2117.4834999999998</v>
      </c>
      <c r="AA115" s="17" t="str">
        <f t="shared" si="23"/>
        <v>Q1-2025</v>
      </c>
      <c r="AB115" s="12" t="str">
        <f t="shared" si="24"/>
        <v>Jan-2025</v>
      </c>
      <c r="AC115" s="12" t="str">
        <f t="shared" si="25"/>
        <v>Low</v>
      </c>
      <c r="AD115">
        <v>11</v>
      </c>
      <c r="AE115" s="12">
        <f>_xlfn.MINIFS(Table1[MonthDate], Table1[Country], Table1[[#This Row],[Country]])</f>
        <v>44927</v>
      </c>
      <c r="AF115" s="12">
        <f t="shared" si="26"/>
        <v>45658</v>
      </c>
      <c r="AG115">
        <f>AD115*(1 + Scenario_Control!$B$4)</f>
        <v>12.100000000000001</v>
      </c>
      <c r="AH115">
        <f>O115*(1 + Scenario_Control!$B$3)</f>
        <v>149.19450000000001</v>
      </c>
      <c r="AI115">
        <f t="shared" si="27"/>
        <v>465.84637000000009</v>
      </c>
      <c r="AJ115">
        <f t="shared" si="28"/>
        <v>-1339.4070800000004</v>
      </c>
      <c r="AK115" s="29">
        <f>MIN(Q115*(1-U115), Scenario_Control!$B$2*Q115)</f>
        <v>43.7</v>
      </c>
      <c r="AL115" s="15">
        <f t="shared" si="29"/>
        <v>1</v>
      </c>
      <c r="AM115" s="8">
        <f>DATEDIF(Table1[[#This Row],[Country_FirstMonth]], Table1[[#This Row],[MonthDate]], "m")</f>
        <v>24</v>
      </c>
    </row>
    <row r="116" spans="1:39" x14ac:dyDescent="0.25">
      <c r="A116" t="s">
        <v>129</v>
      </c>
      <c r="B116" s="12">
        <v>45250</v>
      </c>
      <c r="C116" s="12">
        <f t="shared" si="15"/>
        <v>45265</v>
      </c>
      <c r="D116" s="2" t="str">
        <f>IF(Table1[[#This Row],[RequiredDate]]&lt;Table1[[#This Row],[OrderDate]],"Check","OK")</f>
        <v>OK</v>
      </c>
      <c r="E116" s="2">
        <v>45265</v>
      </c>
      <c r="F116" s="15">
        <f t="shared" si="16"/>
        <v>15</v>
      </c>
      <c r="G116" t="s">
        <v>647</v>
      </c>
      <c r="H116" t="s">
        <v>652</v>
      </c>
      <c r="I116" t="s">
        <v>689</v>
      </c>
      <c r="J116" t="s">
        <v>706</v>
      </c>
      <c r="K116" t="s">
        <v>707</v>
      </c>
      <c r="L116" t="s">
        <v>716</v>
      </c>
      <c r="M116" t="s">
        <v>729</v>
      </c>
      <c r="N116" t="s">
        <v>848</v>
      </c>
      <c r="O116" s="29">
        <v>354.24</v>
      </c>
      <c r="P116" t="str">
        <f>IF(Table1[[#This Row],[UnitPrice]]&lt;=0,"Check","OK")</f>
        <v>OK</v>
      </c>
      <c r="Q116" s="29">
        <f t="shared" si="17"/>
        <v>249.87</v>
      </c>
      <c r="R116">
        <v>249.87</v>
      </c>
      <c r="S116" s="5">
        <f>IF(Table1[[#This Row],[Discount_Flag]]="Check", MIN(MAX(Table1[[#This Row],[DiscountPct]],0),0.3), Table1[[#This Row],[DiscountPct]])</f>
        <v>0</v>
      </c>
      <c r="T116" t="str">
        <f>IF(OR(Table1[[#This Row],[DiscountPct]]&lt;0,Table1[[#This Row],[DiscountPct]]&gt;0.3),"Check","OK")</f>
        <v>OK</v>
      </c>
      <c r="U116" s="11">
        <v>0</v>
      </c>
      <c r="V116" s="15">
        <f t="shared" si="18"/>
        <v>0</v>
      </c>
      <c r="W116" s="11">
        <f t="shared" si="19"/>
        <v>-0.41769720254532355</v>
      </c>
      <c r="X116" s="17">
        <f t="shared" si="20"/>
        <v>2125.44</v>
      </c>
      <c r="Y116" s="17">
        <f t="shared" si="21"/>
        <v>-626.22</v>
      </c>
      <c r="Z116" s="17">
        <f t="shared" si="22"/>
        <v>1499.22</v>
      </c>
      <c r="AA116" s="17" t="str">
        <f t="shared" si="23"/>
        <v>Q4-2023</v>
      </c>
      <c r="AB116" s="12" t="str">
        <f t="shared" si="24"/>
        <v>Nov-2023</v>
      </c>
      <c r="AC116" s="12" t="str">
        <f t="shared" si="25"/>
        <v>Low</v>
      </c>
      <c r="AD116">
        <v>6</v>
      </c>
      <c r="AE116" s="12">
        <f>_xlfn.MINIFS(Table1[MonthDate], Table1[Country], Table1[[#This Row],[Country]])</f>
        <v>44986</v>
      </c>
      <c r="AF116" s="12">
        <f t="shared" si="26"/>
        <v>45231</v>
      </c>
      <c r="AG116">
        <f>AD116*(1 + Scenario_Control!$B$4)</f>
        <v>6.6000000000000005</v>
      </c>
      <c r="AH116">
        <f>O116*(1 + Scenario_Control!$B$3)</f>
        <v>371.952</v>
      </c>
      <c r="AI116">
        <f t="shared" si="27"/>
        <v>329.82840000000004</v>
      </c>
      <c r="AJ116">
        <f t="shared" si="28"/>
        <v>-2125.0548000000003</v>
      </c>
      <c r="AK116" s="29">
        <f>MIN(Q116*(1-U116), Scenario_Control!$B$2*Q116)</f>
        <v>49.974000000000004</v>
      </c>
      <c r="AL116" s="15">
        <f t="shared" si="29"/>
        <v>0</v>
      </c>
      <c r="AM116" s="8">
        <f>DATEDIF(Table1[[#This Row],[Country_FirstMonth]], Table1[[#This Row],[MonthDate]], "m")</f>
        <v>8</v>
      </c>
    </row>
    <row r="117" spans="1:39" x14ac:dyDescent="0.25">
      <c r="A117" t="s">
        <v>130</v>
      </c>
      <c r="B117" s="12">
        <v>44987</v>
      </c>
      <c r="C117" s="12">
        <f t="shared" si="15"/>
        <v>44990</v>
      </c>
      <c r="D117" s="2" t="str">
        <f>IF(Table1[[#This Row],[RequiredDate]]&lt;Table1[[#This Row],[OrderDate]],"Check","OK")</f>
        <v>OK</v>
      </c>
      <c r="E117" s="2">
        <v>44990</v>
      </c>
      <c r="F117" s="15">
        <f t="shared" si="16"/>
        <v>3</v>
      </c>
      <c r="G117" t="s">
        <v>648</v>
      </c>
      <c r="H117" t="s">
        <v>655</v>
      </c>
      <c r="I117" t="s">
        <v>672</v>
      </c>
      <c r="J117" t="s">
        <v>706</v>
      </c>
      <c r="K117" t="s">
        <v>711</v>
      </c>
      <c r="L117" t="s">
        <v>715</v>
      </c>
      <c r="M117" t="s">
        <v>732</v>
      </c>
      <c r="N117" t="s">
        <v>849</v>
      </c>
      <c r="O117" s="29">
        <v>1473.58</v>
      </c>
      <c r="P117" t="str">
        <f>IF(Table1[[#This Row],[UnitPrice]]&lt;=0,"Check","OK")</f>
        <v>OK</v>
      </c>
      <c r="Q117" s="29">
        <f t="shared" si="17"/>
        <v>3436.52</v>
      </c>
      <c r="R117">
        <v>3436.52</v>
      </c>
      <c r="S117" s="5">
        <f>IF(Table1[[#This Row],[Discount_Flag]]="Check", MIN(MAX(Table1[[#This Row],[DiscountPct]],0),0.3), Table1[[#This Row],[DiscountPct]])</f>
        <v>0.108</v>
      </c>
      <c r="T117" t="str">
        <f>IF(OR(Table1[[#This Row],[DiscountPct]]&lt;0,Table1[[#This Row],[DiscountPct]]&gt;0.3),"Check","OK")</f>
        <v>OK</v>
      </c>
      <c r="U117" s="11">
        <v>0.108</v>
      </c>
      <c r="V117" s="15">
        <f t="shared" si="18"/>
        <v>0</v>
      </c>
      <c r="W117" s="11">
        <f t="shared" si="19"/>
        <v>0.51928243813652564</v>
      </c>
      <c r="X117" s="17">
        <f t="shared" si="20"/>
        <v>11788.64</v>
      </c>
      <c r="Y117" s="17">
        <f t="shared" si="21"/>
        <v>12734.366720000002</v>
      </c>
      <c r="Z117" s="17">
        <f t="shared" si="22"/>
        <v>24523.006720000001</v>
      </c>
      <c r="AA117" s="17" t="str">
        <f t="shared" si="23"/>
        <v>Q1-2023</v>
      </c>
      <c r="AB117" s="12" t="str">
        <f t="shared" si="24"/>
        <v>Mar-2023</v>
      </c>
      <c r="AC117" s="12" t="str">
        <f t="shared" si="25"/>
        <v>High</v>
      </c>
      <c r="AD117">
        <v>8</v>
      </c>
      <c r="AE117" s="12">
        <f>_xlfn.MINIFS(Table1[MonthDate], Table1[Country], Table1[[#This Row],[Country]])</f>
        <v>44927</v>
      </c>
      <c r="AF117" s="12">
        <f t="shared" si="26"/>
        <v>44986</v>
      </c>
      <c r="AG117">
        <f>AD117*(1 + Scenario_Control!$B$4)</f>
        <v>8.8000000000000007</v>
      </c>
      <c r="AH117">
        <f>O117*(1 + Scenario_Control!$B$3)</f>
        <v>1547.259</v>
      </c>
      <c r="AI117">
        <f t="shared" si="27"/>
        <v>5395.0614784000009</v>
      </c>
      <c r="AJ117">
        <f t="shared" si="28"/>
        <v>-8220.8177216000004</v>
      </c>
      <c r="AK117" s="29">
        <f>MIN(Q117*(1-U117), Scenario_Control!$B$2*Q117)</f>
        <v>687.30400000000009</v>
      </c>
      <c r="AL117" s="15">
        <f t="shared" si="29"/>
        <v>1</v>
      </c>
      <c r="AM117" s="8">
        <f>DATEDIF(Table1[[#This Row],[Country_FirstMonth]], Table1[[#This Row],[MonthDate]], "m")</f>
        <v>2</v>
      </c>
    </row>
    <row r="118" spans="1:39" x14ac:dyDescent="0.25">
      <c r="A118" t="s">
        <v>131</v>
      </c>
      <c r="B118" s="12">
        <v>45811</v>
      </c>
      <c r="C118" s="12">
        <f t="shared" si="15"/>
        <v>45818</v>
      </c>
      <c r="D118" s="2" t="str">
        <f>IF(Table1[[#This Row],[RequiredDate]]&lt;Table1[[#This Row],[OrderDate]],"Check","OK")</f>
        <v>OK</v>
      </c>
      <c r="E118" s="2">
        <v>45818</v>
      </c>
      <c r="F118" s="15">
        <f t="shared" si="16"/>
        <v>7</v>
      </c>
      <c r="G118" t="s">
        <v>648</v>
      </c>
      <c r="H118" t="s">
        <v>653</v>
      </c>
      <c r="I118" t="s">
        <v>667</v>
      </c>
      <c r="J118" t="s">
        <v>704</v>
      </c>
      <c r="K118" t="s">
        <v>710</v>
      </c>
      <c r="L118" t="s">
        <v>719</v>
      </c>
      <c r="M118" t="s">
        <v>728</v>
      </c>
      <c r="N118" t="s">
        <v>850</v>
      </c>
      <c r="O118" s="29">
        <v>75.180000000000007</v>
      </c>
      <c r="P118" t="str">
        <f>IF(Table1[[#This Row],[UnitPrice]]&lt;=0,"Check","OK")</f>
        <v>OK</v>
      </c>
      <c r="Q118" s="29">
        <f t="shared" si="17"/>
        <v>53.45</v>
      </c>
      <c r="R118">
        <v>53.45</v>
      </c>
      <c r="S118" s="5">
        <f>IF(Table1[[#This Row],[Discount_Flag]]="Check", MIN(MAX(Table1[[#This Row],[DiscountPct]],0),0.3), Table1[[#This Row],[DiscountPct]])</f>
        <v>0.157</v>
      </c>
      <c r="T118" t="str">
        <f>IF(OR(Table1[[#This Row],[DiscountPct]]&lt;0,Table1[[#This Row],[DiscountPct]]&gt;0.3),"Check","OK")</f>
        <v>OK</v>
      </c>
      <c r="U118" s="11">
        <v>0.157</v>
      </c>
      <c r="V118" s="15">
        <f t="shared" si="18"/>
        <v>0</v>
      </c>
      <c r="W118" s="11">
        <f t="shared" si="19"/>
        <v>-0.66850317421743144</v>
      </c>
      <c r="X118" s="17">
        <f t="shared" si="20"/>
        <v>1278.0600000000002</v>
      </c>
      <c r="Y118" s="17">
        <f t="shared" si="21"/>
        <v>-512.06805000000008</v>
      </c>
      <c r="Z118" s="17">
        <f t="shared" si="22"/>
        <v>765.99195000000009</v>
      </c>
      <c r="AA118" s="17" t="str">
        <f t="shared" si="23"/>
        <v>Q2-2025</v>
      </c>
      <c r="AB118" s="12" t="str">
        <f t="shared" si="24"/>
        <v>Jun-2025</v>
      </c>
      <c r="AC118" s="12" t="str">
        <f t="shared" si="25"/>
        <v>Low</v>
      </c>
      <c r="AD118">
        <v>17</v>
      </c>
      <c r="AE118" s="12">
        <f>_xlfn.MINIFS(Table1[MonthDate], Table1[Country], Table1[[#This Row],[Country]])</f>
        <v>44927</v>
      </c>
      <c r="AF118" s="12">
        <f t="shared" si="26"/>
        <v>45809</v>
      </c>
      <c r="AG118">
        <f>AD118*(1 + Scenario_Control!$B$4)</f>
        <v>18.700000000000003</v>
      </c>
      <c r="AH118">
        <f>O118*(1 + Scenario_Control!$B$3)</f>
        <v>78.939000000000007</v>
      </c>
      <c r="AI118">
        <f t="shared" si="27"/>
        <v>168.51822900000005</v>
      </c>
      <c r="AJ118">
        <f t="shared" si="28"/>
        <v>-1307.6410710000002</v>
      </c>
      <c r="AK118" s="29">
        <f>MIN(Q118*(1-U118), Scenario_Control!$B$2*Q118)</f>
        <v>10.690000000000001</v>
      </c>
      <c r="AL118" s="15">
        <f t="shared" si="29"/>
        <v>1</v>
      </c>
      <c r="AM118" s="8">
        <f>DATEDIF(Table1[[#This Row],[Country_FirstMonth]], Table1[[#This Row],[MonthDate]], "m")</f>
        <v>29</v>
      </c>
    </row>
    <row r="119" spans="1:39" x14ac:dyDescent="0.25">
      <c r="A119" t="s">
        <v>132</v>
      </c>
      <c r="B119" s="12">
        <v>45653</v>
      </c>
      <c r="C119" s="12">
        <f t="shared" si="15"/>
        <v>45659</v>
      </c>
      <c r="D119" s="2" t="str">
        <f>IF(Table1[[#This Row],[RequiredDate]]&lt;Table1[[#This Row],[OrderDate]],"Check","OK")</f>
        <v>OK</v>
      </c>
      <c r="E119" s="2">
        <v>45659</v>
      </c>
      <c r="F119" s="15">
        <f t="shared" si="16"/>
        <v>6</v>
      </c>
      <c r="G119" t="s">
        <v>649</v>
      </c>
      <c r="H119" t="s">
        <v>656</v>
      </c>
      <c r="I119" t="s">
        <v>698</v>
      </c>
      <c r="J119" t="s">
        <v>702</v>
      </c>
      <c r="K119" t="s">
        <v>711</v>
      </c>
      <c r="L119" t="s">
        <v>721</v>
      </c>
      <c r="M119" t="s">
        <v>731</v>
      </c>
      <c r="N119" t="s">
        <v>851</v>
      </c>
      <c r="O119" s="29">
        <v>1391.99</v>
      </c>
      <c r="P119" t="str">
        <f>IF(Table1[[#This Row],[UnitPrice]]&lt;=0,"Check","OK")</f>
        <v>OK</v>
      </c>
      <c r="Q119" s="29">
        <f t="shared" si="17"/>
        <v>3469.7</v>
      </c>
      <c r="R119">
        <v>3469.7</v>
      </c>
      <c r="S119" s="5">
        <f>IF(Table1[[#This Row],[Discount_Flag]]="Check", MIN(MAX(Table1[[#This Row],[DiscountPct]],0),0.3), Table1[[#This Row],[DiscountPct]])</f>
        <v>0.184</v>
      </c>
      <c r="T119" t="str">
        <f>IF(OR(Table1[[#This Row],[DiscountPct]]&lt;0,Table1[[#This Row],[DiscountPct]]&gt;0.3),"Check","OK")</f>
        <v>OK</v>
      </c>
      <c r="U119" s="11">
        <v>0.184</v>
      </c>
      <c r="V119" s="15">
        <f t="shared" si="18"/>
        <v>0</v>
      </c>
      <c r="W119" s="11">
        <f t="shared" si="19"/>
        <v>0.50835227886006973</v>
      </c>
      <c r="X119" s="17">
        <f t="shared" si="20"/>
        <v>32015.77</v>
      </c>
      <c r="Y119" s="17">
        <f t="shared" si="21"/>
        <v>33103.559599999993</v>
      </c>
      <c r="Z119" s="17">
        <f t="shared" si="22"/>
        <v>65119.329599999997</v>
      </c>
      <c r="AA119" s="17" t="str">
        <f t="shared" si="23"/>
        <v>Q4-2024</v>
      </c>
      <c r="AB119" s="12" t="str">
        <f t="shared" si="24"/>
        <v>Dec-2024</v>
      </c>
      <c r="AC119" s="12" t="str">
        <f t="shared" si="25"/>
        <v>High</v>
      </c>
      <c r="AD119">
        <v>23</v>
      </c>
      <c r="AE119" s="12">
        <f>_xlfn.MINIFS(Table1[MonthDate], Table1[Country], Table1[[#This Row],[Country]])</f>
        <v>44927</v>
      </c>
      <c r="AF119" s="12">
        <f t="shared" si="26"/>
        <v>45627</v>
      </c>
      <c r="AG119">
        <f>AD119*(1 + Scenario_Control!$B$4)</f>
        <v>25.3</v>
      </c>
      <c r="AH119">
        <f>O119*(1 + Scenario_Control!$B$3)</f>
        <v>1461.5895</v>
      </c>
      <c r="AI119">
        <f t="shared" si="27"/>
        <v>14326.252512000001</v>
      </c>
      <c r="AJ119">
        <f t="shared" si="28"/>
        <v>-22651.961838000003</v>
      </c>
      <c r="AK119" s="29">
        <f>MIN(Q119*(1-U119), Scenario_Control!$B$2*Q119)</f>
        <v>693.94</v>
      </c>
      <c r="AL119" s="15">
        <f t="shared" si="29"/>
        <v>1</v>
      </c>
      <c r="AM119" s="8">
        <f>DATEDIF(Table1[[#This Row],[Country_FirstMonth]], Table1[[#This Row],[MonthDate]], "m")</f>
        <v>23</v>
      </c>
    </row>
    <row r="120" spans="1:39" x14ac:dyDescent="0.25">
      <c r="A120" t="s">
        <v>133</v>
      </c>
      <c r="B120" s="12">
        <v>45086</v>
      </c>
      <c r="C120" s="12">
        <f t="shared" si="15"/>
        <v>45096</v>
      </c>
      <c r="D120" s="2" t="str">
        <f>IF(Table1[[#This Row],[RequiredDate]]&lt;Table1[[#This Row],[OrderDate]],"Check","OK")</f>
        <v>OK</v>
      </c>
      <c r="E120" s="2">
        <v>45096</v>
      </c>
      <c r="F120" s="15">
        <f t="shared" si="16"/>
        <v>10</v>
      </c>
      <c r="G120" t="s">
        <v>647</v>
      </c>
      <c r="H120" t="s">
        <v>659</v>
      </c>
      <c r="I120" t="s">
        <v>699</v>
      </c>
      <c r="J120" t="s">
        <v>706</v>
      </c>
      <c r="K120" t="s">
        <v>707</v>
      </c>
      <c r="L120" t="s">
        <v>721</v>
      </c>
      <c r="M120" t="s">
        <v>732</v>
      </c>
      <c r="N120" t="s">
        <v>852</v>
      </c>
      <c r="O120" s="29">
        <v>339.61</v>
      </c>
      <c r="P120" t="str">
        <f>IF(Table1[[#This Row],[UnitPrice]]&lt;=0,"Check","OK")</f>
        <v>OK</v>
      </c>
      <c r="Q120" s="29">
        <f t="shared" si="17"/>
        <v>621.02</v>
      </c>
      <c r="R120">
        <v>621.02</v>
      </c>
      <c r="S120" s="5">
        <f>IF(Table1[[#This Row],[Discount_Flag]]="Check", MIN(MAX(Table1[[#This Row],[DiscountPct]],0),0.3), Table1[[#This Row],[DiscountPct]])</f>
        <v>7.0999999999999994E-2</v>
      </c>
      <c r="T120" t="str">
        <f>IF(OR(Table1[[#This Row],[DiscountPct]]&lt;0,Table1[[#This Row],[DiscountPct]]&gt;0.3),"Check","OK")</f>
        <v>OK</v>
      </c>
      <c r="U120" s="11">
        <v>7.0999999999999994E-2</v>
      </c>
      <c r="V120" s="15">
        <f t="shared" si="18"/>
        <v>0</v>
      </c>
      <c r="W120" s="11">
        <f t="shared" si="19"/>
        <v>0.41134726129750981</v>
      </c>
      <c r="X120" s="17">
        <f t="shared" si="20"/>
        <v>3396.1000000000004</v>
      </c>
      <c r="Y120" s="17">
        <f t="shared" si="21"/>
        <v>2373.1758</v>
      </c>
      <c r="Z120" s="17">
        <f t="shared" si="22"/>
        <v>5769.2758000000003</v>
      </c>
      <c r="AA120" s="17" t="str">
        <f t="shared" si="23"/>
        <v>Q2-2023</v>
      </c>
      <c r="AB120" s="12" t="str">
        <f t="shared" si="24"/>
        <v>Jun-2023</v>
      </c>
      <c r="AC120" s="12" t="str">
        <f t="shared" si="25"/>
        <v>Medium</v>
      </c>
      <c r="AD120">
        <v>10</v>
      </c>
      <c r="AE120" s="12">
        <f>_xlfn.MINIFS(Table1[MonthDate], Table1[Country], Table1[[#This Row],[Country]])</f>
        <v>44927</v>
      </c>
      <c r="AF120" s="12">
        <f t="shared" si="26"/>
        <v>45078</v>
      </c>
      <c r="AG120">
        <f>AD120*(1 + Scenario_Control!$B$4)</f>
        <v>11</v>
      </c>
      <c r="AH120">
        <f>O120*(1 + Scenario_Control!$B$3)</f>
        <v>356.59050000000002</v>
      </c>
      <c r="AI120">
        <f t="shared" si="27"/>
        <v>1269.2406760000001</v>
      </c>
      <c r="AJ120">
        <f t="shared" si="28"/>
        <v>-2653.2548239999996</v>
      </c>
      <c r="AK120" s="29">
        <f>MIN(Q120*(1-U120), Scenario_Control!$B$2*Q120)</f>
        <v>124.20400000000001</v>
      </c>
      <c r="AL120" s="15">
        <f t="shared" si="29"/>
        <v>0</v>
      </c>
      <c r="AM120" s="8">
        <f>DATEDIF(Table1[[#This Row],[Country_FirstMonth]], Table1[[#This Row],[MonthDate]], "m")</f>
        <v>5</v>
      </c>
    </row>
    <row r="121" spans="1:39" x14ac:dyDescent="0.25">
      <c r="A121" t="s">
        <v>134</v>
      </c>
      <c r="B121" s="12">
        <v>45847</v>
      </c>
      <c r="C121" s="12">
        <f t="shared" si="15"/>
        <v>45856</v>
      </c>
      <c r="D121" s="2" t="str">
        <f>IF(Table1[[#This Row],[RequiredDate]]&lt;Table1[[#This Row],[OrderDate]],"Check","OK")</f>
        <v>OK</v>
      </c>
      <c r="E121" s="2">
        <v>45856</v>
      </c>
      <c r="F121" s="15">
        <f t="shared" si="16"/>
        <v>9</v>
      </c>
      <c r="G121" t="s">
        <v>648</v>
      </c>
      <c r="H121" t="s">
        <v>653</v>
      </c>
      <c r="I121" t="s">
        <v>688</v>
      </c>
      <c r="J121" t="s">
        <v>702</v>
      </c>
      <c r="K121" t="s">
        <v>710</v>
      </c>
      <c r="L121" t="s">
        <v>714</v>
      </c>
      <c r="M121" t="s">
        <v>731</v>
      </c>
      <c r="N121" t="s">
        <v>853</v>
      </c>
      <c r="O121" s="29">
        <v>57.96</v>
      </c>
      <c r="P121" t="str">
        <f>IF(Table1[[#This Row],[UnitPrice]]&lt;=0,"Check","OK")</f>
        <v>OK</v>
      </c>
      <c r="Q121" s="29">
        <f t="shared" si="17"/>
        <v>88.51</v>
      </c>
      <c r="R121">
        <v>88.51</v>
      </c>
      <c r="S121" s="5">
        <f>IF(Table1[[#This Row],[Discount_Flag]]="Check", MIN(MAX(Table1[[#This Row],[DiscountPct]],0),0.3), Table1[[#This Row],[DiscountPct]])</f>
        <v>4.2999999999999997E-2</v>
      </c>
      <c r="T121" t="str">
        <f>IF(OR(Table1[[#This Row],[DiscountPct]]&lt;0,Table1[[#This Row],[DiscountPct]]&gt;0.3),"Check","OK")</f>
        <v>OK</v>
      </c>
      <c r="U121" s="11">
        <v>4.2999999999999997E-2</v>
      </c>
      <c r="V121" s="15">
        <f t="shared" si="18"/>
        <v>0</v>
      </c>
      <c r="W121" s="11">
        <f t="shared" si="19"/>
        <v>0.3157353595877978</v>
      </c>
      <c r="X121" s="17">
        <f t="shared" si="20"/>
        <v>405.72</v>
      </c>
      <c r="Y121" s="17">
        <f t="shared" si="21"/>
        <v>187.20848999999998</v>
      </c>
      <c r="Z121" s="17">
        <f t="shared" si="22"/>
        <v>592.92849000000001</v>
      </c>
      <c r="AA121" s="17" t="str">
        <f t="shared" si="23"/>
        <v>Q3-2025</v>
      </c>
      <c r="AB121" s="12" t="str">
        <f t="shared" si="24"/>
        <v>Jul-2025</v>
      </c>
      <c r="AC121" s="12" t="str">
        <f t="shared" si="25"/>
        <v>Low</v>
      </c>
      <c r="AD121">
        <v>7</v>
      </c>
      <c r="AE121" s="12">
        <f>_xlfn.MINIFS(Table1[MonthDate], Table1[Country], Table1[[#This Row],[Country]])</f>
        <v>44927</v>
      </c>
      <c r="AF121" s="12">
        <f t="shared" si="26"/>
        <v>45839</v>
      </c>
      <c r="AG121">
        <f>AD121*(1 + Scenario_Control!$B$4)</f>
        <v>7.7000000000000011</v>
      </c>
      <c r="AH121">
        <f>O121*(1 + Scenario_Control!$B$3)</f>
        <v>60.858000000000004</v>
      </c>
      <c r="AI121">
        <f t="shared" si="27"/>
        <v>130.44426780000001</v>
      </c>
      <c r="AJ121">
        <f t="shared" si="28"/>
        <v>-338.16233220000004</v>
      </c>
      <c r="AK121" s="29">
        <f>MIN(Q121*(1-U121), Scenario_Control!$B$2*Q121)</f>
        <v>17.702000000000002</v>
      </c>
      <c r="AL121" s="15">
        <f t="shared" si="29"/>
        <v>0</v>
      </c>
      <c r="AM121" s="8">
        <f>DATEDIF(Table1[[#This Row],[Country_FirstMonth]], Table1[[#This Row],[MonthDate]], "m")</f>
        <v>30</v>
      </c>
    </row>
    <row r="122" spans="1:39" x14ac:dyDescent="0.25">
      <c r="A122" t="s">
        <v>135</v>
      </c>
      <c r="B122" s="12">
        <v>45827</v>
      </c>
      <c r="C122" s="12">
        <f t="shared" si="15"/>
        <v>45850</v>
      </c>
      <c r="D122" s="2" t="str">
        <f>IF(Table1[[#This Row],[RequiredDate]]&lt;Table1[[#This Row],[OrderDate]],"Check","OK")</f>
        <v>OK</v>
      </c>
      <c r="E122" s="2">
        <v>45850</v>
      </c>
      <c r="F122" s="15">
        <f t="shared" si="16"/>
        <v>23</v>
      </c>
      <c r="G122" t="s">
        <v>649</v>
      </c>
      <c r="H122" t="s">
        <v>658</v>
      </c>
      <c r="I122" t="s">
        <v>1425</v>
      </c>
      <c r="J122" t="s">
        <v>703</v>
      </c>
      <c r="K122" t="s">
        <v>711</v>
      </c>
      <c r="L122" t="s">
        <v>1430</v>
      </c>
      <c r="M122" t="s">
        <v>729</v>
      </c>
      <c r="N122" t="s">
        <v>854</v>
      </c>
      <c r="O122" s="29">
        <v>801.24</v>
      </c>
      <c r="P122" t="str">
        <f>IF(Table1[[#This Row],[UnitPrice]]&lt;=0,"Check","OK")</f>
        <v>OK</v>
      </c>
      <c r="Q122" s="29">
        <f t="shared" si="17"/>
        <v>1959.09</v>
      </c>
      <c r="R122">
        <v>1959.09</v>
      </c>
      <c r="S122" s="5">
        <f>IF(Table1[[#This Row],[Discount_Flag]]="Check", MIN(MAX(Table1[[#This Row],[DiscountPct]],0),0.3), Table1[[#This Row],[DiscountPct]])</f>
        <v>0.123</v>
      </c>
      <c r="T122" t="str">
        <f>IF(OR(Table1[[#This Row],[DiscountPct]]&lt;0,Table1[[#This Row],[DiscountPct]]&gt;0.3),"Check","OK")</f>
        <v>OK</v>
      </c>
      <c r="U122" s="11">
        <v>0.123</v>
      </c>
      <c r="V122" s="15">
        <f t="shared" si="18"/>
        <v>0</v>
      </c>
      <c r="W122" s="11">
        <f t="shared" si="19"/>
        <v>0.53365358650651762</v>
      </c>
      <c r="X122" s="17">
        <f t="shared" si="20"/>
        <v>18428.52</v>
      </c>
      <c r="Y122" s="17">
        <f t="shared" si="21"/>
        <v>21088.284389999997</v>
      </c>
      <c r="Z122" s="17">
        <f t="shared" si="22"/>
        <v>39516.804389999998</v>
      </c>
      <c r="AA122" s="17" t="str">
        <f t="shared" si="23"/>
        <v>Q2-2025</v>
      </c>
      <c r="AB122" s="12" t="str">
        <f t="shared" si="24"/>
        <v>Jun-2025</v>
      </c>
      <c r="AC122" s="12" t="str">
        <f t="shared" si="25"/>
        <v>High</v>
      </c>
      <c r="AD122">
        <v>23</v>
      </c>
      <c r="AE122" s="12">
        <f>_xlfn.MINIFS(Table1[MonthDate], Table1[Country], Table1[[#This Row],[Country]])</f>
        <v>44927</v>
      </c>
      <c r="AF122" s="12">
        <f t="shared" si="26"/>
        <v>45809</v>
      </c>
      <c r="AG122">
        <f>AD122*(1 + Scenario_Control!$B$4)</f>
        <v>25.3</v>
      </c>
      <c r="AH122">
        <f>O122*(1 + Scenario_Control!$B$3)</f>
        <v>841.30200000000002</v>
      </c>
      <c r="AI122">
        <f t="shared" si="27"/>
        <v>8693.6969657999998</v>
      </c>
      <c r="AJ122">
        <f t="shared" si="28"/>
        <v>-12591.243634200002</v>
      </c>
      <c r="AK122" s="29">
        <f>MIN(Q122*(1-U122), Scenario_Control!$B$2*Q122)</f>
        <v>391.81799999999998</v>
      </c>
      <c r="AL122" s="15">
        <f t="shared" si="29"/>
        <v>0</v>
      </c>
      <c r="AM122" s="8">
        <f>DATEDIF(Table1[[#This Row],[Country_FirstMonth]], Table1[[#This Row],[MonthDate]], "m")</f>
        <v>29</v>
      </c>
    </row>
    <row r="123" spans="1:39" x14ac:dyDescent="0.25">
      <c r="A123" t="s">
        <v>136</v>
      </c>
      <c r="B123" s="12">
        <v>45249</v>
      </c>
      <c r="C123" s="12">
        <f t="shared" si="15"/>
        <v>45273</v>
      </c>
      <c r="D123" s="2" t="str">
        <f>IF(Table1[[#This Row],[RequiredDate]]&lt;Table1[[#This Row],[OrderDate]],"Check","OK")</f>
        <v>OK</v>
      </c>
      <c r="E123" s="2">
        <v>45273</v>
      </c>
      <c r="F123" s="15">
        <f t="shared" si="16"/>
        <v>24</v>
      </c>
      <c r="G123" t="s">
        <v>649</v>
      </c>
      <c r="H123" t="s">
        <v>657</v>
      </c>
      <c r="I123" t="s">
        <v>679</v>
      </c>
      <c r="J123" t="s">
        <v>703</v>
      </c>
      <c r="K123" t="s">
        <v>711</v>
      </c>
      <c r="L123" t="s">
        <v>722</v>
      </c>
      <c r="M123" t="s">
        <v>732</v>
      </c>
      <c r="N123" t="s">
        <v>855</v>
      </c>
      <c r="O123" s="29">
        <v>1297.42</v>
      </c>
      <c r="P123" t="str">
        <f>IF(Table1[[#This Row],[UnitPrice]]&lt;=0,"Check","OK")</f>
        <v>OK</v>
      </c>
      <c r="Q123" s="29">
        <f t="shared" si="17"/>
        <v>2742.97</v>
      </c>
      <c r="R123">
        <v>2742.97</v>
      </c>
      <c r="S123" s="5">
        <f>IF(Table1[[#This Row],[Discount_Flag]]="Check", MIN(MAX(Table1[[#This Row],[DiscountPct]],0),0.3), Table1[[#This Row],[DiscountPct]])</f>
        <v>6.9000000000000006E-2</v>
      </c>
      <c r="T123" t="str">
        <f>IF(OR(Table1[[#This Row],[DiscountPct]]&lt;0,Table1[[#This Row],[DiscountPct]]&gt;0.3),"Check","OK")</f>
        <v>OK</v>
      </c>
      <c r="U123" s="11">
        <v>6.9000000000000006E-2</v>
      </c>
      <c r="V123" s="15">
        <f t="shared" si="18"/>
        <v>0</v>
      </c>
      <c r="W123" s="11">
        <f t="shared" si="19"/>
        <v>0.49194602961727291</v>
      </c>
      <c r="X123" s="17">
        <f t="shared" si="20"/>
        <v>11676.78</v>
      </c>
      <c r="Y123" s="17">
        <f t="shared" si="21"/>
        <v>11306.565629999999</v>
      </c>
      <c r="Z123" s="17">
        <f t="shared" si="22"/>
        <v>22983.34563</v>
      </c>
      <c r="AA123" s="17" t="str">
        <f t="shared" si="23"/>
        <v>Q4-2023</v>
      </c>
      <c r="AB123" s="12" t="str">
        <f t="shared" si="24"/>
        <v>Nov-2023</v>
      </c>
      <c r="AC123" s="12" t="str">
        <f t="shared" si="25"/>
        <v>High</v>
      </c>
      <c r="AD123">
        <v>9</v>
      </c>
      <c r="AE123" s="12">
        <f>_xlfn.MINIFS(Table1[MonthDate], Table1[Country], Table1[[#This Row],[Country]])</f>
        <v>44927</v>
      </c>
      <c r="AF123" s="12">
        <f t="shared" si="26"/>
        <v>45231</v>
      </c>
      <c r="AG123">
        <f>AD123*(1 + Scenario_Control!$B$4)</f>
        <v>9.9</v>
      </c>
      <c r="AH123">
        <f>O123*(1 + Scenario_Control!$B$3)</f>
        <v>1362.2910000000002</v>
      </c>
      <c r="AI123">
        <f t="shared" si="27"/>
        <v>5056.3360385999995</v>
      </c>
      <c r="AJ123">
        <f t="shared" si="28"/>
        <v>-8430.3448614000044</v>
      </c>
      <c r="AK123" s="29">
        <f>MIN(Q123*(1-U123), Scenario_Control!$B$2*Q123)</f>
        <v>548.59399999999994</v>
      </c>
      <c r="AL123" s="15">
        <f t="shared" si="29"/>
        <v>0</v>
      </c>
      <c r="AM123" s="8">
        <f>DATEDIF(Table1[[#This Row],[Country_FirstMonth]], Table1[[#This Row],[MonthDate]], "m")</f>
        <v>10</v>
      </c>
    </row>
    <row r="124" spans="1:39" x14ac:dyDescent="0.25">
      <c r="A124" t="s">
        <v>137</v>
      </c>
      <c r="B124" s="12">
        <v>45289</v>
      </c>
      <c r="C124" s="12">
        <f t="shared" si="15"/>
        <v>45311</v>
      </c>
      <c r="D124" s="2" t="str">
        <f>IF(Table1[[#This Row],[RequiredDate]]&lt;Table1[[#This Row],[OrderDate]],"Check","OK")</f>
        <v>OK</v>
      </c>
      <c r="E124" s="2">
        <v>45311</v>
      </c>
      <c r="F124" s="15">
        <f t="shared" si="16"/>
        <v>22</v>
      </c>
      <c r="G124" t="s">
        <v>646</v>
      </c>
      <c r="H124" t="s">
        <v>650</v>
      </c>
      <c r="I124" t="s">
        <v>662</v>
      </c>
      <c r="J124" t="s">
        <v>701</v>
      </c>
      <c r="K124" t="s">
        <v>711</v>
      </c>
      <c r="L124" t="s">
        <v>716</v>
      </c>
      <c r="M124" t="s">
        <v>730</v>
      </c>
      <c r="N124" t="s">
        <v>856</v>
      </c>
      <c r="O124" s="29">
        <v>1395.49</v>
      </c>
      <c r="P124" t="str">
        <f>IF(Table1[[#This Row],[UnitPrice]]&lt;=0,"Check","OK")</f>
        <v>OK</v>
      </c>
      <c r="Q124" s="29">
        <f t="shared" si="17"/>
        <v>1679.42</v>
      </c>
      <c r="R124">
        <v>1679.42</v>
      </c>
      <c r="S124" s="5">
        <f>IF(Table1[[#This Row],[Discount_Flag]]="Check", MIN(MAX(Table1[[#This Row],[DiscountPct]],0),0.3), Table1[[#This Row],[DiscountPct]])</f>
        <v>0.20300000000000001</v>
      </c>
      <c r="T124" t="str">
        <f>IF(OR(Table1[[#This Row],[DiscountPct]]&lt;0,Table1[[#This Row],[DiscountPct]]&gt;0.3),"Check","OK")</f>
        <v>OK</v>
      </c>
      <c r="U124" s="11">
        <v>0.20300000000000001</v>
      </c>
      <c r="V124" s="15">
        <f t="shared" si="18"/>
        <v>1</v>
      </c>
      <c r="W124" s="11">
        <f t="shared" si="19"/>
        <v>-4.2579272490964493E-2</v>
      </c>
      <c r="X124" s="17">
        <f t="shared" si="20"/>
        <v>16745.88</v>
      </c>
      <c r="Y124" s="17">
        <f t="shared" si="21"/>
        <v>-683.90712000000167</v>
      </c>
      <c r="Z124" s="17">
        <f t="shared" si="22"/>
        <v>16061.972879999999</v>
      </c>
      <c r="AA124" s="17" t="str">
        <f t="shared" si="23"/>
        <v>Q4-2023</v>
      </c>
      <c r="AB124" s="12" t="str">
        <f t="shared" si="24"/>
        <v>Dec-2023</v>
      </c>
      <c r="AC124" s="12" t="str">
        <f t="shared" si="25"/>
        <v>Medium</v>
      </c>
      <c r="AD124">
        <v>12</v>
      </c>
      <c r="AE124" s="12">
        <f>_xlfn.MINIFS(Table1[MonthDate], Table1[Country], Table1[[#This Row],[Country]])</f>
        <v>44927</v>
      </c>
      <c r="AF124" s="12">
        <f t="shared" si="26"/>
        <v>45261</v>
      </c>
      <c r="AG124">
        <f>AD124*(1 + Scenario_Control!$B$4)</f>
        <v>13.200000000000001</v>
      </c>
      <c r="AH124">
        <f>O124*(1 + Scenario_Control!$B$3)</f>
        <v>1465.2645</v>
      </c>
      <c r="AI124">
        <f t="shared" si="27"/>
        <v>3533.6340335999998</v>
      </c>
      <c r="AJ124">
        <f t="shared" si="28"/>
        <v>-15807.857366400003</v>
      </c>
      <c r="AK124" s="29">
        <f>MIN(Q124*(1-U124), Scenario_Control!$B$2*Q124)</f>
        <v>335.88400000000001</v>
      </c>
      <c r="AL124" s="15">
        <f t="shared" si="29"/>
        <v>0</v>
      </c>
      <c r="AM124" s="8">
        <f>DATEDIF(Table1[[#This Row],[Country_FirstMonth]], Table1[[#This Row],[MonthDate]], "m")</f>
        <v>11</v>
      </c>
    </row>
    <row r="125" spans="1:39" x14ac:dyDescent="0.25">
      <c r="A125" t="s">
        <v>138</v>
      </c>
      <c r="B125" s="12">
        <v>45598</v>
      </c>
      <c r="C125" s="12">
        <f t="shared" si="15"/>
        <v>45625</v>
      </c>
      <c r="D125" s="2" t="str">
        <f>IF(Table1[[#This Row],[RequiredDate]]&lt;Table1[[#This Row],[OrderDate]],"Check","OK")</f>
        <v>OK</v>
      </c>
      <c r="E125" s="2">
        <v>45625</v>
      </c>
      <c r="F125" s="15">
        <f t="shared" si="16"/>
        <v>27</v>
      </c>
      <c r="G125" t="s">
        <v>648</v>
      </c>
      <c r="H125" t="s">
        <v>655</v>
      </c>
      <c r="I125" t="s">
        <v>672</v>
      </c>
      <c r="J125" t="s">
        <v>705</v>
      </c>
      <c r="K125" t="s">
        <v>711</v>
      </c>
      <c r="L125" t="s">
        <v>714</v>
      </c>
      <c r="M125" t="s">
        <v>729</v>
      </c>
      <c r="N125" t="s">
        <v>857</v>
      </c>
      <c r="O125" s="29">
        <v>1363.51</v>
      </c>
      <c r="P125" t="str">
        <f>IF(Table1[[#This Row],[UnitPrice]]&lt;=0,"Check","OK")</f>
        <v>OK</v>
      </c>
      <c r="Q125" s="29">
        <f t="shared" si="17"/>
        <v>1433.9</v>
      </c>
      <c r="R125">
        <v>1433.9</v>
      </c>
      <c r="S125" s="5">
        <f>IF(Table1[[#This Row],[Discount_Flag]]="Check", MIN(MAX(Table1[[#This Row],[DiscountPct]],0),0.3), Table1[[#This Row],[DiscountPct]])</f>
        <v>5.7000000000000002E-2</v>
      </c>
      <c r="T125" t="str">
        <f>IF(OR(Table1[[#This Row],[DiscountPct]]&lt;0,Table1[[#This Row],[DiscountPct]]&gt;0.3),"Check","OK")</f>
        <v>OK</v>
      </c>
      <c r="U125" s="11">
        <v>5.7000000000000002E-2</v>
      </c>
      <c r="V125" s="15">
        <f t="shared" si="18"/>
        <v>0</v>
      </c>
      <c r="W125" s="11">
        <f t="shared" si="19"/>
        <v>-8.3882346842037592E-3</v>
      </c>
      <c r="X125" s="17">
        <f t="shared" si="20"/>
        <v>10908.08</v>
      </c>
      <c r="Y125" s="17">
        <f t="shared" si="21"/>
        <v>-90.738400000000183</v>
      </c>
      <c r="Z125" s="17">
        <f t="shared" si="22"/>
        <v>10817.3416</v>
      </c>
      <c r="AA125" s="17" t="str">
        <f t="shared" si="23"/>
        <v>Q4-2024</v>
      </c>
      <c r="AB125" s="12" t="str">
        <f t="shared" si="24"/>
        <v>Nov-2024</v>
      </c>
      <c r="AC125" s="12" t="str">
        <f t="shared" si="25"/>
        <v>Medium</v>
      </c>
      <c r="AD125">
        <v>8</v>
      </c>
      <c r="AE125" s="12">
        <f>_xlfn.MINIFS(Table1[MonthDate], Table1[Country], Table1[[#This Row],[Country]])</f>
        <v>44927</v>
      </c>
      <c r="AF125" s="12">
        <f t="shared" si="26"/>
        <v>45597</v>
      </c>
      <c r="AG125">
        <f>AD125*(1 + Scenario_Control!$B$4)</f>
        <v>8.8000000000000007</v>
      </c>
      <c r="AH125">
        <f>O125*(1 + Scenario_Control!$B$3)</f>
        <v>1431.6855</v>
      </c>
      <c r="AI125">
        <f t="shared" si="27"/>
        <v>2379.8151520000006</v>
      </c>
      <c r="AJ125">
        <f t="shared" si="28"/>
        <v>-10219.017248</v>
      </c>
      <c r="AK125" s="29">
        <f>MIN(Q125*(1-U125), Scenario_Control!$B$2*Q125)</f>
        <v>286.78000000000003</v>
      </c>
      <c r="AL125" s="15">
        <f t="shared" si="29"/>
        <v>0</v>
      </c>
      <c r="AM125" s="8">
        <f>DATEDIF(Table1[[#This Row],[Country_FirstMonth]], Table1[[#This Row],[MonthDate]], "m")</f>
        <v>22</v>
      </c>
    </row>
    <row r="126" spans="1:39" x14ac:dyDescent="0.25">
      <c r="A126" t="s">
        <v>139</v>
      </c>
      <c r="B126" s="12">
        <v>45159</v>
      </c>
      <c r="C126" s="12">
        <f t="shared" si="15"/>
        <v>45173</v>
      </c>
      <c r="D126" s="2" t="str">
        <f>IF(Table1[[#This Row],[RequiredDate]]&lt;Table1[[#This Row],[OrderDate]],"Check","OK")</f>
        <v>OK</v>
      </c>
      <c r="E126" s="2">
        <v>45173</v>
      </c>
      <c r="F126" s="15">
        <f t="shared" si="16"/>
        <v>14</v>
      </c>
      <c r="G126" t="s">
        <v>648</v>
      </c>
      <c r="H126" t="s">
        <v>653</v>
      </c>
      <c r="I126" t="s">
        <v>681</v>
      </c>
      <c r="J126" t="s">
        <v>702</v>
      </c>
      <c r="K126" t="s">
        <v>710</v>
      </c>
      <c r="L126" t="s">
        <v>721</v>
      </c>
      <c r="M126" t="s">
        <v>727</v>
      </c>
      <c r="N126" t="s">
        <v>858</v>
      </c>
      <c r="O126" s="29">
        <v>178.19</v>
      </c>
      <c r="P126" t="str">
        <f>IF(Table1[[#This Row],[UnitPrice]]&lt;=0,"Check","OK")</f>
        <v>OK</v>
      </c>
      <c r="Q126" s="29">
        <f t="shared" si="17"/>
        <v>284.43</v>
      </c>
      <c r="R126">
        <v>284.43</v>
      </c>
      <c r="S126" s="5">
        <f>IF(Table1[[#This Row],[Discount_Flag]]="Check", MIN(MAX(Table1[[#This Row],[DiscountPct]],0),0.3), Table1[[#This Row],[DiscountPct]])</f>
        <v>8.8999999999999996E-2</v>
      </c>
      <c r="T126" t="str">
        <f>IF(OR(Table1[[#This Row],[DiscountPct]]&lt;0,Table1[[#This Row],[DiscountPct]]&gt;0.3),"Check","OK")</f>
        <v>OK</v>
      </c>
      <c r="U126" s="11">
        <v>8.8999999999999996E-2</v>
      </c>
      <c r="V126" s="15">
        <f t="shared" si="18"/>
        <v>0</v>
      </c>
      <c r="W126" s="11">
        <f t="shared" si="19"/>
        <v>0.31231500302972742</v>
      </c>
      <c r="X126" s="17">
        <f t="shared" si="20"/>
        <v>1425.52</v>
      </c>
      <c r="Y126" s="17">
        <f t="shared" si="21"/>
        <v>647.40584000000035</v>
      </c>
      <c r="Z126" s="17">
        <f t="shared" si="22"/>
        <v>2072.9258400000003</v>
      </c>
      <c r="AA126" s="17" t="str">
        <f t="shared" si="23"/>
        <v>Q3-2023</v>
      </c>
      <c r="AB126" s="12" t="str">
        <f t="shared" si="24"/>
        <v>Aug-2023</v>
      </c>
      <c r="AC126" s="12" t="str">
        <f t="shared" si="25"/>
        <v>Low</v>
      </c>
      <c r="AD126">
        <v>8</v>
      </c>
      <c r="AE126" s="12">
        <f>_xlfn.MINIFS(Table1[MonthDate], Table1[Country], Table1[[#This Row],[Country]])</f>
        <v>44927</v>
      </c>
      <c r="AF126" s="12">
        <f t="shared" si="26"/>
        <v>45139</v>
      </c>
      <c r="AG126">
        <f>AD126*(1 + Scenario_Control!$B$4)</f>
        <v>8.8000000000000007</v>
      </c>
      <c r="AH126">
        <f>O126*(1 + Scenario_Control!$B$3)</f>
        <v>187.09950000000001</v>
      </c>
      <c r="AI126">
        <f t="shared" si="27"/>
        <v>456.04368480000011</v>
      </c>
      <c r="AJ126">
        <f t="shared" si="28"/>
        <v>-1190.4319152</v>
      </c>
      <c r="AK126" s="29">
        <f>MIN(Q126*(1-U126), Scenario_Control!$B$2*Q126)</f>
        <v>56.886000000000003</v>
      </c>
      <c r="AL126" s="15">
        <f t="shared" si="29"/>
        <v>0</v>
      </c>
      <c r="AM126" s="8">
        <f>DATEDIF(Table1[[#This Row],[Country_FirstMonth]], Table1[[#This Row],[MonthDate]], "m")</f>
        <v>7</v>
      </c>
    </row>
    <row r="127" spans="1:39" x14ac:dyDescent="0.25">
      <c r="A127" t="s">
        <v>140</v>
      </c>
      <c r="B127" s="12">
        <v>45150</v>
      </c>
      <c r="C127" s="12">
        <f t="shared" si="15"/>
        <v>45175</v>
      </c>
      <c r="D127" s="2" t="str">
        <f>IF(Table1[[#This Row],[RequiredDate]]&lt;Table1[[#This Row],[OrderDate]],"Check","OK")</f>
        <v>OK</v>
      </c>
      <c r="E127" s="2">
        <v>45175</v>
      </c>
      <c r="F127" s="15">
        <f t="shared" si="16"/>
        <v>25</v>
      </c>
      <c r="G127" t="s">
        <v>647</v>
      </c>
      <c r="H127" t="s">
        <v>659</v>
      </c>
      <c r="I127" t="s">
        <v>685</v>
      </c>
      <c r="J127" t="s">
        <v>705</v>
      </c>
      <c r="K127" t="s">
        <v>707</v>
      </c>
      <c r="L127" t="s">
        <v>717</v>
      </c>
      <c r="M127" t="s">
        <v>727</v>
      </c>
      <c r="N127" t="s">
        <v>859</v>
      </c>
      <c r="O127" s="29">
        <v>950.77</v>
      </c>
      <c r="P127" t="str">
        <f>IF(Table1[[#This Row],[UnitPrice]]&lt;=0,"Check","OK")</f>
        <v>OK</v>
      </c>
      <c r="Q127" s="29">
        <f t="shared" si="17"/>
        <v>694.78</v>
      </c>
      <c r="R127">
        <v>694.78</v>
      </c>
      <c r="S127" s="5">
        <f>IF(Table1[[#This Row],[Discount_Flag]]="Check", MIN(MAX(Table1[[#This Row],[DiscountPct]],0),0.3), Table1[[#This Row],[DiscountPct]])</f>
        <v>8.4000000000000005E-2</v>
      </c>
      <c r="T127" t="str">
        <f>IF(OR(Table1[[#This Row],[DiscountPct]]&lt;0,Table1[[#This Row],[DiscountPct]]&gt;0.3),"Check","OK")</f>
        <v>OK</v>
      </c>
      <c r="U127" s="11">
        <v>8.4000000000000005E-2</v>
      </c>
      <c r="V127" s="15">
        <f t="shared" si="18"/>
        <v>0</v>
      </c>
      <c r="W127" s="11">
        <f t="shared" si="19"/>
        <v>-0.49393839097821279</v>
      </c>
      <c r="X127" s="17">
        <f t="shared" si="20"/>
        <v>13310.779999999999</v>
      </c>
      <c r="Y127" s="17">
        <f t="shared" si="21"/>
        <v>-4400.9212799999987</v>
      </c>
      <c r="Z127" s="17">
        <f t="shared" si="22"/>
        <v>8909.8587200000002</v>
      </c>
      <c r="AA127" s="17" t="str">
        <f t="shared" si="23"/>
        <v>Q3-2023</v>
      </c>
      <c r="AB127" s="12" t="str">
        <f t="shared" si="24"/>
        <v>Aug-2023</v>
      </c>
      <c r="AC127" s="12" t="str">
        <f t="shared" si="25"/>
        <v>Medium</v>
      </c>
      <c r="AD127">
        <v>14</v>
      </c>
      <c r="AE127" s="12">
        <f>_xlfn.MINIFS(Table1[MonthDate], Table1[Country], Table1[[#This Row],[Country]])</f>
        <v>44927</v>
      </c>
      <c r="AF127" s="12">
        <f t="shared" si="26"/>
        <v>45139</v>
      </c>
      <c r="AG127">
        <f>AD127*(1 + Scenario_Control!$B$4)</f>
        <v>15.400000000000002</v>
      </c>
      <c r="AH127">
        <f>O127*(1 + Scenario_Control!$B$3)</f>
        <v>998.30849999999998</v>
      </c>
      <c r="AI127">
        <f t="shared" si="27"/>
        <v>1960.1689183999999</v>
      </c>
      <c r="AJ127">
        <f t="shared" si="28"/>
        <v>-13413.781981600001</v>
      </c>
      <c r="AK127" s="29">
        <f>MIN(Q127*(1-U127), Scenario_Control!$B$2*Q127)</f>
        <v>138.95599999999999</v>
      </c>
      <c r="AL127" s="15">
        <f t="shared" si="29"/>
        <v>0</v>
      </c>
      <c r="AM127" s="8">
        <f>DATEDIF(Table1[[#This Row],[Country_FirstMonth]], Table1[[#This Row],[MonthDate]], "m")</f>
        <v>7</v>
      </c>
    </row>
    <row r="128" spans="1:39" x14ac:dyDescent="0.25">
      <c r="A128" t="s">
        <v>141</v>
      </c>
      <c r="B128" s="12">
        <v>45450</v>
      </c>
      <c r="C128" s="12">
        <f t="shared" si="15"/>
        <v>45469</v>
      </c>
      <c r="D128" s="2" t="str">
        <f>IF(Table1[[#This Row],[RequiredDate]]&lt;Table1[[#This Row],[OrderDate]],"Check","OK")</f>
        <v>OK</v>
      </c>
      <c r="E128" s="2">
        <v>45469</v>
      </c>
      <c r="F128" s="15">
        <f t="shared" si="16"/>
        <v>19</v>
      </c>
      <c r="G128" t="s">
        <v>649</v>
      </c>
      <c r="H128" t="s">
        <v>656</v>
      </c>
      <c r="I128" t="s">
        <v>671</v>
      </c>
      <c r="J128" t="s">
        <v>703</v>
      </c>
      <c r="K128" t="s">
        <v>709</v>
      </c>
      <c r="L128" t="s">
        <v>724</v>
      </c>
      <c r="M128" t="s">
        <v>727</v>
      </c>
      <c r="N128" t="s">
        <v>860</v>
      </c>
      <c r="O128" s="29">
        <v>1064.32</v>
      </c>
      <c r="P128" t="str">
        <f>IF(Table1[[#This Row],[UnitPrice]]&lt;=0,"Check","OK")</f>
        <v>OK</v>
      </c>
      <c r="Q128" s="29">
        <f t="shared" si="17"/>
        <v>1848.39</v>
      </c>
      <c r="R128">
        <v>1848.39</v>
      </c>
      <c r="S128" s="5">
        <f>IF(Table1[[#This Row],[Discount_Flag]]="Check", MIN(MAX(Table1[[#This Row],[DiscountPct]],0),0.3), Table1[[#This Row],[DiscountPct]])</f>
        <v>7.2999999999999995E-2</v>
      </c>
      <c r="T128" t="str">
        <f>IF(OR(Table1[[#This Row],[DiscountPct]]&lt;0,Table1[[#This Row],[DiscountPct]]&gt;0.3),"Check","OK")</f>
        <v>OK</v>
      </c>
      <c r="U128" s="11">
        <v>7.2999999999999995E-2</v>
      </c>
      <c r="V128" s="15">
        <f t="shared" si="18"/>
        <v>0</v>
      </c>
      <c r="W128" s="11">
        <f t="shared" si="19"/>
        <v>0.3788465827921631</v>
      </c>
      <c r="X128" s="17">
        <f t="shared" si="20"/>
        <v>40444.159999999996</v>
      </c>
      <c r="Y128" s="17">
        <f t="shared" si="21"/>
        <v>24667.226140000013</v>
      </c>
      <c r="Z128" s="17">
        <f t="shared" si="22"/>
        <v>65111.38614000001</v>
      </c>
      <c r="AA128" s="17" t="str">
        <f t="shared" si="23"/>
        <v>Q2-2024</v>
      </c>
      <c r="AB128" s="12" t="str">
        <f t="shared" si="24"/>
        <v>Jun-2024</v>
      </c>
      <c r="AC128" s="12" t="str">
        <f t="shared" si="25"/>
        <v>Medium</v>
      </c>
      <c r="AD128">
        <v>38</v>
      </c>
      <c r="AE128" s="12">
        <f>_xlfn.MINIFS(Table1[MonthDate], Table1[Country], Table1[[#This Row],[Country]])</f>
        <v>44927</v>
      </c>
      <c r="AF128" s="12">
        <f t="shared" si="26"/>
        <v>45444</v>
      </c>
      <c r="AG128">
        <f>AD128*(1 + Scenario_Control!$B$4)</f>
        <v>41.800000000000004</v>
      </c>
      <c r="AH128">
        <f>O128*(1 + Scenario_Control!$B$3)</f>
        <v>1117.5360000000001</v>
      </c>
      <c r="AI128">
        <f t="shared" si="27"/>
        <v>14324.504950800005</v>
      </c>
      <c r="AJ128">
        <f t="shared" si="28"/>
        <v>-32388.499849200005</v>
      </c>
      <c r="AK128" s="29">
        <f>MIN(Q128*(1-U128), Scenario_Control!$B$2*Q128)</f>
        <v>369.67800000000005</v>
      </c>
      <c r="AL128" s="15">
        <f t="shared" si="29"/>
        <v>0</v>
      </c>
      <c r="AM128" s="8">
        <f>DATEDIF(Table1[[#This Row],[Country_FirstMonth]], Table1[[#This Row],[MonthDate]], "m")</f>
        <v>17</v>
      </c>
    </row>
    <row r="129" spans="1:39" x14ac:dyDescent="0.25">
      <c r="A129" t="s">
        <v>142</v>
      </c>
      <c r="B129" s="12">
        <v>45874</v>
      </c>
      <c r="C129" s="12">
        <f t="shared" si="15"/>
        <v>45883</v>
      </c>
      <c r="D129" s="2" t="str">
        <f>IF(Table1[[#This Row],[RequiredDate]]&lt;Table1[[#This Row],[OrderDate]],"Check","OK")</f>
        <v>OK</v>
      </c>
      <c r="E129" s="2">
        <v>45883</v>
      </c>
      <c r="F129" s="15">
        <f t="shared" si="16"/>
        <v>9</v>
      </c>
      <c r="G129" t="s">
        <v>649</v>
      </c>
      <c r="H129" t="s">
        <v>658</v>
      </c>
      <c r="I129" t="s">
        <v>683</v>
      </c>
      <c r="J129" t="s">
        <v>703</v>
      </c>
      <c r="K129" t="s">
        <v>711</v>
      </c>
      <c r="L129" t="s">
        <v>718</v>
      </c>
      <c r="M129" t="s">
        <v>727</v>
      </c>
      <c r="N129" t="s">
        <v>861</v>
      </c>
      <c r="O129" s="29">
        <v>41.76</v>
      </c>
      <c r="P129" t="str">
        <f>IF(Table1[[#This Row],[UnitPrice]]&lt;=0,"Check","OK")</f>
        <v>OK</v>
      </c>
      <c r="Q129" s="29">
        <f t="shared" si="17"/>
        <v>45.19</v>
      </c>
      <c r="R129">
        <v>45.19</v>
      </c>
      <c r="S129" s="5">
        <f>IF(Table1[[#This Row],[Discount_Flag]]="Check", MIN(MAX(Table1[[#This Row],[DiscountPct]],0),0.3), Table1[[#This Row],[DiscountPct]])</f>
        <v>0.17899999999999999</v>
      </c>
      <c r="T129" t="str">
        <f>IF(OR(Table1[[#This Row],[DiscountPct]]&lt;0,Table1[[#This Row],[DiscountPct]]&gt;0.3),"Check","OK")</f>
        <v>OK</v>
      </c>
      <c r="U129" s="11">
        <v>0.17899999999999999</v>
      </c>
      <c r="V129" s="15">
        <f t="shared" si="18"/>
        <v>0</v>
      </c>
      <c r="W129" s="11">
        <f t="shared" si="19"/>
        <v>-0.12557643340514638</v>
      </c>
      <c r="X129" s="17">
        <f t="shared" si="20"/>
        <v>960.4799999999999</v>
      </c>
      <c r="Y129" s="17">
        <f t="shared" si="21"/>
        <v>-107.15723000000003</v>
      </c>
      <c r="Z129" s="17">
        <f t="shared" si="22"/>
        <v>853.32276999999988</v>
      </c>
      <c r="AA129" s="17" t="str">
        <f t="shared" si="23"/>
        <v>Q3-2025</v>
      </c>
      <c r="AB129" s="12" t="str">
        <f t="shared" si="24"/>
        <v>Aug-2025</v>
      </c>
      <c r="AC129" s="12" t="str">
        <f t="shared" si="25"/>
        <v>Low</v>
      </c>
      <c r="AD129">
        <v>23</v>
      </c>
      <c r="AE129" s="12">
        <f>_xlfn.MINIFS(Table1[MonthDate], Table1[Country], Table1[[#This Row],[Country]])</f>
        <v>44927</v>
      </c>
      <c r="AF129" s="12">
        <f t="shared" si="26"/>
        <v>45870</v>
      </c>
      <c r="AG129">
        <f>AD129*(1 + Scenario_Control!$B$4)</f>
        <v>25.3</v>
      </c>
      <c r="AH129">
        <f>O129*(1 + Scenario_Control!$B$3)</f>
        <v>43.847999999999999</v>
      </c>
      <c r="AI129">
        <f t="shared" si="27"/>
        <v>187.7310094</v>
      </c>
      <c r="AJ129">
        <f t="shared" si="28"/>
        <v>-921.62339059999999</v>
      </c>
      <c r="AK129" s="29">
        <f>MIN(Q129*(1-U129), Scenario_Control!$B$2*Q129)</f>
        <v>9.0380000000000003</v>
      </c>
      <c r="AL129" s="15">
        <f t="shared" si="29"/>
        <v>0</v>
      </c>
      <c r="AM129" s="8">
        <f>DATEDIF(Table1[[#This Row],[Country_FirstMonth]], Table1[[#This Row],[MonthDate]], "m")</f>
        <v>31</v>
      </c>
    </row>
    <row r="130" spans="1:39" x14ac:dyDescent="0.25">
      <c r="A130" t="s">
        <v>143</v>
      </c>
      <c r="B130" s="12">
        <v>45442</v>
      </c>
      <c r="C130" s="12">
        <f t="shared" ref="C130:C193" si="30">IF(D130="Check",B130+7,E130)</f>
        <v>45456</v>
      </c>
      <c r="D130" s="2" t="str">
        <f>IF(Table1[[#This Row],[RequiredDate]]&lt;Table1[[#This Row],[OrderDate]],"Check","OK")</f>
        <v>OK</v>
      </c>
      <c r="E130" s="2">
        <v>45456</v>
      </c>
      <c r="F130" s="15">
        <f t="shared" ref="F130:F193" si="31">C130-B130</f>
        <v>14</v>
      </c>
      <c r="G130" t="s">
        <v>648</v>
      </c>
      <c r="H130" t="s">
        <v>660</v>
      </c>
      <c r="I130" t="s">
        <v>686</v>
      </c>
      <c r="J130" t="s">
        <v>705</v>
      </c>
      <c r="K130" t="s">
        <v>707</v>
      </c>
      <c r="L130" t="s">
        <v>721</v>
      </c>
      <c r="M130" t="s">
        <v>730</v>
      </c>
      <c r="N130" t="s">
        <v>862</v>
      </c>
      <c r="O130" s="29">
        <v>157.78</v>
      </c>
      <c r="P130" t="str">
        <f>IF(Table1[[#This Row],[UnitPrice]]&lt;=0,"Check","OK")</f>
        <v>OK</v>
      </c>
      <c r="Q130" s="29">
        <f t="shared" ref="Q130:Q193" si="32">IF(R130&lt;0,0,R130)</f>
        <v>361.1</v>
      </c>
      <c r="R130">
        <v>361.1</v>
      </c>
      <c r="S130" s="5">
        <f>IF(Table1[[#This Row],[Discount_Flag]]="Check", MIN(MAX(Table1[[#This Row],[DiscountPct]],0),0.3), Table1[[#This Row],[DiscountPct]])</f>
        <v>0.187</v>
      </c>
      <c r="T130" t="str">
        <f>IF(OR(Table1[[#This Row],[DiscountPct]]&lt;0,Table1[[#This Row],[DiscountPct]]&gt;0.3),"Check","OK")</f>
        <v>OK</v>
      </c>
      <c r="U130" s="11">
        <v>0.187</v>
      </c>
      <c r="V130" s="15">
        <f t="shared" ref="V130:V193" si="33">IF(U130&gt;0.2,1,0)</f>
        <v>0</v>
      </c>
      <c r="W130" s="11">
        <f t="shared" ref="W130:W193" si="34">IF(Z130=0, 0, Y130/Z130)</f>
        <v>0.46255513510549112</v>
      </c>
      <c r="X130" s="17">
        <f t="shared" ref="X130:X193" si="35">O130*AD130</f>
        <v>1420.02</v>
      </c>
      <c r="Y130" s="17">
        <f t="shared" ref="Y130:Y193" si="36">Z130-X130</f>
        <v>1222.1486999999997</v>
      </c>
      <c r="Z130" s="17">
        <f t="shared" ref="Z130:Z193" si="37">Q130*AD130*(1-S130)</f>
        <v>2642.1686999999997</v>
      </c>
      <c r="AA130" s="17" t="str">
        <f t="shared" ref="AA130:AA193" si="38">"Q"&amp;ROUNDUP(MONTH(B130)/3,0)&amp;"-"&amp;YEAR(B130)</f>
        <v>Q2-2024</v>
      </c>
      <c r="AB130" s="12" t="str">
        <f t="shared" ref="AB130:AB193" si="39">TEXT(B130,"MMM-YYYY")</f>
        <v>May-2024</v>
      </c>
      <c r="AC130" s="12" t="str">
        <f t="shared" ref="AC130:AC193" si="40">IF(Q130&lt;=$AE$639,"Low",IF(Q130&lt;=$AE$641,"Medium","High"))</f>
        <v>Low</v>
      </c>
      <c r="AD130">
        <v>9</v>
      </c>
      <c r="AE130" s="12">
        <f>_xlfn.MINIFS(Table1[MonthDate], Table1[Country], Table1[[#This Row],[Country]])</f>
        <v>44927</v>
      </c>
      <c r="AF130" s="12">
        <f t="shared" ref="AF130:AF193" si="41">DATE(YEAR(B130), MONTH(B130), 1)</f>
        <v>45413</v>
      </c>
      <c r="AG130">
        <f>AD130*(1 + Scenario_Control!$B$4)</f>
        <v>9.9</v>
      </c>
      <c r="AH130">
        <f>O130*(1 + Scenario_Control!$B$3)</f>
        <v>165.66900000000001</v>
      </c>
      <c r="AI130">
        <f t="shared" ref="AI130:AI193" si="42">AK130 * AG130 * (1 - U130)</f>
        <v>581.2771140000001</v>
      </c>
      <c r="AJ130">
        <f t="shared" ref="AJ130:AJ193" si="43">AI130 - (AH130 * AG130)</f>
        <v>-1058.8459860000003</v>
      </c>
      <c r="AK130" s="29">
        <f>MIN(Q130*(1-U130), Scenario_Control!$B$2*Q130)</f>
        <v>72.220000000000013</v>
      </c>
      <c r="AL130" s="15">
        <f t="shared" ref="AL130:AL193" si="44">IF(F130&lt;=7,1,0)</f>
        <v>0</v>
      </c>
      <c r="AM130" s="8">
        <f>DATEDIF(Table1[[#This Row],[Country_FirstMonth]], Table1[[#This Row],[MonthDate]], "m")</f>
        <v>16</v>
      </c>
    </row>
    <row r="131" spans="1:39" x14ac:dyDescent="0.25">
      <c r="A131" t="s">
        <v>144</v>
      </c>
      <c r="B131" s="12">
        <v>44948</v>
      </c>
      <c r="C131" s="12">
        <f t="shared" si="30"/>
        <v>44956</v>
      </c>
      <c r="D131" s="2" t="str">
        <f>IF(Table1[[#This Row],[RequiredDate]]&lt;Table1[[#This Row],[OrderDate]],"Check","OK")</f>
        <v>OK</v>
      </c>
      <c r="E131" s="2">
        <v>44956</v>
      </c>
      <c r="F131" s="15">
        <f t="shared" si="31"/>
        <v>8</v>
      </c>
      <c r="G131" t="s">
        <v>648</v>
      </c>
      <c r="H131" t="s">
        <v>660</v>
      </c>
      <c r="I131" t="s">
        <v>686</v>
      </c>
      <c r="J131" t="s">
        <v>705</v>
      </c>
      <c r="K131" t="s">
        <v>708</v>
      </c>
      <c r="L131" t="s">
        <v>720</v>
      </c>
      <c r="M131" t="s">
        <v>729</v>
      </c>
      <c r="N131" t="s">
        <v>863</v>
      </c>
      <c r="O131" s="29">
        <v>413.52</v>
      </c>
      <c r="P131" t="str">
        <f>IF(Table1[[#This Row],[UnitPrice]]&lt;=0,"Check","OK")</f>
        <v>OK</v>
      </c>
      <c r="Q131" s="29">
        <f t="shared" si="32"/>
        <v>1004.34</v>
      </c>
      <c r="R131">
        <v>1004.34</v>
      </c>
      <c r="S131" s="5">
        <f>IF(Table1[[#This Row],[Discount_Flag]]="Check", MIN(MAX(Table1[[#This Row],[DiscountPct]],0),0.3), Table1[[#This Row],[DiscountPct]])</f>
        <v>0.111</v>
      </c>
      <c r="T131" t="str">
        <f>IF(OR(Table1[[#This Row],[DiscountPct]]&lt;0,Table1[[#This Row],[DiscountPct]]&gt;0.3),"Check","OK")</f>
        <v>OK</v>
      </c>
      <c r="U131" s="11">
        <v>0.111</v>
      </c>
      <c r="V131" s="15">
        <f t="shared" si="33"/>
        <v>0</v>
      </c>
      <c r="W131" s="11">
        <f t="shared" si="34"/>
        <v>0.53685817948304593</v>
      </c>
      <c r="X131" s="17">
        <f t="shared" si="35"/>
        <v>7443.36</v>
      </c>
      <c r="Y131" s="17">
        <f t="shared" si="36"/>
        <v>8628.0886800000007</v>
      </c>
      <c r="Z131" s="17">
        <f t="shared" si="37"/>
        <v>16071.44868</v>
      </c>
      <c r="AA131" s="17" t="str">
        <f t="shared" si="38"/>
        <v>Q1-2023</v>
      </c>
      <c r="AB131" s="12" t="str">
        <f t="shared" si="39"/>
        <v>Jan-2023</v>
      </c>
      <c r="AC131" s="12" t="str">
        <f t="shared" si="40"/>
        <v>Medium</v>
      </c>
      <c r="AD131">
        <v>18</v>
      </c>
      <c r="AE131" s="12">
        <f>_xlfn.MINIFS(Table1[MonthDate], Table1[Country], Table1[[#This Row],[Country]])</f>
        <v>44927</v>
      </c>
      <c r="AF131" s="12">
        <f t="shared" si="41"/>
        <v>44927</v>
      </c>
      <c r="AG131">
        <f>AD131*(1 + Scenario_Control!$B$4)</f>
        <v>19.8</v>
      </c>
      <c r="AH131">
        <f>O131*(1 + Scenario_Control!$B$3)</f>
        <v>434.19600000000003</v>
      </c>
      <c r="AI131">
        <f t="shared" si="42"/>
        <v>3535.7187096000007</v>
      </c>
      <c r="AJ131">
        <f t="shared" si="43"/>
        <v>-5061.3620904000009</v>
      </c>
      <c r="AK131" s="29">
        <f>MIN(Q131*(1-U131), Scenario_Control!$B$2*Q131)</f>
        <v>200.86800000000002</v>
      </c>
      <c r="AL131" s="15">
        <f t="shared" si="44"/>
        <v>0</v>
      </c>
      <c r="AM131" s="8">
        <f>DATEDIF(Table1[[#This Row],[Country_FirstMonth]], Table1[[#This Row],[MonthDate]], "m")</f>
        <v>0</v>
      </c>
    </row>
    <row r="132" spans="1:39" x14ac:dyDescent="0.25">
      <c r="A132" t="s">
        <v>145</v>
      </c>
      <c r="B132" s="12">
        <v>45700</v>
      </c>
      <c r="C132" s="12">
        <f t="shared" si="30"/>
        <v>45716</v>
      </c>
      <c r="D132" s="2" t="str">
        <f>IF(Table1[[#This Row],[RequiredDate]]&lt;Table1[[#This Row],[OrderDate]],"Check","OK")</f>
        <v>OK</v>
      </c>
      <c r="E132" s="2">
        <v>45716</v>
      </c>
      <c r="F132" s="15">
        <f t="shared" si="31"/>
        <v>16</v>
      </c>
      <c r="G132" t="s">
        <v>648</v>
      </c>
      <c r="H132" t="s">
        <v>655</v>
      </c>
      <c r="I132" t="s">
        <v>670</v>
      </c>
      <c r="J132" t="s">
        <v>703</v>
      </c>
      <c r="K132" t="s">
        <v>711</v>
      </c>
      <c r="L132" t="s">
        <v>717</v>
      </c>
      <c r="M132" t="s">
        <v>732</v>
      </c>
      <c r="N132" t="s">
        <v>864</v>
      </c>
      <c r="O132" s="29">
        <v>414.95</v>
      </c>
      <c r="P132" t="str">
        <f>IF(Table1[[#This Row],[UnitPrice]]&lt;=0,"Check","OK")</f>
        <v>OK</v>
      </c>
      <c r="Q132" s="29">
        <f t="shared" si="32"/>
        <v>1027.73</v>
      </c>
      <c r="R132">
        <v>1027.73</v>
      </c>
      <c r="S132" s="5">
        <f>IF(Table1[[#This Row],[Discount_Flag]]="Check", MIN(MAX(Table1[[#This Row],[DiscountPct]],0),0.3), Table1[[#This Row],[DiscountPct]])</f>
        <v>6.3E-2</v>
      </c>
      <c r="T132" t="str">
        <f>IF(OR(Table1[[#This Row],[DiscountPct]]&lt;0,Table1[[#This Row],[DiscountPct]]&gt;0.3),"Check","OK")</f>
        <v>OK</v>
      </c>
      <c r="U132" s="11">
        <v>6.3E-2</v>
      </c>
      <c r="V132" s="15">
        <f t="shared" si="33"/>
        <v>0</v>
      </c>
      <c r="W132" s="11">
        <f t="shared" si="34"/>
        <v>0.56909935513815568</v>
      </c>
      <c r="X132" s="17">
        <f t="shared" si="35"/>
        <v>3319.6</v>
      </c>
      <c r="Y132" s="17">
        <f t="shared" si="36"/>
        <v>4384.2640800000008</v>
      </c>
      <c r="Z132" s="17">
        <f t="shared" si="37"/>
        <v>7703.8640800000003</v>
      </c>
      <c r="AA132" s="17" t="str">
        <f t="shared" si="38"/>
        <v>Q1-2025</v>
      </c>
      <c r="AB132" s="12" t="str">
        <f t="shared" si="39"/>
        <v>Feb-2025</v>
      </c>
      <c r="AC132" s="12" t="str">
        <f t="shared" si="40"/>
        <v>Medium</v>
      </c>
      <c r="AD132">
        <v>8</v>
      </c>
      <c r="AE132" s="12">
        <f>_xlfn.MINIFS(Table1[MonthDate], Table1[Country], Table1[[#This Row],[Country]])</f>
        <v>44927</v>
      </c>
      <c r="AF132" s="12">
        <f t="shared" si="41"/>
        <v>45689</v>
      </c>
      <c r="AG132">
        <f>AD132*(1 + Scenario_Control!$B$4)</f>
        <v>8.8000000000000007</v>
      </c>
      <c r="AH132">
        <f>O132*(1 + Scenario_Control!$B$3)</f>
        <v>435.69749999999999</v>
      </c>
      <c r="AI132">
        <f t="shared" si="42"/>
        <v>1694.8500976000005</v>
      </c>
      <c r="AJ132">
        <f t="shared" si="43"/>
        <v>-2139.2879023999999</v>
      </c>
      <c r="AK132" s="29">
        <f>MIN(Q132*(1-U132), Scenario_Control!$B$2*Q132)</f>
        <v>205.54600000000002</v>
      </c>
      <c r="AL132" s="15">
        <f t="shared" si="44"/>
        <v>0</v>
      </c>
      <c r="AM132" s="8">
        <f>DATEDIF(Table1[[#This Row],[Country_FirstMonth]], Table1[[#This Row],[MonthDate]], "m")</f>
        <v>25</v>
      </c>
    </row>
    <row r="133" spans="1:39" x14ac:dyDescent="0.25">
      <c r="A133" t="s">
        <v>146</v>
      </c>
      <c r="B133" s="12">
        <v>45719</v>
      </c>
      <c r="C133" s="12">
        <f t="shared" si="30"/>
        <v>45740</v>
      </c>
      <c r="D133" s="2" t="str">
        <f>IF(Table1[[#This Row],[RequiredDate]]&lt;Table1[[#This Row],[OrderDate]],"Check","OK")</f>
        <v>OK</v>
      </c>
      <c r="E133" s="2">
        <v>45740</v>
      </c>
      <c r="F133" s="15">
        <f t="shared" si="31"/>
        <v>21</v>
      </c>
      <c r="G133" t="s">
        <v>646</v>
      </c>
      <c r="H133" t="s">
        <v>651</v>
      </c>
      <c r="I133" t="s">
        <v>669</v>
      </c>
      <c r="J133" t="s">
        <v>706</v>
      </c>
      <c r="K133" t="s">
        <v>711</v>
      </c>
      <c r="L133" t="s">
        <v>722</v>
      </c>
      <c r="M133" t="s">
        <v>733</v>
      </c>
      <c r="N133" t="s">
        <v>865</v>
      </c>
      <c r="O133" s="29">
        <v>555.95000000000005</v>
      </c>
      <c r="P133" t="str">
        <f>IF(Table1[[#This Row],[UnitPrice]]&lt;=0,"Check","OK")</f>
        <v>OK</v>
      </c>
      <c r="Q133" s="29">
        <f t="shared" si="32"/>
        <v>468.09</v>
      </c>
      <c r="R133">
        <v>468.09</v>
      </c>
      <c r="S133" s="5">
        <f>IF(Table1[[#This Row],[Discount_Flag]]="Check", MIN(MAX(Table1[[#This Row],[DiscountPct]],0),0.3), Table1[[#This Row],[DiscountPct]])</f>
        <v>0.14199999999999999</v>
      </c>
      <c r="T133" t="str">
        <f>IF(OR(Table1[[#This Row],[DiscountPct]]&lt;0,Table1[[#This Row],[DiscountPct]]&gt;0.3),"Check","OK")</f>
        <v>OK</v>
      </c>
      <c r="U133" s="11">
        <v>0.14199999999999999</v>
      </c>
      <c r="V133" s="15">
        <f t="shared" si="33"/>
        <v>0</v>
      </c>
      <c r="W133" s="11">
        <f t="shared" si="34"/>
        <v>-0.38426450674095375</v>
      </c>
      <c r="X133" s="17">
        <f t="shared" si="35"/>
        <v>6115.4500000000007</v>
      </c>
      <c r="Y133" s="17">
        <f t="shared" si="36"/>
        <v>-1697.6165800000008</v>
      </c>
      <c r="Z133" s="17">
        <f t="shared" si="37"/>
        <v>4417.8334199999999</v>
      </c>
      <c r="AA133" s="17" t="str">
        <f t="shared" si="38"/>
        <v>Q1-2025</v>
      </c>
      <c r="AB133" s="12" t="str">
        <f t="shared" si="39"/>
        <v>Mar-2025</v>
      </c>
      <c r="AC133" s="12" t="str">
        <f t="shared" si="40"/>
        <v>Low</v>
      </c>
      <c r="AD133">
        <v>11</v>
      </c>
      <c r="AE133" s="12">
        <f>_xlfn.MINIFS(Table1[MonthDate], Table1[Country], Table1[[#This Row],[Country]])</f>
        <v>44927</v>
      </c>
      <c r="AF133" s="12">
        <f t="shared" si="41"/>
        <v>45717</v>
      </c>
      <c r="AG133">
        <f>AD133*(1 + Scenario_Control!$B$4)</f>
        <v>12.100000000000001</v>
      </c>
      <c r="AH133">
        <f>O133*(1 + Scenario_Control!$B$3)</f>
        <v>583.74750000000006</v>
      </c>
      <c r="AI133">
        <f t="shared" si="42"/>
        <v>971.9233524</v>
      </c>
      <c r="AJ133">
        <f t="shared" si="43"/>
        <v>-6091.421397600001</v>
      </c>
      <c r="AK133" s="29">
        <f>MIN(Q133*(1-U133), Scenario_Control!$B$2*Q133)</f>
        <v>93.617999999999995</v>
      </c>
      <c r="AL133" s="15">
        <f t="shared" si="44"/>
        <v>0</v>
      </c>
      <c r="AM133" s="8">
        <f>DATEDIF(Table1[[#This Row],[Country_FirstMonth]], Table1[[#This Row],[MonthDate]], "m")</f>
        <v>26</v>
      </c>
    </row>
    <row r="134" spans="1:39" x14ac:dyDescent="0.25">
      <c r="A134" t="s">
        <v>147</v>
      </c>
      <c r="B134" s="12">
        <v>44953</v>
      </c>
      <c r="C134" s="12">
        <f t="shared" si="30"/>
        <v>44957</v>
      </c>
      <c r="D134" s="2" t="str">
        <f>IF(Table1[[#This Row],[RequiredDate]]&lt;Table1[[#This Row],[OrderDate]],"Check","OK")</f>
        <v>OK</v>
      </c>
      <c r="E134" s="2">
        <v>44957</v>
      </c>
      <c r="F134" s="15">
        <f t="shared" si="31"/>
        <v>4</v>
      </c>
      <c r="G134" t="s">
        <v>649</v>
      </c>
      <c r="H134" t="s">
        <v>658</v>
      </c>
      <c r="I134" t="s">
        <v>693</v>
      </c>
      <c r="J134" t="s">
        <v>706</v>
      </c>
      <c r="K134" t="s">
        <v>708</v>
      </c>
      <c r="L134" t="s">
        <v>725</v>
      </c>
      <c r="M134" t="s">
        <v>731</v>
      </c>
      <c r="N134" t="s">
        <v>866</v>
      </c>
      <c r="O134" s="29">
        <v>941.2</v>
      </c>
      <c r="P134" t="str">
        <f>IF(Table1[[#This Row],[UnitPrice]]&lt;=0,"Check","OK")</f>
        <v>OK</v>
      </c>
      <c r="Q134" s="29">
        <f t="shared" si="32"/>
        <v>668.02</v>
      </c>
      <c r="R134">
        <v>668.02</v>
      </c>
      <c r="S134" s="5">
        <f>IF(Table1[[#This Row],[Discount_Flag]]="Check", MIN(MAX(Table1[[#This Row],[DiscountPct]],0),0.3), Table1[[#This Row],[DiscountPct]])</f>
        <v>0.22</v>
      </c>
      <c r="T134" t="str">
        <f>IF(OR(Table1[[#This Row],[DiscountPct]]&lt;0,Table1[[#This Row],[DiscountPct]]&gt;0.3),"Check","OK")</f>
        <v>OK</v>
      </c>
      <c r="U134" s="11">
        <v>0.22</v>
      </c>
      <c r="V134" s="15">
        <f t="shared" si="33"/>
        <v>1</v>
      </c>
      <c r="W134" s="11">
        <f t="shared" si="34"/>
        <v>-0.80633314371825193</v>
      </c>
      <c r="X134" s="17">
        <f t="shared" si="35"/>
        <v>15059.2</v>
      </c>
      <c r="Y134" s="17">
        <f t="shared" si="36"/>
        <v>-6722.3104000000003</v>
      </c>
      <c r="Z134" s="17">
        <f t="shared" si="37"/>
        <v>8336.8896000000004</v>
      </c>
      <c r="AA134" s="17" t="str">
        <f t="shared" si="38"/>
        <v>Q1-2023</v>
      </c>
      <c r="AB134" s="12" t="str">
        <f t="shared" si="39"/>
        <v>Jan-2023</v>
      </c>
      <c r="AC134" s="12" t="str">
        <f t="shared" si="40"/>
        <v>Medium</v>
      </c>
      <c r="AD134">
        <v>16</v>
      </c>
      <c r="AE134" s="12">
        <f>_xlfn.MINIFS(Table1[MonthDate], Table1[Country], Table1[[#This Row],[Country]])</f>
        <v>44927</v>
      </c>
      <c r="AF134" s="12">
        <f t="shared" si="41"/>
        <v>44927</v>
      </c>
      <c r="AG134">
        <f>AD134*(1 + Scenario_Control!$B$4)</f>
        <v>17.600000000000001</v>
      </c>
      <c r="AH134">
        <f>O134*(1 + Scenario_Control!$B$3)</f>
        <v>988.2600000000001</v>
      </c>
      <c r="AI134">
        <f t="shared" si="42"/>
        <v>1834.1157120000005</v>
      </c>
      <c r="AJ134">
        <f t="shared" si="43"/>
        <v>-15559.260288000003</v>
      </c>
      <c r="AK134" s="29">
        <f>MIN(Q134*(1-U134), Scenario_Control!$B$2*Q134)</f>
        <v>133.60400000000001</v>
      </c>
      <c r="AL134" s="15">
        <f t="shared" si="44"/>
        <v>1</v>
      </c>
      <c r="AM134" s="8">
        <f>DATEDIF(Table1[[#This Row],[Country_FirstMonth]], Table1[[#This Row],[MonthDate]], "m")</f>
        <v>0</v>
      </c>
    </row>
    <row r="135" spans="1:39" x14ac:dyDescent="0.25">
      <c r="A135" t="s">
        <v>148</v>
      </c>
      <c r="B135" s="12">
        <v>45666</v>
      </c>
      <c r="C135" s="12">
        <f t="shared" si="30"/>
        <v>45672</v>
      </c>
      <c r="D135" s="2" t="str">
        <f>IF(Table1[[#This Row],[RequiredDate]]&lt;Table1[[#This Row],[OrderDate]],"Check","OK")</f>
        <v>OK</v>
      </c>
      <c r="E135" s="2">
        <v>45672</v>
      </c>
      <c r="F135" s="15">
        <f t="shared" si="31"/>
        <v>6</v>
      </c>
      <c r="G135" t="s">
        <v>647</v>
      </c>
      <c r="H135" t="s">
        <v>659</v>
      </c>
      <c r="I135" t="s">
        <v>699</v>
      </c>
      <c r="J135" t="s">
        <v>702</v>
      </c>
      <c r="K135" t="s">
        <v>708</v>
      </c>
      <c r="L135" t="s">
        <v>712</v>
      </c>
      <c r="M135" t="s">
        <v>730</v>
      </c>
      <c r="N135" t="s">
        <v>867</v>
      </c>
      <c r="O135" s="29">
        <v>304.77999999999997</v>
      </c>
      <c r="P135" t="str">
        <f>IF(Table1[[#This Row],[UnitPrice]]&lt;=0,"Check","OK")</f>
        <v>OK</v>
      </c>
      <c r="Q135" s="29">
        <f t="shared" si="32"/>
        <v>537.27</v>
      </c>
      <c r="R135">
        <v>537.27</v>
      </c>
      <c r="S135" s="5">
        <f>IF(Table1[[#This Row],[Discount_Flag]]="Check", MIN(MAX(Table1[[#This Row],[DiscountPct]],0),0.3), Table1[[#This Row],[DiscountPct]])</f>
        <v>0.187</v>
      </c>
      <c r="T135" t="str">
        <f>IF(OR(Table1[[#This Row],[DiscountPct]]&lt;0,Table1[[#This Row],[DiscountPct]]&gt;0.3),"Check","OK")</f>
        <v>OK</v>
      </c>
      <c r="U135" s="11">
        <v>0.187</v>
      </c>
      <c r="V135" s="15">
        <f t="shared" si="33"/>
        <v>0</v>
      </c>
      <c r="W135" s="11">
        <f t="shared" si="34"/>
        <v>0.3022444044307549</v>
      </c>
      <c r="X135" s="17">
        <f t="shared" si="35"/>
        <v>2438.2399999999998</v>
      </c>
      <c r="Y135" s="17">
        <f t="shared" si="36"/>
        <v>1056.16408</v>
      </c>
      <c r="Z135" s="17">
        <f t="shared" si="37"/>
        <v>3494.4040799999998</v>
      </c>
      <c r="AA135" s="17" t="str">
        <f t="shared" si="38"/>
        <v>Q1-2025</v>
      </c>
      <c r="AB135" s="12" t="str">
        <f t="shared" si="39"/>
        <v>Jan-2025</v>
      </c>
      <c r="AC135" s="12" t="str">
        <f t="shared" si="40"/>
        <v>Low</v>
      </c>
      <c r="AD135">
        <v>8</v>
      </c>
      <c r="AE135" s="12">
        <f>_xlfn.MINIFS(Table1[MonthDate], Table1[Country], Table1[[#This Row],[Country]])</f>
        <v>44927</v>
      </c>
      <c r="AF135" s="12">
        <f t="shared" si="41"/>
        <v>45658</v>
      </c>
      <c r="AG135">
        <f>AD135*(1 + Scenario_Control!$B$4)</f>
        <v>8.8000000000000007</v>
      </c>
      <c r="AH135">
        <f>O135*(1 + Scenario_Control!$B$3)</f>
        <v>320.01900000000001</v>
      </c>
      <c r="AI135">
        <f t="shared" si="42"/>
        <v>768.76889760000006</v>
      </c>
      <c r="AJ135">
        <f t="shared" si="43"/>
        <v>-2047.3983024000004</v>
      </c>
      <c r="AK135" s="29">
        <f>MIN(Q135*(1-U135), Scenario_Control!$B$2*Q135)</f>
        <v>107.45400000000001</v>
      </c>
      <c r="AL135" s="15">
        <f t="shared" si="44"/>
        <v>1</v>
      </c>
      <c r="AM135" s="8">
        <f>DATEDIF(Table1[[#This Row],[Country_FirstMonth]], Table1[[#This Row],[MonthDate]], "m")</f>
        <v>24</v>
      </c>
    </row>
    <row r="136" spans="1:39" x14ac:dyDescent="0.25">
      <c r="A136" t="s">
        <v>149</v>
      </c>
      <c r="B136" s="12">
        <v>45647</v>
      </c>
      <c r="C136" s="12">
        <f t="shared" si="30"/>
        <v>45652</v>
      </c>
      <c r="D136" s="2" t="str">
        <f>IF(Table1[[#This Row],[RequiredDate]]&lt;Table1[[#This Row],[OrderDate]],"Check","OK")</f>
        <v>OK</v>
      </c>
      <c r="E136" s="2">
        <v>45652</v>
      </c>
      <c r="F136" s="15">
        <f t="shared" si="31"/>
        <v>5</v>
      </c>
      <c r="G136" t="s">
        <v>648</v>
      </c>
      <c r="H136" t="s">
        <v>660</v>
      </c>
      <c r="I136" t="s">
        <v>686</v>
      </c>
      <c r="J136" t="s">
        <v>704</v>
      </c>
      <c r="K136" t="s">
        <v>709</v>
      </c>
      <c r="L136" t="s">
        <v>724</v>
      </c>
      <c r="M136" t="s">
        <v>728</v>
      </c>
      <c r="N136" t="s">
        <v>868</v>
      </c>
      <c r="O136" s="29">
        <v>699.57</v>
      </c>
      <c r="P136" t="str">
        <f>IF(Table1[[#This Row],[UnitPrice]]&lt;=0,"Check","OK")</f>
        <v>OK</v>
      </c>
      <c r="Q136" s="29">
        <f t="shared" si="32"/>
        <v>572.71</v>
      </c>
      <c r="R136">
        <v>572.71</v>
      </c>
      <c r="S136" s="5">
        <f>IF(Table1[[#This Row],[Discount_Flag]]="Check", MIN(MAX(Table1[[#This Row],[DiscountPct]],0),0.3), Table1[[#This Row],[DiscountPct]])</f>
        <v>0.192</v>
      </c>
      <c r="T136" t="str">
        <f>IF(OR(Table1[[#This Row],[DiscountPct]]&lt;0,Table1[[#This Row],[DiscountPct]]&gt;0.3),"Check","OK")</f>
        <v>OK</v>
      </c>
      <c r="U136" s="11">
        <v>0.192</v>
      </c>
      <c r="V136" s="15">
        <f t="shared" si="33"/>
        <v>0</v>
      </c>
      <c r="W136" s="11">
        <f t="shared" si="34"/>
        <v>-0.51176765805651114</v>
      </c>
      <c r="X136" s="17">
        <f t="shared" si="35"/>
        <v>18188.82</v>
      </c>
      <c r="Y136" s="17">
        <f t="shared" si="36"/>
        <v>-6157.3283199999987</v>
      </c>
      <c r="Z136" s="17">
        <f t="shared" si="37"/>
        <v>12031.491680000001</v>
      </c>
      <c r="AA136" s="17" t="str">
        <f t="shared" si="38"/>
        <v>Q4-2024</v>
      </c>
      <c r="AB136" s="12" t="str">
        <f t="shared" si="39"/>
        <v>Dec-2024</v>
      </c>
      <c r="AC136" s="12" t="str">
        <f t="shared" si="40"/>
        <v>Low</v>
      </c>
      <c r="AD136">
        <v>26</v>
      </c>
      <c r="AE136" s="12">
        <f>_xlfn.MINIFS(Table1[MonthDate], Table1[Country], Table1[[#This Row],[Country]])</f>
        <v>44927</v>
      </c>
      <c r="AF136" s="12">
        <f t="shared" si="41"/>
        <v>45627</v>
      </c>
      <c r="AG136">
        <f>AD136*(1 + Scenario_Control!$B$4)</f>
        <v>28.6</v>
      </c>
      <c r="AH136">
        <f>O136*(1 + Scenario_Control!$B$3)</f>
        <v>734.5485000000001</v>
      </c>
      <c r="AI136">
        <f t="shared" si="42"/>
        <v>2646.9281696000007</v>
      </c>
      <c r="AJ136">
        <f t="shared" si="43"/>
        <v>-18361.158930400004</v>
      </c>
      <c r="AK136" s="29">
        <f>MIN(Q136*(1-U136), Scenario_Control!$B$2*Q136)</f>
        <v>114.54200000000002</v>
      </c>
      <c r="AL136" s="15">
        <f t="shared" si="44"/>
        <v>1</v>
      </c>
      <c r="AM136" s="8">
        <f>DATEDIF(Table1[[#This Row],[Country_FirstMonth]], Table1[[#This Row],[MonthDate]], "m")</f>
        <v>23</v>
      </c>
    </row>
    <row r="137" spans="1:39" x14ac:dyDescent="0.25">
      <c r="A137" t="s">
        <v>150</v>
      </c>
      <c r="B137" s="12">
        <v>45028</v>
      </c>
      <c r="C137" s="12">
        <f t="shared" si="30"/>
        <v>45033</v>
      </c>
      <c r="D137" s="2" t="str">
        <f>IF(Table1[[#This Row],[RequiredDate]]&lt;Table1[[#This Row],[OrderDate]],"Check","OK")</f>
        <v>OK</v>
      </c>
      <c r="E137" s="2">
        <v>45033</v>
      </c>
      <c r="F137" s="15">
        <f t="shared" si="31"/>
        <v>5</v>
      </c>
      <c r="G137" t="s">
        <v>649</v>
      </c>
      <c r="H137" t="s">
        <v>657</v>
      </c>
      <c r="I137" t="s">
        <v>679</v>
      </c>
      <c r="J137" t="s">
        <v>706</v>
      </c>
      <c r="K137" t="s">
        <v>711</v>
      </c>
      <c r="L137" t="s">
        <v>718</v>
      </c>
      <c r="M137" t="s">
        <v>732</v>
      </c>
      <c r="N137" t="s">
        <v>869</v>
      </c>
      <c r="O137" s="29">
        <v>1087.81</v>
      </c>
      <c r="P137" t="str">
        <f>IF(Table1[[#This Row],[UnitPrice]]&lt;=0,"Check","OK")</f>
        <v>OK</v>
      </c>
      <c r="Q137" s="29">
        <f t="shared" si="32"/>
        <v>2323.87</v>
      </c>
      <c r="R137">
        <v>2323.87</v>
      </c>
      <c r="S137" s="5">
        <f>IF(Table1[[#This Row],[Discount_Flag]]="Check", MIN(MAX(Table1[[#This Row],[DiscountPct]],0),0.3), Table1[[#This Row],[DiscountPct]])</f>
        <v>9.4E-2</v>
      </c>
      <c r="T137" t="str">
        <f>IF(OR(Table1[[#This Row],[DiscountPct]]&lt;0,Table1[[#This Row],[DiscountPct]]&gt;0.3),"Check","OK")</f>
        <v>OK</v>
      </c>
      <c r="U137" s="11">
        <v>9.4E-2</v>
      </c>
      <c r="V137" s="15">
        <f t="shared" si="33"/>
        <v>0</v>
      </c>
      <c r="W137" s="11">
        <f t="shared" si="34"/>
        <v>0.48333026839572651</v>
      </c>
      <c r="X137" s="17">
        <f t="shared" si="35"/>
        <v>14141.529999999999</v>
      </c>
      <c r="Y137" s="17">
        <f t="shared" si="36"/>
        <v>13229.010859999999</v>
      </c>
      <c r="Z137" s="17">
        <f t="shared" si="37"/>
        <v>27370.540859999997</v>
      </c>
      <c r="AA137" s="17" t="str">
        <f t="shared" si="38"/>
        <v>Q2-2023</v>
      </c>
      <c r="AB137" s="12" t="str">
        <f t="shared" si="39"/>
        <v>Apr-2023</v>
      </c>
      <c r="AC137" s="12" t="str">
        <f t="shared" si="40"/>
        <v>High</v>
      </c>
      <c r="AD137">
        <v>13</v>
      </c>
      <c r="AE137" s="12">
        <f>_xlfn.MINIFS(Table1[MonthDate], Table1[Country], Table1[[#This Row],[Country]])</f>
        <v>44927</v>
      </c>
      <c r="AF137" s="12">
        <f t="shared" si="41"/>
        <v>45017</v>
      </c>
      <c r="AG137">
        <f>AD137*(1 + Scenario_Control!$B$4)</f>
        <v>14.3</v>
      </c>
      <c r="AH137">
        <f>O137*(1 + Scenario_Control!$B$3)</f>
        <v>1142.2004999999999</v>
      </c>
      <c r="AI137">
        <f t="shared" si="42"/>
        <v>6021.5189892000008</v>
      </c>
      <c r="AJ137">
        <f t="shared" si="43"/>
        <v>-10311.948160799999</v>
      </c>
      <c r="AK137" s="29">
        <f>MIN(Q137*(1-U137), Scenario_Control!$B$2*Q137)</f>
        <v>464.774</v>
      </c>
      <c r="AL137" s="15">
        <f t="shared" si="44"/>
        <v>1</v>
      </c>
      <c r="AM137" s="8">
        <f>DATEDIF(Table1[[#This Row],[Country_FirstMonth]], Table1[[#This Row],[MonthDate]], "m")</f>
        <v>3</v>
      </c>
    </row>
    <row r="138" spans="1:39" x14ac:dyDescent="0.25">
      <c r="A138" t="s">
        <v>151</v>
      </c>
      <c r="B138" s="12">
        <v>45640</v>
      </c>
      <c r="C138" s="12">
        <f t="shared" si="30"/>
        <v>45669</v>
      </c>
      <c r="D138" s="2" t="str">
        <f>IF(Table1[[#This Row],[RequiredDate]]&lt;Table1[[#This Row],[OrderDate]],"Check","OK")</f>
        <v>OK</v>
      </c>
      <c r="E138" s="2">
        <v>45669</v>
      </c>
      <c r="F138" s="15">
        <f t="shared" si="31"/>
        <v>29</v>
      </c>
      <c r="G138" t="s">
        <v>647</v>
      </c>
      <c r="H138" t="s">
        <v>659</v>
      </c>
      <c r="I138" t="s">
        <v>676</v>
      </c>
      <c r="J138" t="s">
        <v>702</v>
      </c>
      <c r="K138" t="s">
        <v>708</v>
      </c>
      <c r="L138" t="s">
        <v>713</v>
      </c>
      <c r="M138" t="s">
        <v>727</v>
      </c>
      <c r="N138" t="s">
        <v>870</v>
      </c>
      <c r="O138" s="29">
        <v>1412.15</v>
      </c>
      <c r="P138" t="str">
        <f>IF(Table1[[#This Row],[UnitPrice]]&lt;=0,"Check","OK")</f>
        <v>OK</v>
      </c>
      <c r="Q138" s="29">
        <f t="shared" si="32"/>
        <v>1631.04</v>
      </c>
      <c r="R138">
        <v>1631.04</v>
      </c>
      <c r="S138" s="5">
        <f>IF(Table1[[#This Row],[Discount_Flag]]="Check", MIN(MAX(Table1[[#This Row],[DiscountPct]],0),0.3), Table1[[#This Row],[DiscountPct]])</f>
        <v>8.9999999999999993E-3</v>
      </c>
      <c r="T138" t="str">
        <f>IF(OR(Table1[[#This Row],[DiscountPct]]&lt;0,Table1[[#This Row],[DiscountPct]]&gt;0.3),"Check","OK")</f>
        <v>OK</v>
      </c>
      <c r="U138" s="11">
        <v>8.9999999999999993E-3</v>
      </c>
      <c r="V138" s="15">
        <f t="shared" si="33"/>
        <v>0</v>
      </c>
      <c r="W138" s="11">
        <f t="shared" si="34"/>
        <v>0.12633977526203535</v>
      </c>
      <c r="X138" s="17">
        <f t="shared" si="35"/>
        <v>8472.9000000000015</v>
      </c>
      <c r="Y138" s="17">
        <f t="shared" si="36"/>
        <v>1225.2638399999978</v>
      </c>
      <c r="Z138" s="17">
        <f t="shared" si="37"/>
        <v>9698.1638399999993</v>
      </c>
      <c r="AA138" s="17" t="str">
        <f t="shared" si="38"/>
        <v>Q4-2024</v>
      </c>
      <c r="AB138" s="12" t="str">
        <f t="shared" si="39"/>
        <v>Dec-2024</v>
      </c>
      <c r="AC138" s="12" t="str">
        <f t="shared" si="40"/>
        <v>Medium</v>
      </c>
      <c r="AD138">
        <v>6</v>
      </c>
      <c r="AE138" s="12">
        <f>_xlfn.MINIFS(Table1[MonthDate], Table1[Country], Table1[[#This Row],[Country]])</f>
        <v>44927</v>
      </c>
      <c r="AF138" s="12">
        <f t="shared" si="41"/>
        <v>45627</v>
      </c>
      <c r="AG138">
        <f>AD138*(1 + Scenario_Control!$B$4)</f>
        <v>6.6000000000000005</v>
      </c>
      <c r="AH138">
        <f>O138*(1 + Scenario_Control!$B$3)</f>
        <v>1482.7575000000002</v>
      </c>
      <c r="AI138">
        <f t="shared" si="42"/>
        <v>2133.5960448000005</v>
      </c>
      <c r="AJ138">
        <f t="shared" si="43"/>
        <v>-7652.6034552000019</v>
      </c>
      <c r="AK138" s="29">
        <f>MIN(Q138*(1-U138), Scenario_Control!$B$2*Q138)</f>
        <v>326.20800000000003</v>
      </c>
      <c r="AL138" s="15">
        <f t="shared" si="44"/>
        <v>0</v>
      </c>
      <c r="AM138" s="8">
        <f>DATEDIF(Table1[[#This Row],[Country_FirstMonth]], Table1[[#This Row],[MonthDate]], "m")</f>
        <v>23</v>
      </c>
    </row>
    <row r="139" spans="1:39" x14ac:dyDescent="0.25">
      <c r="A139" t="s">
        <v>152</v>
      </c>
      <c r="B139" s="12">
        <v>45016</v>
      </c>
      <c r="C139" s="12">
        <f t="shared" si="30"/>
        <v>45028</v>
      </c>
      <c r="D139" s="2" t="str">
        <f>IF(Table1[[#This Row],[RequiredDate]]&lt;Table1[[#This Row],[OrderDate]],"Check","OK")</f>
        <v>OK</v>
      </c>
      <c r="E139" s="2">
        <v>45028</v>
      </c>
      <c r="F139" s="15">
        <f t="shared" si="31"/>
        <v>12</v>
      </c>
      <c r="G139" t="s">
        <v>646</v>
      </c>
      <c r="H139" t="s">
        <v>650</v>
      </c>
      <c r="I139" t="s">
        <v>675</v>
      </c>
      <c r="J139" t="s">
        <v>705</v>
      </c>
      <c r="K139" t="s">
        <v>708</v>
      </c>
      <c r="L139" t="s">
        <v>712</v>
      </c>
      <c r="M139" t="s">
        <v>730</v>
      </c>
      <c r="N139" t="s">
        <v>871</v>
      </c>
      <c r="O139" s="29">
        <v>304.22000000000003</v>
      </c>
      <c r="P139" t="str">
        <f>IF(Table1[[#This Row],[UnitPrice]]&lt;=0,"Check","OK")</f>
        <v>OK</v>
      </c>
      <c r="Q139" s="29">
        <f t="shared" si="32"/>
        <v>393.31</v>
      </c>
      <c r="R139">
        <v>393.31</v>
      </c>
      <c r="S139" s="5">
        <f>IF(Table1[[#This Row],[Discount_Flag]]="Check", MIN(MAX(Table1[[#This Row],[DiscountPct]],0),0.3), Table1[[#This Row],[DiscountPct]])</f>
        <v>0.26500000000000001</v>
      </c>
      <c r="T139" t="str">
        <f>IF(OR(Table1[[#This Row],[DiscountPct]]&lt;0,Table1[[#This Row],[DiscountPct]]&gt;0.3),"Check","OK")</f>
        <v>OK</v>
      </c>
      <c r="U139" s="11">
        <v>0.26500000000000001</v>
      </c>
      <c r="V139" s="15">
        <f t="shared" si="33"/>
        <v>1</v>
      </c>
      <c r="W139" s="11">
        <f t="shared" si="34"/>
        <v>-5.2362670424759034E-2</v>
      </c>
      <c r="X139" s="17">
        <f t="shared" si="35"/>
        <v>4563.3</v>
      </c>
      <c r="Y139" s="17">
        <f t="shared" si="36"/>
        <v>-227.05725000000075</v>
      </c>
      <c r="Z139" s="17">
        <f t="shared" si="37"/>
        <v>4336.2427499999994</v>
      </c>
      <c r="AA139" s="17" t="str">
        <f t="shared" si="38"/>
        <v>Q1-2023</v>
      </c>
      <c r="AB139" s="12" t="str">
        <f t="shared" si="39"/>
        <v>Mar-2023</v>
      </c>
      <c r="AC139" s="12" t="str">
        <f t="shared" si="40"/>
        <v>Low</v>
      </c>
      <c r="AD139">
        <v>15</v>
      </c>
      <c r="AE139" s="12">
        <f>_xlfn.MINIFS(Table1[MonthDate], Table1[Country], Table1[[#This Row],[Country]])</f>
        <v>44927</v>
      </c>
      <c r="AF139" s="12">
        <f t="shared" si="41"/>
        <v>44986</v>
      </c>
      <c r="AG139">
        <f>AD139*(1 + Scenario_Control!$B$4)</f>
        <v>16.5</v>
      </c>
      <c r="AH139">
        <f>O139*(1 + Scenario_Control!$B$3)</f>
        <v>319.43100000000004</v>
      </c>
      <c r="AI139">
        <f t="shared" si="42"/>
        <v>953.97340499999996</v>
      </c>
      <c r="AJ139">
        <f t="shared" si="43"/>
        <v>-4316.6380950000012</v>
      </c>
      <c r="AK139" s="29">
        <f>MIN(Q139*(1-U139), Scenario_Control!$B$2*Q139)</f>
        <v>78.662000000000006</v>
      </c>
      <c r="AL139" s="15">
        <f t="shared" si="44"/>
        <v>0</v>
      </c>
      <c r="AM139" s="8">
        <f>DATEDIF(Table1[[#This Row],[Country_FirstMonth]], Table1[[#This Row],[MonthDate]], "m")</f>
        <v>2</v>
      </c>
    </row>
    <row r="140" spans="1:39" x14ac:dyDescent="0.25">
      <c r="A140" t="s">
        <v>153</v>
      </c>
      <c r="B140" s="12">
        <v>45616</v>
      </c>
      <c r="C140" s="12">
        <f t="shared" si="30"/>
        <v>45641</v>
      </c>
      <c r="D140" s="2" t="str">
        <f>IF(Table1[[#This Row],[RequiredDate]]&lt;Table1[[#This Row],[OrderDate]],"Check","OK")</f>
        <v>OK</v>
      </c>
      <c r="E140" s="2">
        <v>45641</v>
      </c>
      <c r="F140" s="15">
        <f t="shared" si="31"/>
        <v>25</v>
      </c>
      <c r="G140" t="s">
        <v>649</v>
      </c>
      <c r="H140" t="s">
        <v>657</v>
      </c>
      <c r="I140" t="s">
        <v>690</v>
      </c>
      <c r="J140" t="s">
        <v>701</v>
      </c>
      <c r="K140" t="s">
        <v>708</v>
      </c>
      <c r="L140" t="s">
        <v>715</v>
      </c>
      <c r="M140" t="s">
        <v>728</v>
      </c>
      <c r="N140" t="s">
        <v>872</v>
      </c>
      <c r="O140" s="29">
        <v>1203.58</v>
      </c>
      <c r="P140" t="str">
        <f>IF(Table1[[#This Row],[UnitPrice]]&lt;=0,"Check","OK")</f>
        <v>OK</v>
      </c>
      <c r="Q140" s="29">
        <f t="shared" si="32"/>
        <v>1856.16</v>
      </c>
      <c r="R140">
        <v>1856.16</v>
      </c>
      <c r="S140" s="5">
        <f>IF(Table1[[#This Row],[Discount_Flag]]="Check", MIN(MAX(Table1[[#This Row],[DiscountPct]],0),0.3), Table1[[#This Row],[DiscountPct]])</f>
        <v>0.129</v>
      </c>
      <c r="T140" t="str">
        <f>IF(OR(Table1[[#This Row],[DiscountPct]]&lt;0,Table1[[#This Row],[DiscountPct]]&gt;0.3),"Check","OK")</f>
        <v>OK</v>
      </c>
      <c r="U140" s="11">
        <v>0.129</v>
      </c>
      <c r="V140" s="15">
        <f t="shared" si="33"/>
        <v>0</v>
      </c>
      <c r="W140" s="11">
        <f t="shared" si="34"/>
        <v>0.25553994860295032</v>
      </c>
      <c r="X140" s="17">
        <f t="shared" si="35"/>
        <v>26478.76</v>
      </c>
      <c r="Y140" s="17">
        <f t="shared" si="36"/>
        <v>9088.9779200000085</v>
      </c>
      <c r="Z140" s="17">
        <f t="shared" si="37"/>
        <v>35567.737920000007</v>
      </c>
      <c r="AA140" s="17" t="str">
        <f t="shared" si="38"/>
        <v>Q4-2024</v>
      </c>
      <c r="AB140" s="12" t="str">
        <f t="shared" si="39"/>
        <v>Nov-2024</v>
      </c>
      <c r="AC140" s="12" t="str">
        <f t="shared" si="40"/>
        <v>Medium</v>
      </c>
      <c r="AD140">
        <v>22</v>
      </c>
      <c r="AE140" s="12">
        <f>_xlfn.MINIFS(Table1[MonthDate], Table1[Country], Table1[[#This Row],[Country]])</f>
        <v>44927</v>
      </c>
      <c r="AF140" s="12">
        <f t="shared" si="41"/>
        <v>45597</v>
      </c>
      <c r="AG140">
        <f>AD140*(1 + Scenario_Control!$B$4)</f>
        <v>24.200000000000003</v>
      </c>
      <c r="AH140">
        <f>O140*(1 + Scenario_Control!$B$3)</f>
        <v>1263.759</v>
      </c>
      <c r="AI140">
        <f t="shared" si="42"/>
        <v>7824.9023424000006</v>
      </c>
      <c r="AJ140">
        <f t="shared" si="43"/>
        <v>-22758.065457600002</v>
      </c>
      <c r="AK140" s="29">
        <f>MIN(Q140*(1-U140), Scenario_Control!$B$2*Q140)</f>
        <v>371.23200000000003</v>
      </c>
      <c r="AL140" s="15">
        <f t="shared" si="44"/>
        <v>0</v>
      </c>
      <c r="AM140" s="8">
        <f>DATEDIF(Table1[[#This Row],[Country_FirstMonth]], Table1[[#This Row],[MonthDate]], "m")</f>
        <v>22</v>
      </c>
    </row>
    <row r="141" spans="1:39" x14ac:dyDescent="0.25">
      <c r="A141" t="s">
        <v>154</v>
      </c>
      <c r="B141" s="12">
        <v>45336</v>
      </c>
      <c r="C141" s="12">
        <f t="shared" si="30"/>
        <v>45336</v>
      </c>
      <c r="D141" s="2" t="str">
        <f>IF(Table1[[#This Row],[RequiredDate]]&lt;Table1[[#This Row],[OrderDate]],"Check","OK")</f>
        <v>OK</v>
      </c>
      <c r="E141" s="2">
        <v>45336</v>
      </c>
      <c r="F141" s="15">
        <f t="shared" si="31"/>
        <v>0</v>
      </c>
      <c r="G141" t="s">
        <v>647</v>
      </c>
      <c r="H141" t="s">
        <v>659</v>
      </c>
      <c r="I141" t="s">
        <v>699</v>
      </c>
      <c r="J141" t="s">
        <v>701</v>
      </c>
      <c r="K141" t="s">
        <v>710</v>
      </c>
      <c r="L141" t="s">
        <v>716</v>
      </c>
      <c r="M141" t="s">
        <v>733</v>
      </c>
      <c r="N141" t="s">
        <v>873</v>
      </c>
      <c r="O141" s="29">
        <v>65.930000000000007</v>
      </c>
      <c r="P141" t="str">
        <f>IF(Table1[[#This Row],[UnitPrice]]&lt;=0,"Check","OK")</f>
        <v>OK</v>
      </c>
      <c r="Q141" s="29">
        <f t="shared" si="32"/>
        <v>84.9</v>
      </c>
      <c r="R141">
        <v>84.9</v>
      </c>
      <c r="S141" s="5">
        <f>IF(Table1[[#This Row],[Discount_Flag]]="Check", MIN(MAX(Table1[[#This Row],[DiscountPct]],0),0.3), Table1[[#This Row],[DiscountPct]])</f>
        <v>0.25900000000000001</v>
      </c>
      <c r="T141" t="str">
        <f>IF(OR(Table1[[#This Row],[DiscountPct]]&lt;0,Table1[[#This Row],[DiscountPct]]&gt;0.3),"Check","OK")</f>
        <v>OK</v>
      </c>
      <c r="U141" s="11">
        <v>0.25900000000000001</v>
      </c>
      <c r="V141" s="15">
        <f t="shared" si="33"/>
        <v>1</v>
      </c>
      <c r="W141" s="11">
        <f t="shared" si="34"/>
        <v>-4.7990093926489688E-2</v>
      </c>
      <c r="X141" s="17">
        <f t="shared" si="35"/>
        <v>1516.39</v>
      </c>
      <c r="Y141" s="17">
        <f t="shared" si="36"/>
        <v>-69.439300000000003</v>
      </c>
      <c r="Z141" s="17">
        <f t="shared" si="37"/>
        <v>1446.9507000000001</v>
      </c>
      <c r="AA141" s="17" t="str">
        <f t="shared" si="38"/>
        <v>Q1-2024</v>
      </c>
      <c r="AB141" s="12" t="str">
        <f t="shared" si="39"/>
        <v>Feb-2024</v>
      </c>
      <c r="AC141" s="12" t="str">
        <f t="shared" si="40"/>
        <v>Low</v>
      </c>
      <c r="AD141">
        <v>23</v>
      </c>
      <c r="AE141" s="12">
        <f>_xlfn.MINIFS(Table1[MonthDate], Table1[Country], Table1[[#This Row],[Country]])</f>
        <v>44927</v>
      </c>
      <c r="AF141" s="12">
        <f t="shared" si="41"/>
        <v>45323</v>
      </c>
      <c r="AG141">
        <f>AD141*(1 + Scenario_Control!$B$4)</f>
        <v>25.3</v>
      </c>
      <c r="AH141">
        <f>O141*(1 + Scenario_Control!$B$3)</f>
        <v>69.226500000000016</v>
      </c>
      <c r="AI141">
        <f t="shared" si="42"/>
        <v>318.32915400000002</v>
      </c>
      <c r="AJ141">
        <f t="shared" si="43"/>
        <v>-1433.1012960000005</v>
      </c>
      <c r="AK141" s="29">
        <f>MIN(Q141*(1-U141), Scenario_Control!$B$2*Q141)</f>
        <v>16.98</v>
      </c>
      <c r="AL141" s="15">
        <f t="shared" si="44"/>
        <v>1</v>
      </c>
      <c r="AM141" s="8">
        <f>DATEDIF(Table1[[#This Row],[Country_FirstMonth]], Table1[[#This Row],[MonthDate]], "m")</f>
        <v>13</v>
      </c>
    </row>
    <row r="142" spans="1:39" x14ac:dyDescent="0.25">
      <c r="A142" t="s">
        <v>155</v>
      </c>
      <c r="B142" s="12">
        <v>45048</v>
      </c>
      <c r="C142" s="12">
        <f t="shared" si="30"/>
        <v>45064</v>
      </c>
      <c r="D142" s="2" t="str">
        <f>IF(Table1[[#This Row],[RequiredDate]]&lt;Table1[[#This Row],[OrderDate]],"Check","OK")</f>
        <v>OK</v>
      </c>
      <c r="E142" s="2">
        <v>45064</v>
      </c>
      <c r="F142" s="15">
        <f t="shared" si="31"/>
        <v>16</v>
      </c>
      <c r="G142" t="s">
        <v>647</v>
      </c>
      <c r="H142" t="s">
        <v>654</v>
      </c>
      <c r="I142" t="s">
        <v>680</v>
      </c>
      <c r="J142" t="s">
        <v>705</v>
      </c>
      <c r="K142" t="s">
        <v>709</v>
      </c>
      <c r="L142" t="s">
        <v>723</v>
      </c>
      <c r="M142" t="s">
        <v>732</v>
      </c>
      <c r="N142" t="s">
        <v>874</v>
      </c>
      <c r="O142" s="29">
        <v>1463.92</v>
      </c>
      <c r="P142" t="str">
        <f>IF(Table1[[#This Row],[UnitPrice]]&lt;=0,"Check","OK")</f>
        <v>OK</v>
      </c>
      <c r="Q142" s="29">
        <f t="shared" si="32"/>
        <v>2252.2399999999998</v>
      </c>
      <c r="R142">
        <v>2252.2399999999998</v>
      </c>
      <c r="S142" s="5">
        <f>IF(Table1[[#This Row],[Discount_Flag]]="Check", MIN(MAX(Table1[[#This Row],[DiscountPct]],0),0.3), Table1[[#This Row],[DiscountPct]])</f>
        <v>0.11799999999999999</v>
      </c>
      <c r="T142" t="str">
        <f>IF(OR(Table1[[#This Row],[DiscountPct]]&lt;0,Table1[[#This Row],[DiscountPct]]&gt;0.3),"Check","OK")</f>
        <v>OK</v>
      </c>
      <c r="U142" s="11">
        <v>0.11799999999999999</v>
      </c>
      <c r="V142" s="15">
        <f t="shared" si="33"/>
        <v>0</v>
      </c>
      <c r="W142" s="11">
        <f t="shared" si="34"/>
        <v>0.26305667130040061</v>
      </c>
      <c r="X142" s="17">
        <f t="shared" si="35"/>
        <v>64412.480000000003</v>
      </c>
      <c r="Y142" s="17">
        <f t="shared" si="36"/>
        <v>22992.449919999992</v>
      </c>
      <c r="Z142" s="17">
        <f t="shared" si="37"/>
        <v>87404.929919999995</v>
      </c>
      <c r="AA142" s="17" t="str">
        <f t="shared" si="38"/>
        <v>Q2-2023</v>
      </c>
      <c r="AB142" s="12" t="str">
        <f t="shared" si="39"/>
        <v>May-2023</v>
      </c>
      <c r="AC142" s="12" t="str">
        <f t="shared" si="40"/>
        <v>High</v>
      </c>
      <c r="AD142">
        <v>44</v>
      </c>
      <c r="AE142" s="12">
        <f>_xlfn.MINIFS(Table1[MonthDate], Table1[Country], Table1[[#This Row],[Country]])</f>
        <v>44927</v>
      </c>
      <c r="AF142" s="12">
        <f t="shared" si="41"/>
        <v>45047</v>
      </c>
      <c r="AG142">
        <f>AD142*(1 + Scenario_Control!$B$4)</f>
        <v>48.400000000000006</v>
      </c>
      <c r="AH142">
        <f>O142*(1 + Scenario_Control!$B$3)</f>
        <v>1537.1160000000002</v>
      </c>
      <c r="AI142">
        <f t="shared" si="42"/>
        <v>19229.084582400003</v>
      </c>
      <c r="AJ142">
        <f t="shared" si="43"/>
        <v>-55167.329817600024</v>
      </c>
      <c r="AK142" s="29">
        <f>MIN(Q142*(1-U142), Scenario_Control!$B$2*Q142)</f>
        <v>450.44799999999998</v>
      </c>
      <c r="AL142" s="15">
        <f t="shared" si="44"/>
        <v>0</v>
      </c>
      <c r="AM142" s="8">
        <f>DATEDIF(Table1[[#This Row],[Country_FirstMonth]], Table1[[#This Row],[MonthDate]], "m")</f>
        <v>4</v>
      </c>
    </row>
    <row r="143" spans="1:39" x14ac:dyDescent="0.25">
      <c r="A143" t="s">
        <v>156</v>
      </c>
      <c r="B143" s="12">
        <v>45649</v>
      </c>
      <c r="C143" s="12">
        <f t="shared" si="30"/>
        <v>45668</v>
      </c>
      <c r="D143" s="2" t="str">
        <f>IF(Table1[[#This Row],[RequiredDate]]&lt;Table1[[#This Row],[OrderDate]],"Check","OK")</f>
        <v>OK</v>
      </c>
      <c r="E143" s="2">
        <v>45668</v>
      </c>
      <c r="F143" s="15">
        <f t="shared" si="31"/>
        <v>19</v>
      </c>
      <c r="G143" t="s">
        <v>649</v>
      </c>
      <c r="H143" t="s">
        <v>656</v>
      </c>
      <c r="I143" t="s">
        <v>671</v>
      </c>
      <c r="J143" t="s">
        <v>702</v>
      </c>
      <c r="K143" t="s">
        <v>707</v>
      </c>
      <c r="L143" t="s">
        <v>723</v>
      </c>
      <c r="M143" t="s">
        <v>730</v>
      </c>
      <c r="N143" t="s">
        <v>875</v>
      </c>
      <c r="O143" s="29">
        <v>501.81</v>
      </c>
      <c r="P143" t="str">
        <f>IF(Table1[[#This Row],[UnitPrice]]&lt;=0,"Check","OK")</f>
        <v>OK</v>
      </c>
      <c r="Q143" s="29">
        <f t="shared" si="32"/>
        <v>921.62</v>
      </c>
      <c r="R143">
        <v>921.62</v>
      </c>
      <c r="S143" s="5">
        <f>IF(Table1[[#This Row],[Discount_Flag]]="Check", MIN(MAX(Table1[[#This Row],[DiscountPct]],0),0.3), Table1[[#This Row],[DiscountPct]])</f>
        <v>0.01</v>
      </c>
      <c r="T143" t="str">
        <f>IF(OR(Table1[[#This Row],[DiscountPct]]&lt;0,Table1[[#This Row],[DiscountPct]]&gt;0.3),"Check","OK")</f>
        <v>OK</v>
      </c>
      <c r="U143" s="11">
        <v>0.01</v>
      </c>
      <c r="V143" s="15">
        <f t="shared" si="33"/>
        <v>0</v>
      </c>
      <c r="W143" s="11">
        <f t="shared" si="34"/>
        <v>0.45001325071202031</v>
      </c>
      <c r="X143" s="17">
        <f t="shared" si="35"/>
        <v>4516.29</v>
      </c>
      <c r="Y143" s="17">
        <f t="shared" si="36"/>
        <v>3695.3442000000005</v>
      </c>
      <c r="Z143" s="17">
        <f t="shared" si="37"/>
        <v>8211.6342000000004</v>
      </c>
      <c r="AA143" s="17" t="str">
        <f t="shared" si="38"/>
        <v>Q4-2024</v>
      </c>
      <c r="AB143" s="12" t="str">
        <f t="shared" si="39"/>
        <v>Dec-2024</v>
      </c>
      <c r="AC143" s="12" t="str">
        <f t="shared" si="40"/>
        <v>Medium</v>
      </c>
      <c r="AD143">
        <v>9</v>
      </c>
      <c r="AE143" s="12">
        <f>_xlfn.MINIFS(Table1[MonthDate], Table1[Country], Table1[[#This Row],[Country]])</f>
        <v>44927</v>
      </c>
      <c r="AF143" s="12">
        <f t="shared" si="41"/>
        <v>45627</v>
      </c>
      <c r="AG143">
        <f>AD143*(1 + Scenario_Control!$B$4)</f>
        <v>9.9</v>
      </c>
      <c r="AH143">
        <f>O143*(1 + Scenario_Control!$B$3)</f>
        <v>526.90050000000008</v>
      </c>
      <c r="AI143">
        <f t="shared" si="42"/>
        <v>1806.559524</v>
      </c>
      <c r="AJ143">
        <f t="shared" si="43"/>
        <v>-3409.7554260000006</v>
      </c>
      <c r="AK143" s="29">
        <f>MIN(Q143*(1-U143), Scenario_Control!$B$2*Q143)</f>
        <v>184.32400000000001</v>
      </c>
      <c r="AL143" s="15">
        <f t="shared" si="44"/>
        <v>0</v>
      </c>
      <c r="AM143" s="8">
        <f>DATEDIF(Table1[[#This Row],[Country_FirstMonth]], Table1[[#This Row],[MonthDate]], "m")</f>
        <v>23</v>
      </c>
    </row>
    <row r="144" spans="1:39" x14ac:dyDescent="0.25">
      <c r="A144" t="s">
        <v>157</v>
      </c>
      <c r="B144" s="12">
        <v>45133</v>
      </c>
      <c r="C144" s="12">
        <f t="shared" si="30"/>
        <v>45163</v>
      </c>
      <c r="D144" s="2" t="str">
        <f>IF(Table1[[#This Row],[RequiredDate]]&lt;Table1[[#This Row],[OrderDate]],"Check","OK")</f>
        <v>OK</v>
      </c>
      <c r="E144" s="2">
        <v>45163</v>
      </c>
      <c r="F144" s="15">
        <f t="shared" si="31"/>
        <v>30</v>
      </c>
      <c r="G144" t="s">
        <v>648</v>
      </c>
      <c r="H144" t="s">
        <v>660</v>
      </c>
      <c r="I144" t="s">
        <v>700</v>
      </c>
      <c r="J144" t="s">
        <v>704</v>
      </c>
      <c r="K144" t="s">
        <v>707</v>
      </c>
      <c r="L144" t="s">
        <v>724</v>
      </c>
      <c r="M144" t="s">
        <v>733</v>
      </c>
      <c r="N144" t="s">
        <v>876</v>
      </c>
      <c r="O144" s="29">
        <v>1261.48</v>
      </c>
      <c r="P144" t="str">
        <f>IF(Table1[[#This Row],[UnitPrice]]&lt;=0,"Check","OK")</f>
        <v>OK</v>
      </c>
      <c r="Q144" s="29">
        <f t="shared" si="32"/>
        <v>1643.18</v>
      </c>
      <c r="R144">
        <v>1643.18</v>
      </c>
      <c r="S144" s="5">
        <f>IF(Table1[[#This Row],[Discount_Flag]]="Check", MIN(MAX(Table1[[#This Row],[DiscountPct]],0),0.3), Table1[[#This Row],[DiscountPct]])</f>
        <v>0.151</v>
      </c>
      <c r="T144" t="str">
        <f>IF(OR(Table1[[#This Row],[DiscountPct]]&lt;0,Table1[[#This Row],[DiscountPct]]&gt;0.3),"Check","OK")</f>
        <v>OK</v>
      </c>
      <c r="U144" s="11">
        <v>0.151</v>
      </c>
      <c r="V144" s="15">
        <f t="shared" si="33"/>
        <v>0</v>
      </c>
      <c r="W144" s="11">
        <f t="shared" si="34"/>
        <v>9.5752037357079045E-2</v>
      </c>
      <c r="X144" s="17">
        <f t="shared" si="35"/>
        <v>29014.04</v>
      </c>
      <c r="Y144" s="17">
        <f t="shared" si="36"/>
        <v>3072.3358599999992</v>
      </c>
      <c r="Z144" s="17">
        <f t="shared" si="37"/>
        <v>32086.37586</v>
      </c>
      <c r="AA144" s="17" t="str">
        <f t="shared" si="38"/>
        <v>Q3-2023</v>
      </c>
      <c r="AB144" s="12" t="str">
        <f t="shared" si="39"/>
        <v>Jul-2023</v>
      </c>
      <c r="AC144" s="12" t="str">
        <f t="shared" si="40"/>
        <v>Medium</v>
      </c>
      <c r="AD144">
        <v>23</v>
      </c>
      <c r="AE144" s="12">
        <f>_xlfn.MINIFS(Table1[MonthDate], Table1[Country], Table1[[#This Row],[Country]])</f>
        <v>44927</v>
      </c>
      <c r="AF144" s="12">
        <f t="shared" si="41"/>
        <v>45108</v>
      </c>
      <c r="AG144">
        <f>AD144*(1 + Scenario_Control!$B$4)</f>
        <v>25.3</v>
      </c>
      <c r="AH144">
        <f>O144*(1 + Scenario_Control!$B$3)</f>
        <v>1324.5540000000001</v>
      </c>
      <c r="AI144">
        <f t="shared" si="42"/>
        <v>7059.0026892000014</v>
      </c>
      <c r="AJ144">
        <f t="shared" si="43"/>
        <v>-26452.2135108</v>
      </c>
      <c r="AK144" s="29">
        <f>MIN(Q144*(1-U144), Scenario_Control!$B$2*Q144)</f>
        <v>328.63600000000002</v>
      </c>
      <c r="AL144" s="15">
        <f t="shared" si="44"/>
        <v>0</v>
      </c>
      <c r="AM144" s="8">
        <f>DATEDIF(Table1[[#This Row],[Country_FirstMonth]], Table1[[#This Row],[MonthDate]], "m")</f>
        <v>6</v>
      </c>
    </row>
    <row r="145" spans="1:39" x14ac:dyDescent="0.25">
      <c r="A145" t="s">
        <v>158</v>
      </c>
      <c r="B145" s="12">
        <v>45458</v>
      </c>
      <c r="C145" s="12">
        <f t="shared" si="30"/>
        <v>45479</v>
      </c>
      <c r="D145" s="2" t="str">
        <f>IF(Table1[[#This Row],[RequiredDate]]&lt;Table1[[#This Row],[OrderDate]],"Check","OK")</f>
        <v>OK</v>
      </c>
      <c r="E145" s="2">
        <v>45479</v>
      </c>
      <c r="F145" s="15">
        <f t="shared" si="31"/>
        <v>21</v>
      </c>
      <c r="G145" t="s">
        <v>648</v>
      </c>
      <c r="H145" t="s">
        <v>653</v>
      </c>
      <c r="I145" t="s">
        <v>667</v>
      </c>
      <c r="J145" t="s">
        <v>706</v>
      </c>
      <c r="K145" t="s">
        <v>710</v>
      </c>
      <c r="L145" t="s">
        <v>716</v>
      </c>
      <c r="M145" t="s">
        <v>728</v>
      </c>
      <c r="N145" t="s">
        <v>877</v>
      </c>
      <c r="O145" s="29">
        <v>817.23</v>
      </c>
      <c r="P145" t="str">
        <f>IF(Table1[[#This Row],[UnitPrice]]&lt;=0,"Check","OK")</f>
        <v>OK</v>
      </c>
      <c r="Q145" s="29">
        <f t="shared" si="32"/>
        <v>1467.17</v>
      </c>
      <c r="R145">
        <v>1467.17</v>
      </c>
      <c r="S145" s="5">
        <f>IF(Table1[[#This Row],[Discount_Flag]]="Check", MIN(MAX(Table1[[#This Row],[DiscountPct]],0),0.3), Table1[[#This Row],[DiscountPct]])</f>
        <v>0.245</v>
      </c>
      <c r="T145" t="str">
        <f>IF(OR(Table1[[#This Row],[DiscountPct]]&lt;0,Table1[[#This Row],[DiscountPct]]&gt;0.3),"Check","OK")</f>
        <v>OK</v>
      </c>
      <c r="U145" s="11">
        <v>0.245</v>
      </c>
      <c r="V145" s="15">
        <f t="shared" si="33"/>
        <v>1</v>
      </c>
      <c r="W145" s="11">
        <f t="shared" si="34"/>
        <v>0.26223693160328893</v>
      </c>
      <c r="X145" s="17">
        <f t="shared" si="35"/>
        <v>7355.07</v>
      </c>
      <c r="Y145" s="17">
        <f t="shared" si="36"/>
        <v>2614.3501500000002</v>
      </c>
      <c r="Z145" s="17">
        <f t="shared" si="37"/>
        <v>9969.4201499999999</v>
      </c>
      <c r="AA145" s="17" t="str">
        <f t="shared" si="38"/>
        <v>Q2-2024</v>
      </c>
      <c r="AB145" s="12" t="str">
        <f t="shared" si="39"/>
        <v>Jun-2024</v>
      </c>
      <c r="AC145" s="12" t="str">
        <f t="shared" si="40"/>
        <v>Medium</v>
      </c>
      <c r="AD145">
        <v>9</v>
      </c>
      <c r="AE145" s="12">
        <f>_xlfn.MINIFS(Table1[MonthDate], Table1[Country], Table1[[#This Row],[Country]])</f>
        <v>44927</v>
      </c>
      <c r="AF145" s="12">
        <f t="shared" si="41"/>
        <v>45444</v>
      </c>
      <c r="AG145">
        <f>AD145*(1 + Scenario_Control!$B$4)</f>
        <v>9.9</v>
      </c>
      <c r="AH145">
        <f>O145*(1 + Scenario_Control!$B$3)</f>
        <v>858.09150000000011</v>
      </c>
      <c r="AI145">
        <f t="shared" si="42"/>
        <v>2193.2724330000001</v>
      </c>
      <c r="AJ145">
        <f t="shared" si="43"/>
        <v>-6301.8334170000016</v>
      </c>
      <c r="AK145" s="29">
        <f>MIN(Q145*(1-U145), Scenario_Control!$B$2*Q145)</f>
        <v>293.43400000000003</v>
      </c>
      <c r="AL145" s="15">
        <f t="shared" si="44"/>
        <v>0</v>
      </c>
      <c r="AM145" s="8">
        <f>DATEDIF(Table1[[#This Row],[Country_FirstMonth]], Table1[[#This Row],[MonthDate]], "m")</f>
        <v>17</v>
      </c>
    </row>
    <row r="146" spans="1:39" x14ac:dyDescent="0.25">
      <c r="A146" t="s">
        <v>159</v>
      </c>
      <c r="B146" s="12">
        <v>45112</v>
      </c>
      <c r="C146" s="12">
        <f t="shared" si="30"/>
        <v>45121</v>
      </c>
      <c r="D146" s="2" t="str">
        <f>IF(Table1[[#This Row],[RequiredDate]]&lt;Table1[[#This Row],[OrderDate]],"Check","OK")</f>
        <v>OK</v>
      </c>
      <c r="E146" s="2">
        <v>45121</v>
      </c>
      <c r="F146" s="15">
        <f t="shared" si="31"/>
        <v>9</v>
      </c>
      <c r="G146" t="s">
        <v>648</v>
      </c>
      <c r="H146" t="s">
        <v>655</v>
      </c>
      <c r="I146" t="s">
        <v>672</v>
      </c>
      <c r="J146" t="s">
        <v>706</v>
      </c>
      <c r="K146" t="s">
        <v>711</v>
      </c>
      <c r="L146" t="s">
        <v>717</v>
      </c>
      <c r="M146" t="s">
        <v>729</v>
      </c>
      <c r="N146" t="s">
        <v>878</v>
      </c>
      <c r="O146" s="29">
        <v>578.85</v>
      </c>
      <c r="P146" t="str">
        <f>IF(Table1[[#This Row],[UnitPrice]]&lt;=0,"Check","OK")</f>
        <v>OK</v>
      </c>
      <c r="Q146" s="29">
        <f t="shared" si="32"/>
        <v>998.76</v>
      </c>
      <c r="R146">
        <v>998.76</v>
      </c>
      <c r="S146" s="5">
        <f>IF(Table1[[#This Row],[Discount_Flag]]="Check", MIN(MAX(Table1[[#This Row],[DiscountPct]],0),0.3), Table1[[#This Row],[DiscountPct]])</f>
        <v>8.2000000000000003E-2</v>
      </c>
      <c r="T146" t="str">
        <f>IF(OR(Table1[[#This Row],[DiscountPct]]&lt;0,Table1[[#This Row],[DiscountPct]]&gt;0.3),"Check","OK")</f>
        <v>OK</v>
      </c>
      <c r="U146" s="11">
        <v>8.2000000000000003E-2</v>
      </c>
      <c r="V146" s="15">
        <f t="shared" si="33"/>
        <v>0</v>
      </c>
      <c r="W146" s="11">
        <f t="shared" si="34"/>
        <v>0.36866158480960831</v>
      </c>
      <c r="X146" s="17">
        <f t="shared" si="35"/>
        <v>16207.800000000001</v>
      </c>
      <c r="Y146" s="17">
        <f t="shared" si="36"/>
        <v>9464.3270399999983</v>
      </c>
      <c r="Z146" s="17">
        <f t="shared" si="37"/>
        <v>25672.127039999999</v>
      </c>
      <c r="AA146" s="17" t="str">
        <f t="shared" si="38"/>
        <v>Q3-2023</v>
      </c>
      <c r="AB146" s="12" t="str">
        <f t="shared" si="39"/>
        <v>Jul-2023</v>
      </c>
      <c r="AC146" s="12" t="str">
        <f t="shared" si="40"/>
        <v>Medium</v>
      </c>
      <c r="AD146">
        <v>28</v>
      </c>
      <c r="AE146" s="12">
        <f>_xlfn.MINIFS(Table1[MonthDate], Table1[Country], Table1[[#This Row],[Country]])</f>
        <v>44927</v>
      </c>
      <c r="AF146" s="12">
        <f t="shared" si="41"/>
        <v>45108</v>
      </c>
      <c r="AG146">
        <f>AD146*(1 + Scenario_Control!$B$4)</f>
        <v>30.800000000000004</v>
      </c>
      <c r="AH146">
        <f>O146*(1 + Scenario_Control!$B$3)</f>
        <v>607.79250000000002</v>
      </c>
      <c r="AI146">
        <f t="shared" si="42"/>
        <v>5647.8679488000016</v>
      </c>
      <c r="AJ146">
        <f t="shared" si="43"/>
        <v>-13072.1410512</v>
      </c>
      <c r="AK146" s="29">
        <f>MIN(Q146*(1-U146), Scenario_Control!$B$2*Q146)</f>
        <v>199.75200000000001</v>
      </c>
      <c r="AL146" s="15">
        <f t="shared" si="44"/>
        <v>0</v>
      </c>
      <c r="AM146" s="8">
        <f>DATEDIF(Table1[[#This Row],[Country_FirstMonth]], Table1[[#This Row],[MonthDate]], "m")</f>
        <v>6</v>
      </c>
    </row>
    <row r="147" spans="1:39" x14ac:dyDescent="0.25">
      <c r="A147" t="s">
        <v>160</v>
      </c>
      <c r="B147" s="12">
        <v>45260</v>
      </c>
      <c r="C147" s="12">
        <f t="shared" si="30"/>
        <v>45267</v>
      </c>
      <c r="D147" s="2" t="str">
        <f>IF(Table1[[#This Row],[RequiredDate]]&lt;Table1[[#This Row],[OrderDate]],"Check","OK")</f>
        <v>Check</v>
      </c>
      <c r="E147" s="2">
        <v>45259</v>
      </c>
      <c r="F147" s="15">
        <f t="shared" si="31"/>
        <v>7</v>
      </c>
      <c r="G147" t="s">
        <v>646</v>
      </c>
      <c r="H147" t="s">
        <v>661</v>
      </c>
      <c r="I147" t="s">
        <v>687</v>
      </c>
      <c r="J147" t="s">
        <v>705</v>
      </c>
      <c r="K147" t="s">
        <v>709</v>
      </c>
      <c r="L147" t="s">
        <v>718</v>
      </c>
      <c r="M147" t="s">
        <v>731</v>
      </c>
      <c r="N147" t="s">
        <v>879</v>
      </c>
      <c r="O147" s="29">
        <v>275.56</v>
      </c>
      <c r="P147" t="str">
        <f>IF(Table1[[#This Row],[UnitPrice]]&lt;=0,"Check","OK")</f>
        <v>OK</v>
      </c>
      <c r="Q147" s="29">
        <f t="shared" si="32"/>
        <v>630.72</v>
      </c>
      <c r="R147">
        <v>630.72</v>
      </c>
      <c r="S147" s="5">
        <f>IF(Table1[[#This Row],[Discount_Flag]]="Check", MIN(MAX(Table1[[#This Row],[DiscountPct]],0),0.3), Table1[[#This Row],[DiscountPct]])</f>
        <v>0.107</v>
      </c>
      <c r="T147" t="str">
        <f>IF(OR(Table1[[#This Row],[DiscountPct]]&lt;0,Table1[[#This Row],[DiscountPct]]&gt;0.3),"Check","OK")</f>
        <v>OK</v>
      </c>
      <c r="U147" s="11">
        <v>0.107</v>
      </c>
      <c r="V147" s="15">
        <f t="shared" si="33"/>
        <v>0</v>
      </c>
      <c r="W147" s="11">
        <f t="shared" si="34"/>
        <v>0.5107530638831933</v>
      </c>
      <c r="X147" s="17">
        <f t="shared" si="35"/>
        <v>6337.88</v>
      </c>
      <c r="Y147" s="17">
        <f t="shared" si="36"/>
        <v>6616.4780800000017</v>
      </c>
      <c r="Z147" s="17">
        <f t="shared" si="37"/>
        <v>12954.358080000002</v>
      </c>
      <c r="AA147" s="17" t="str">
        <f t="shared" si="38"/>
        <v>Q4-2023</v>
      </c>
      <c r="AB147" s="12" t="str">
        <f t="shared" si="39"/>
        <v>Nov-2023</v>
      </c>
      <c r="AC147" s="12" t="str">
        <f t="shared" si="40"/>
        <v>Medium</v>
      </c>
      <c r="AD147">
        <v>23</v>
      </c>
      <c r="AE147" s="12">
        <f>_xlfn.MINIFS(Table1[MonthDate], Table1[Country], Table1[[#This Row],[Country]])</f>
        <v>44927</v>
      </c>
      <c r="AF147" s="12">
        <f t="shared" si="41"/>
        <v>45231</v>
      </c>
      <c r="AG147">
        <f>AD147*(1 + Scenario_Control!$B$4)</f>
        <v>25.3</v>
      </c>
      <c r="AH147">
        <f>O147*(1 + Scenario_Control!$B$3)</f>
        <v>289.33800000000002</v>
      </c>
      <c r="AI147">
        <f t="shared" si="42"/>
        <v>2849.9587776000003</v>
      </c>
      <c r="AJ147">
        <f t="shared" si="43"/>
        <v>-4470.2926224000003</v>
      </c>
      <c r="AK147" s="29">
        <f>MIN(Q147*(1-U147), Scenario_Control!$B$2*Q147)</f>
        <v>126.14400000000001</v>
      </c>
      <c r="AL147" s="15">
        <f t="shared" si="44"/>
        <v>1</v>
      </c>
      <c r="AM147" s="8">
        <f>DATEDIF(Table1[[#This Row],[Country_FirstMonth]], Table1[[#This Row],[MonthDate]], "m")</f>
        <v>10</v>
      </c>
    </row>
    <row r="148" spans="1:39" x14ac:dyDescent="0.25">
      <c r="A148" t="s">
        <v>161</v>
      </c>
      <c r="B148" s="12">
        <v>45911</v>
      </c>
      <c r="C148" s="12">
        <f t="shared" si="30"/>
        <v>45928</v>
      </c>
      <c r="D148" s="2" t="str">
        <f>IF(Table1[[#This Row],[RequiredDate]]&lt;Table1[[#This Row],[OrderDate]],"Check","OK")</f>
        <v>OK</v>
      </c>
      <c r="E148" s="2">
        <v>45928</v>
      </c>
      <c r="F148" s="15">
        <f t="shared" si="31"/>
        <v>17</v>
      </c>
      <c r="G148" t="s">
        <v>646</v>
      </c>
      <c r="H148" t="s">
        <v>650</v>
      </c>
      <c r="I148" t="s">
        <v>664</v>
      </c>
      <c r="J148" t="s">
        <v>703</v>
      </c>
      <c r="K148" t="s">
        <v>710</v>
      </c>
      <c r="L148" t="s">
        <v>713</v>
      </c>
      <c r="M148" t="s">
        <v>731</v>
      </c>
      <c r="N148" t="s">
        <v>880</v>
      </c>
      <c r="O148" s="29">
        <v>891.46</v>
      </c>
      <c r="P148" t="str">
        <f>IF(Table1[[#This Row],[UnitPrice]]&lt;=0,"Check","OK")</f>
        <v>OK</v>
      </c>
      <c r="Q148" s="29">
        <f t="shared" si="32"/>
        <v>728.61</v>
      </c>
      <c r="R148">
        <v>728.61</v>
      </c>
      <c r="S148" s="5">
        <f>IF(Table1[[#This Row],[Discount_Flag]]="Check", MIN(MAX(Table1[[#This Row],[DiscountPct]],0),0.3), Table1[[#This Row],[DiscountPct]])</f>
        <v>0.185</v>
      </c>
      <c r="T148" t="str">
        <f>IF(OR(Table1[[#This Row],[DiscountPct]]&lt;0,Table1[[#This Row],[DiscountPct]]&gt;0.3),"Check","OK")</f>
        <v>OK</v>
      </c>
      <c r="U148" s="11">
        <v>0.185</v>
      </c>
      <c r="V148" s="15">
        <f t="shared" si="33"/>
        <v>0</v>
      </c>
      <c r="W148" s="11">
        <f t="shared" si="34"/>
        <v>-0.50123653383874167</v>
      </c>
      <c r="X148" s="17">
        <f t="shared" si="35"/>
        <v>5348.76</v>
      </c>
      <c r="Y148" s="17">
        <f t="shared" si="36"/>
        <v>-1785.8571000000006</v>
      </c>
      <c r="Z148" s="17">
        <f t="shared" si="37"/>
        <v>3562.9028999999996</v>
      </c>
      <c r="AA148" s="17" t="str">
        <f t="shared" si="38"/>
        <v>Q3-2025</v>
      </c>
      <c r="AB148" s="12" t="str">
        <f t="shared" si="39"/>
        <v>Sept-2025</v>
      </c>
      <c r="AC148" s="12" t="str">
        <f t="shared" si="40"/>
        <v>Medium</v>
      </c>
      <c r="AD148">
        <v>6</v>
      </c>
      <c r="AE148" s="12">
        <f>_xlfn.MINIFS(Table1[MonthDate], Table1[Country], Table1[[#This Row],[Country]])</f>
        <v>44927</v>
      </c>
      <c r="AF148" s="12">
        <f t="shared" si="41"/>
        <v>45901</v>
      </c>
      <c r="AG148">
        <f>AD148*(1 + Scenario_Control!$B$4)</f>
        <v>6.6000000000000005</v>
      </c>
      <c r="AH148">
        <f>O148*(1 + Scenario_Control!$B$3)</f>
        <v>936.03300000000013</v>
      </c>
      <c r="AI148">
        <f t="shared" si="42"/>
        <v>783.83863800000006</v>
      </c>
      <c r="AJ148">
        <f t="shared" si="43"/>
        <v>-5393.9791620000015</v>
      </c>
      <c r="AK148" s="29">
        <f>MIN(Q148*(1-U148), Scenario_Control!$B$2*Q148)</f>
        <v>145.72200000000001</v>
      </c>
      <c r="AL148" s="15">
        <f t="shared" si="44"/>
        <v>0</v>
      </c>
      <c r="AM148" s="8">
        <f>DATEDIF(Table1[[#This Row],[Country_FirstMonth]], Table1[[#This Row],[MonthDate]], "m")</f>
        <v>32</v>
      </c>
    </row>
    <row r="149" spans="1:39" x14ac:dyDescent="0.25">
      <c r="A149" t="s">
        <v>162</v>
      </c>
      <c r="B149" s="12">
        <v>45386</v>
      </c>
      <c r="C149" s="12">
        <f t="shared" si="30"/>
        <v>45406</v>
      </c>
      <c r="D149" s="2" t="str">
        <f>IF(Table1[[#This Row],[RequiredDate]]&lt;Table1[[#This Row],[OrderDate]],"Check","OK")</f>
        <v>OK</v>
      </c>
      <c r="E149" s="2">
        <v>45406</v>
      </c>
      <c r="F149" s="15">
        <f t="shared" si="31"/>
        <v>20</v>
      </c>
      <c r="G149" t="s">
        <v>649</v>
      </c>
      <c r="H149" t="s">
        <v>656</v>
      </c>
      <c r="I149" t="s">
        <v>698</v>
      </c>
      <c r="J149" t="s">
        <v>703</v>
      </c>
      <c r="K149" t="s">
        <v>711</v>
      </c>
      <c r="L149" t="s">
        <v>719</v>
      </c>
      <c r="M149" t="s">
        <v>733</v>
      </c>
      <c r="N149" t="s">
        <v>881</v>
      </c>
      <c r="O149" s="29">
        <v>683.42</v>
      </c>
      <c r="P149" t="str">
        <f>IF(Table1[[#This Row],[UnitPrice]]&lt;=0,"Check","OK")</f>
        <v>OK</v>
      </c>
      <c r="Q149" s="29">
        <f t="shared" si="32"/>
        <v>951.51</v>
      </c>
      <c r="R149">
        <v>951.51</v>
      </c>
      <c r="S149" s="5">
        <f>IF(Table1[[#This Row],[Discount_Flag]]="Check", MIN(MAX(Table1[[#This Row],[DiscountPct]],0),0.3), Table1[[#This Row],[DiscountPct]])</f>
        <v>0</v>
      </c>
      <c r="T149" t="str">
        <f>IF(OR(Table1[[#This Row],[DiscountPct]]&lt;0,Table1[[#This Row],[DiscountPct]]&gt;0.3),"Check","OK")</f>
        <v>OK</v>
      </c>
      <c r="U149" s="11">
        <v>0</v>
      </c>
      <c r="V149" s="15">
        <f t="shared" si="33"/>
        <v>0</v>
      </c>
      <c r="W149" s="11">
        <f t="shared" si="34"/>
        <v>0.28175216235247136</v>
      </c>
      <c r="X149" s="17">
        <f t="shared" si="35"/>
        <v>9567.8799999999992</v>
      </c>
      <c r="Y149" s="17">
        <f t="shared" si="36"/>
        <v>3753.26</v>
      </c>
      <c r="Z149" s="17">
        <f t="shared" si="37"/>
        <v>13321.14</v>
      </c>
      <c r="AA149" s="17" t="str">
        <f t="shared" si="38"/>
        <v>Q2-2024</v>
      </c>
      <c r="AB149" s="12" t="str">
        <f t="shared" si="39"/>
        <v>Apr-2024</v>
      </c>
      <c r="AC149" s="12" t="str">
        <f t="shared" si="40"/>
        <v>Medium</v>
      </c>
      <c r="AD149">
        <v>14</v>
      </c>
      <c r="AE149" s="12">
        <f>_xlfn.MINIFS(Table1[MonthDate], Table1[Country], Table1[[#This Row],[Country]])</f>
        <v>44927</v>
      </c>
      <c r="AF149" s="12">
        <f t="shared" si="41"/>
        <v>45383</v>
      </c>
      <c r="AG149">
        <f>AD149*(1 + Scenario_Control!$B$4)</f>
        <v>15.400000000000002</v>
      </c>
      <c r="AH149">
        <f>O149*(1 + Scenario_Control!$B$3)</f>
        <v>717.59100000000001</v>
      </c>
      <c r="AI149">
        <f t="shared" si="42"/>
        <v>2930.6508000000008</v>
      </c>
      <c r="AJ149">
        <f t="shared" si="43"/>
        <v>-8120.2506000000012</v>
      </c>
      <c r="AK149" s="29">
        <f>MIN(Q149*(1-U149), Scenario_Control!$B$2*Q149)</f>
        <v>190.30200000000002</v>
      </c>
      <c r="AL149" s="15">
        <f t="shared" si="44"/>
        <v>0</v>
      </c>
      <c r="AM149" s="8">
        <f>DATEDIF(Table1[[#This Row],[Country_FirstMonth]], Table1[[#This Row],[MonthDate]], "m")</f>
        <v>15</v>
      </c>
    </row>
    <row r="150" spans="1:39" x14ac:dyDescent="0.25">
      <c r="A150" t="s">
        <v>163</v>
      </c>
      <c r="B150" s="12">
        <v>45183</v>
      </c>
      <c r="C150" s="12">
        <f t="shared" si="30"/>
        <v>45185</v>
      </c>
      <c r="D150" s="2" t="str">
        <f>IF(Table1[[#This Row],[RequiredDate]]&lt;Table1[[#This Row],[OrderDate]],"Check","OK")</f>
        <v>OK</v>
      </c>
      <c r="E150" s="2">
        <v>45185</v>
      </c>
      <c r="F150" s="15">
        <f t="shared" si="31"/>
        <v>2</v>
      </c>
      <c r="G150" t="s">
        <v>649</v>
      </c>
      <c r="H150" t="s">
        <v>657</v>
      </c>
      <c r="I150" t="s">
        <v>679</v>
      </c>
      <c r="J150" t="s">
        <v>703</v>
      </c>
      <c r="K150" t="s">
        <v>711</v>
      </c>
      <c r="L150" t="s">
        <v>717</v>
      </c>
      <c r="M150" t="s">
        <v>728</v>
      </c>
      <c r="N150" t="s">
        <v>882</v>
      </c>
      <c r="O150" s="29">
        <v>376.83</v>
      </c>
      <c r="P150" t="str">
        <f>IF(Table1[[#This Row],[UnitPrice]]&lt;=0,"Check","OK")</f>
        <v>OK</v>
      </c>
      <c r="Q150" s="29">
        <f t="shared" si="32"/>
        <v>732.88</v>
      </c>
      <c r="R150">
        <v>732.88</v>
      </c>
      <c r="S150" s="5">
        <f>IF(Table1[[#This Row],[Discount_Flag]]="Check", MIN(MAX(Table1[[#This Row],[DiscountPct]],0),0.3), Table1[[#This Row],[DiscountPct]])</f>
        <v>0.188</v>
      </c>
      <c r="T150" t="str">
        <f>IF(OR(Table1[[#This Row],[DiscountPct]]&lt;0,Table1[[#This Row],[DiscountPct]]&gt;0.3),"Check","OK")</f>
        <v>OK</v>
      </c>
      <c r="U150" s="11">
        <v>0.188</v>
      </c>
      <c r="V150" s="15">
        <f t="shared" si="33"/>
        <v>0</v>
      </c>
      <c r="W150" s="11">
        <f t="shared" si="34"/>
        <v>0.36677716040852132</v>
      </c>
      <c r="X150" s="17">
        <f t="shared" si="35"/>
        <v>9420.75</v>
      </c>
      <c r="Y150" s="17">
        <f t="shared" si="36"/>
        <v>5456.7140000000018</v>
      </c>
      <c r="Z150" s="17">
        <f t="shared" si="37"/>
        <v>14877.464000000002</v>
      </c>
      <c r="AA150" s="17" t="str">
        <f t="shared" si="38"/>
        <v>Q3-2023</v>
      </c>
      <c r="AB150" s="12" t="str">
        <f t="shared" si="39"/>
        <v>Sept-2023</v>
      </c>
      <c r="AC150" s="12" t="str">
        <f t="shared" si="40"/>
        <v>Medium</v>
      </c>
      <c r="AD150">
        <v>25</v>
      </c>
      <c r="AE150" s="12">
        <f>_xlfn.MINIFS(Table1[MonthDate], Table1[Country], Table1[[#This Row],[Country]])</f>
        <v>44927</v>
      </c>
      <c r="AF150" s="12">
        <f t="shared" si="41"/>
        <v>45170</v>
      </c>
      <c r="AG150">
        <f>AD150*(1 + Scenario_Control!$B$4)</f>
        <v>27.500000000000004</v>
      </c>
      <c r="AH150">
        <f>O150*(1 + Scenario_Control!$B$3)</f>
        <v>395.67149999999998</v>
      </c>
      <c r="AI150">
        <f t="shared" si="42"/>
        <v>3273.0420800000002</v>
      </c>
      <c r="AJ150">
        <f t="shared" si="43"/>
        <v>-7607.9241700000011</v>
      </c>
      <c r="AK150" s="29">
        <f>MIN(Q150*(1-U150), Scenario_Control!$B$2*Q150)</f>
        <v>146.57599999999999</v>
      </c>
      <c r="AL150" s="15">
        <f t="shared" si="44"/>
        <v>1</v>
      </c>
      <c r="AM150" s="8">
        <f>DATEDIF(Table1[[#This Row],[Country_FirstMonth]], Table1[[#This Row],[MonthDate]], "m")</f>
        <v>8</v>
      </c>
    </row>
    <row r="151" spans="1:39" x14ac:dyDescent="0.25">
      <c r="A151" t="s">
        <v>164</v>
      </c>
      <c r="B151" s="12">
        <v>45558</v>
      </c>
      <c r="C151" s="12">
        <f t="shared" si="30"/>
        <v>45583</v>
      </c>
      <c r="D151" s="2" t="str">
        <f>IF(Table1[[#This Row],[RequiredDate]]&lt;Table1[[#This Row],[OrderDate]],"Check","OK")</f>
        <v>OK</v>
      </c>
      <c r="E151" s="2">
        <v>45583</v>
      </c>
      <c r="F151" s="15">
        <f t="shared" si="31"/>
        <v>25</v>
      </c>
      <c r="G151" t="s">
        <v>648</v>
      </c>
      <c r="H151" t="s">
        <v>653</v>
      </c>
      <c r="I151" t="s">
        <v>688</v>
      </c>
      <c r="J151" t="s">
        <v>705</v>
      </c>
      <c r="K151" t="s">
        <v>708</v>
      </c>
      <c r="L151" t="s">
        <v>725</v>
      </c>
      <c r="M151" t="s">
        <v>730</v>
      </c>
      <c r="N151" t="s">
        <v>883</v>
      </c>
      <c r="O151" s="29">
        <v>1297</v>
      </c>
      <c r="P151" t="str">
        <f>IF(Table1[[#This Row],[UnitPrice]]&lt;=0,"Check","OK")</f>
        <v>OK</v>
      </c>
      <c r="Q151" s="29">
        <f t="shared" si="32"/>
        <v>2411.52</v>
      </c>
      <c r="R151">
        <v>2411.52</v>
      </c>
      <c r="S151" s="5">
        <f>IF(Table1[[#This Row],[Discount_Flag]]="Check", MIN(MAX(Table1[[#This Row],[DiscountPct]],0),0.3), Table1[[#This Row],[DiscountPct]])</f>
        <v>2.1000000000000001E-2</v>
      </c>
      <c r="T151" t="str">
        <f>IF(OR(Table1[[#This Row],[DiscountPct]]&lt;0,Table1[[#This Row],[DiscountPct]]&gt;0.3),"Check","OK")</f>
        <v>OK</v>
      </c>
      <c r="U151" s="11">
        <v>2.1000000000000001E-2</v>
      </c>
      <c r="V151" s="15">
        <f t="shared" si="33"/>
        <v>0</v>
      </c>
      <c r="W151" s="11">
        <f t="shared" si="34"/>
        <v>0.45062813239385913</v>
      </c>
      <c r="X151" s="17">
        <f t="shared" si="35"/>
        <v>23346</v>
      </c>
      <c r="Y151" s="17">
        <f t="shared" si="36"/>
        <v>19149.805439999996</v>
      </c>
      <c r="Z151" s="17">
        <f t="shared" si="37"/>
        <v>42495.805439999996</v>
      </c>
      <c r="AA151" s="17" t="str">
        <f t="shared" si="38"/>
        <v>Q3-2024</v>
      </c>
      <c r="AB151" s="12" t="str">
        <f t="shared" si="39"/>
        <v>Sept-2024</v>
      </c>
      <c r="AC151" s="12" t="str">
        <f t="shared" si="40"/>
        <v>High</v>
      </c>
      <c r="AD151">
        <v>18</v>
      </c>
      <c r="AE151" s="12">
        <f>_xlfn.MINIFS(Table1[MonthDate], Table1[Country], Table1[[#This Row],[Country]])</f>
        <v>44927</v>
      </c>
      <c r="AF151" s="12">
        <f t="shared" si="41"/>
        <v>45536</v>
      </c>
      <c r="AG151">
        <f>AD151*(1 + Scenario_Control!$B$4)</f>
        <v>19.8</v>
      </c>
      <c r="AH151">
        <f>O151*(1 + Scenario_Control!$B$3)</f>
        <v>1361.8500000000001</v>
      </c>
      <c r="AI151">
        <f t="shared" si="42"/>
        <v>9349.0771968000008</v>
      </c>
      <c r="AJ151">
        <f t="shared" si="43"/>
        <v>-17615.552803200004</v>
      </c>
      <c r="AK151" s="29">
        <f>MIN(Q151*(1-U151), Scenario_Control!$B$2*Q151)</f>
        <v>482.30400000000003</v>
      </c>
      <c r="AL151" s="15">
        <f t="shared" si="44"/>
        <v>0</v>
      </c>
      <c r="AM151" s="8">
        <f>DATEDIF(Table1[[#This Row],[Country_FirstMonth]], Table1[[#This Row],[MonthDate]], "m")</f>
        <v>20</v>
      </c>
    </row>
    <row r="152" spans="1:39" x14ac:dyDescent="0.25">
      <c r="A152" t="s">
        <v>165</v>
      </c>
      <c r="B152" s="12">
        <v>45763</v>
      </c>
      <c r="C152" s="12">
        <f t="shared" si="30"/>
        <v>45793</v>
      </c>
      <c r="D152" s="2" t="str">
        <f>IF(Table1[[#This Row],[RequiredDate]]&lt;Table1[[#This Row],[OrderDate]],"Check","OK")</f>
        <v>OK</v>
      </c>
      <c r="E152" s="2">
        <v>45793</v>
      </c>
      <c r="F152" s="15">
        <f t="shared" si="31"/>
        <v>30</v>
      </c>
      <c r="G152" t="s">
        <v>648</v>
      </c>
      <c r="H152" t="s">
        <v>653</v>
      </c>
      <c r="I152" t="s">
        <v>681</v>
      </c>
      <c r="J152" t="s">
        <v>706</v>
      </c>
      <c r="K152" t="s">
        <v>710</v>
      </c>
      <c r="L152" t="s">
        <v>723</v>
      </c>
      <c r="M152" t="s">
        <v>728</v>
      </c>
      <c r="N152" t="s">
        <v>884</v>
      </c>
      <c r="O152" s="29">
        <v>763.32</v>
      </c>
      <c r="P152" t="str">
        <f>IF(Table1[[#This Row],[UnitPrice]]&lt;=0,"Check","OK")</f>
        <v>OK</v>
      </c>
      <c r="Q152" s="29">
        <f t="shared" si="32"/>
        <v>568.29</v>
      </c>
      <c r="R152">
        <v>568.29</v>
      </c>
      <c r="S152" s="5">
        <f>IF(Table1[[#This Row],[Discount_Flag]]="Check", MIN(MAX(Table1[[#This Row],[DiscountPct]],0),0.3), Table1[[#This Row],[DiscountPct]])</f>
        <v>0.13100000000000001</v>
      </c>
      <c r="T152" t="str">
        <f>IF(OR(Table1[[#This Row],[DiscountPct]]&lt;0,Table1[[#This Row],[DiscountPct]]&gt;0.3),"Check","OK")</f>
        <v>OK</v>
      </c>
      <c r="U152" s="11">
        <v>0.13100000000000001</v>
      </c>
      <c r="V152" s="15">
        <f t="shared" si="33"/>
        <v>0</v>
      </c>
      <c r="W152" s="11">
        <f t="shared" si="34"/>
        <v>-0.54567026134426555</v>
      </c>
      <c r="X152" s="17">
        <f t="shared" si="35"/>
        <v>12213.12</v>
      </c>
      <c r="Y152" s="17">
        <f t="shared" si="36"/>
        <v>-4311.6158400000013</v>
      </c>
      <c r="Z152" s="17">
        <f t="shared" si="37"/>
        <v>7901.5041599999995</v>
      </c>
      <c r="AA152" s="17" t="str">
        <f t="shared" si="38"/>
        <v>Q2-2025</v>
      </c>
      <c r="AB152" s="12" t="str">
        <f t="shared" si="39"/>
        <v>Apr-2025</v>
      </c>
      <c r="AC152" s="12" t="str">
        <f t="shared" si="40"/>
        <v>Low</v>
      </c>
      <c r="AD152">
        <v>16</v>
      </c>
      <c r="AE152" s="12">
        <f>_xlfn.MINIFS(Table1[MonthDate], Table1[Country], Table1[[#This Row],[Country]])</f>
        <v>44927</v>
      </c>
      <c r="AF152" s="12">
        <f t="shared" si="41"/>
        <v>45748</v>
      </c>
      <c r="AG152">
        <f>AD152*(1 + Scenario_Control!$B$4)</f>
        <v>17.600000000000001</v>
      </c>
      <c r="AH152">
        <f>O152*(1 + Scenario_Control!$B$3)</f>
        <v>801.4860000000001</v>
      </c>
      <c r="AI152">
        <f t="shared" si="42"/>
        <v>1738.3309152000002</v>
      </c>
      <c r="AJ152">
        <f t="shared" si="43"/>
        <v>-12367.822684800003</v>
      </c>
      <c r="AK152" s="29">
        <f>MIN(Q152*(1-U152), Scenario_Control!$B$2*Q152)</f>
        <v>113.658</v>
      </c>
      <c r="AL152" s="15">
        <f t="shared" si="44"/>
        <v>0</v>
      </c>
      <c r="AM152" s="8">
        <f>DATEDIF(Table1[[#This Row],[Country_FirstMonth]], Table1[[#This Row],[MonthDate]], "m")</f>
        <v>27</v>
      </c>
    </row>
    <row r="153" spans="1:39" x14ac:dyDescent="0.25">
      <c r="A153" t="s">
        <v>166</v>
      </c>
      <c r="B153" s="12">
        <v>45110</v>
      </c>
      <c r="C153" s="12">
        <f t="shared" si="30"/>
        <v>45130</v>
      </c>
      <c r="D153" s="2" t="str">
        <f>IF(Table1[[#This Row],[RequiredDate]]&lt;Table1[[#This Row],[OrderDate]],"Check","OK")</f>
        <v>OK</v>
      </c>
      <c r="E153" s="2">
        <v>45130</v>
      </c>
      <c r="F153" s="15">
        <f t="shared" si="31"/>
        <v>20</v>
      </c>
      <c r="G153" t="s">
        <v>646</v>
      </c>
      <c r="H153" t="s">
        <v>661</v>
      </c>
      <c r="I153" t="s">
        <v>682</v>
      </c>
      <c r="J153" t="s">
        <v>705</v>
      </c>
      <c r="K153" t="s">
        <v>710</v>
      </c>
      <c r="L153" t="s">
        <v>721</v>
      </c>
      <c r="M153" t="s">
        <v>731</v>
      </c>
      <c r="N153" t="s">
        <v>885</v>
      </c>
      <c r="O153" s="29">
        <v>1001.96</v>
      </c>
      <c r="P153" t="str">
        <f>IF(Table1[[#This Row],[UnitPrice]]&lt;=0,"Check","OK")</f>
        <v>OK</v>
      </c>
      <c r="Q153" s="29">
        <f t="shared" si="32"/>
        <v>1254.95</v>
      </c>
      <c r="R153">
        <v>1254.95</v>
      </c>
      <c r="S153" s="5">
        <f>IF(Table1[[#This Row],[Discount_Flag]]="Check", MIN(MAX(Table1[[#This Row],[DiscountPct]],0),0.3), Table1[[#This Row],[DiscountPct]])</f>
        <v>4.4999999999999998E-2</v>
      </c>
      <c r="T153" t="str">
        <f>IF(OR(Table1[[#This Row],[DiscountPct]]&lt;0,Table1[[#This Row],[DiscountPct]]&gt;0.3),"Check","OK")</f>
        <v>OK</v>
      </c>
      <c r="U153" s="11">
        <v>4.4999999999999998E-2</v>
      </c>
      <c r="V153" s="15">
        <f t="shared" si="33"/>
        <v>0</v>
      </c>
      <c r="W153" s="11">
        <f t="shared" si="34"/>
        <v>0.16397244920585699</v>
      </c>
      <c r="X153" s="17">
        <f t="shared" si="35"/>
        <v>18035.28</v>
      </c>
      <c r="Y153" s="17">
        <f t="shared" si="36"/>
        <v>3537.3105000000032</v>
      </c>
      <c r="Z153" s="17">
        <f t="shared" si="37"/>
        <v>21572.590500000002</v>
      </c>
      <c r="AA153" s="17" t="str">
        <f t="shared" si="38"/>
        <v>Q3-2023</v>
      </c>
      <c r="AB153" s="12" t="str">
        <f t="shared" si="39"/>
        <v>Jul-2023</v>
      </c>
      <c r="AC153" s="12" t="str">
        <f t="shared" si="40"/>
        <v>Medium</v>
      </c>
      <c r="AD153">
        <v>18</v>
      </c>
      <c r="AE153" s="12">
        <f>_xlfn.MINIFS(Table1[MonthDate], Table1[Country], Table1[[#This Row],[Country]])</f>
        <v>44927</v>
      </c>
      <c r="AF153" s="12">
        <f t="shared" si="41"/>
        <v>45108</v>
      </c>
      <c r="AG153">
        <f>AD153*(1 + Scenario_Control!$B$4)</f>
        <v>19.8</v>
      </c>
      <c r="AH153">
        <f>O153*(1 + Scenario_Control!$B$3)</f>
        <v>1052.058</v>
      </c>
      <c r="AI153">
        <f t="shared" si="42"/>
        <v>4745.9699100000007</v>
      </c>
      <c r="AJ153">
        <f t="shared" si="43"/>
        <v>-16084.778490000001</v>
      </c>
      <c r="AK153" s="29">
        <f>MIN(Q153*(1-U153), Scenario_Control!$B$2*Q153)</f>
        <v>250.99</v>
      </c>
      <c r="AL153" s="15">
        <f t="shared" si="44"/>
        <v>0</v>
      </c>
      <c r="AM153" s="8">
        <f>DATEDIF(Table1[[#This Row],[Country_FirstMonth]], Table1[[#This Row],[MonthDate]], "m")</f>
        <v>6</v>
      </c>
    </row>
    <row r="154" spans="1:39" x14ac:dyDescent="0.25">
      <c r="A154" t="s">
        <v>167</v>
      </c>
      <c r="B154" s="12">
        <v>45267</v>
      </c>
      <c r="C154" s="12">
        <f t="shared" si="30"/>
        <v>45274</v>
      </c>
      <c r="D154" s="2" t="str">
        <f>IF(Table1[[#This Row],[RequiredDate]]&lt;Table1[[#This Row],[OrderDate]],"Check","OK")</f>
        <v>Check</v>
      </c>
      <c r="E154" s="2">
        <v>45265</v>
      </c>
      <c r="F154" s="15">
        <f t="shared" si="31"/>
        <v>7</v>
      </c>
      <c r="G154" t="s">
        <v>647</v>
      </c>
      <c r="H154" t="s">
        <v>652</v>
      </c>
      <c r="I154" t="s">
        <v>689</v>
      </c>
      <c r="J154" t="s">
        <v>703</v>
      </c>
      <c r="K154" t="s">
        <v>709</v>
      </c>
      <c r="L154" t="s">
        <v>722</v>
      </c>
      <c r="M154" t="s">
        <v>728</v>
      </c>
      <c r="N154" t="s">
        <v>886</v>
      </c>
      <c r="O154" s="29">
        <v>1097.5899999999999</v>
      </c>
      <c r="P154" t="str">
        <f>IF(Table1[[#This Row],[UnitPrice]]&lt;=0,"Check","OK")</f>
        <v>OK</v>
      </c>
      <c r="Q154" s="29">
        <f t="shared" si="32"/>
        <v>845.55</v>
      </c>
      <c r="R154">
        <v>845.55</v>
      </c>
      <c r="S154" s="5">
        <f>IF(Table1[[#This Row],[Discount_Flag]]="Check", MIN(MAX(Table1[[#This Row],[DiscountPct]],0),0.3), Table1[[#This Row],[DiscountPct]])</f>
        <v>0.184</v>
      </c>
      <c r="T154" t="str">
        <f>IF(OR(Table1[[#This Row],[DiscountPct]]&lt;0,Table1[[#This Row],[DiscountPct]]&gt;0.3),"Check","OK")</f>
        <v>OK</v>
      </c>
      <c r="U154" s="11">
        <v>0.184</v>
      </c>
      <c r="V154" s="15">
        <f t="shared" si="33"/>
        <v>0</v>
      </c>
      <c r="W154" s="11">
        <f t="shared" si="34"/>
        <v>-0.59078207594314402</v>
      </c>
      <c r="X154" s="17">
        <f t="shared" si="35"/>
        <v>6585.5399999999991</v>
      </c>
      <c r="Y154" s="17">
        <f t="shared" si="36"/>
        <v>-2445.7271999999994</v>
      </c>
      <c r="Z154" s="17">
        <f t="shared" si="37"/>
        <v>4139.8127999999997</v>
      </c>
      <c r="AA154" s="17" t="str">
        <f t="shared" si="38"/>
        <v>Q4-2023</v>
      </c>
      <c r="AB154" s="12" t="str">
        <f t="shared" si="39"/>
        <v>Dec-2023</v>
      </c>
      <c r="AC154" s="12" t="str">
        <f t="shared" si="40"/>
        <v>Medium</v>
      </c>
      <c r="AD154">
        <v>6</v>
      </c>
      <c r="AE154" s="12">
        <f>_xlfn.MINIFS(Table1[MonthDate], Table1[Country], Table1[[#This Row],[Country]])</f>
        <v>44986</v>
      </c>
      <c r="AF154" s="12">
        <f t="shared" si="41"/>
        <v>45261</v>
      </c>
      <c r="AG154">
        <f>AD154*(1 + Scenario_Control!$B$4)</f>
        <v>6.6000000000000005</v>
      </c>
      <c r="AH154">
        <f>O154*(1 + Scenario_Control!$B$3)</f>
        <v>1152.4694999999999</v>
      </c>
      <c r="AI154">
        <f t="shared" si="42"/>
        <v>910.75881600000025</v>
      </c>
      <c r="AJ154">
        <f t="shared" si="43"/>
        <v>-6695.5398839999998</v>
      </c>
      <c r="AK154" s="29">
        <f>MIN(Q154*(1-U154), Scenario_Control!$B$2*Q154)</f>
        <v>169.11</v>
      </c>
      <c r="AL154" s="15">
        <f t="shared" si="44"/>
        <v>1</v>
      </c>
      <c r="AM154" s="8">
        <f>DATEDIF(Table1[[#This Row],[Country_FirstMonth]], Table1[[#This Row],[MonthDate]], "m")</f>
        <v>9</v>
      </c>
    </row>
    <row r="155" spans="1:39" x14ac:dyDescent="0.25">
      <c r="A155" t="s">
        <v>168</v>
      </c>
      <c r="B155" s="12">
        <v>45340</v>
      </c>
      <c r="C155" s="12">
        <f t="shared" si="30"/>
        <v>45355</v>
      </c>
      <c r="D155" s="2" t="str">
        <f>IF(Table1[[#This Row],[RequiredDate]]&lt;Table1[[#This Row],[OrderDate]],"Check","OK")</f>
        <v>OK</v>
      </c>
      <c r="E155" s="2">
        <v>45355</v>
      </c>
      <c r="F155" s="15">
        <f t="shared" si="31"/>
        <v>15</v>
      </c>
      <c r="G155" t="s">
        <v>646</v>
      </c>
      <c r="H155" t="s">
        <v>650</v>
      </c>
      <c r="I155" t="s">
        <v>662</v>
      </c>
      <c r="J155" t="s">
        <v>702</v>
      </c>
      <c r="K155" t="s">
        <v>711</v>
      </c>
      <c r="L155" t="s">
        <v>723</v>
      </c>
      <c r="M155" t="s">
        <v>728</v>
      </c>
      <c r="N155" t="s">
        <v>887</v>
      </c>
      <c r="O155" s="29">
        <v>928.68</v>
      </c>
      <c r="P155" t="str">
        <f>IF(Table1[[#This Row],[UnitPrice]]&lt;=0,"Check","OK")</f>
        <v>OK</v>
      </c>
      <c r="Q155" s="29">
        <f t="shared" si="32"/>
        <v>2145.17</v>
      </c>
      <c r="R155">
        <v>2145.17</v>
      </c>
      <c r="S155" s="5">
        <f>IF(Table1[[#This Row],[Discount_Flag]]="Check", MIN(MAX(Table1[[#This Row],[DiscountPct]],0),0.3), Table1[[#This Row],[DiscountPct]])</f>
        <v>0.13600000000000001</v>
      </c>
      <c r="T155" t="str">
        <f>IF(OR(Table1[[#This Row],[DiscountPct]]&lt;0,Table1[[#This Row],[DiscountPct]]&gt;0.3),"Check","OK")</f>
        <v>OK</v>
      </c>
      <c r="U155" s="11">
        <v>0.13600000000000001</v>
      </c>
      <c r="V155" s="15">
        <f t="shared" si="33"/>
        <v>0</v>
      </c>
      <c r="W155" s="11">
        <f t="shared" si="34"/>
        <v>0.49893896003062177</v>
      </c>
      <c r="X155" s="17">
        <f t="shared" si="35"/>
        <v>14858.88</v>
      </c>
      <c r="Y155" s="17">
        <f t="shared" si="36"/>
        <v>14795.950080000001</v>
      </c>
      <c r="Z155" s="17">
        <f t="shared" si="37"/>
        <v>29654.83008</v>
      </c>
      <c r="AA155" s="17" t="str">
        <f t="shared" si="38"/>
        <v>Q1-2024</v>
      </c>
      <c r="AB155" s="12" t="str">
        <f t="shared" si="39"/>
        <v>Feb-2024</v>
      </c>
      <c r="AC155" s="12" t="str">
        <f t="shared" si="40"/>
        <v>High</v>
      </c>
      <c r="AD155">
        <v>16</v>
      </c>
      <c r="AE155" s="12">
        <f>_xlfn.MINIFS(Table1[MonthDate], Table1[Country], Table1[[#This Row],[Country]])</f>
        <v>44927</v>
      </c>
      <c r="AF155" s="12">
        <f t="shared" si="41"/>
        <v>45323</v>
      </c>
      <c r="AG155">
        <f>AD155*(1 + Scenario_Control!$B$4)</f>
        <v>17.600000000000001</v>
      </c>
      <c r="AH155">
        <f>O155*(1 + Scenario_Control!$B$3)</f>
        <v>975.11400000000003</v>
      </c>
      <c r="AI155">
        <f t="shared" si="42"/>
        <v>6524.0626176000014</v>
      </c>
      <c r="AJ155">
        <f t="shared" si="43"/>
        <v>-10637.943782400002</v>
      </c>
      <c r="AK155" s="29">
        <f>MIN(Q155*(1-U155), Scenario_Control!$B$2*Q155)</f>
        <v>429.03400000000005</v>
      </c>
      <c r="AL155" s="15">
        <f t="shared" si="44"/>
        <v>0</v>
      </c>
      <c r="AM155" s="8">
        <f>DATEDIF(Table1[[#This Row],[Country_FirstMonth]], Table1[[#This Row],[MonthDate]], "m")</f>
        <v>13</v>
      </c>
    </row>
    <row r="156" spans="1:39" x14ac:dyDescent="0.25">
      <c r="A156" t="s">
        <v>169</v>
      </c>
      <c r="B156" s="12">
        <v>45230</v>
      </c>
      <c r="C156" s="12">
        <f t="shared" si="30"/>
        <v>45232</v>
      </c>
      <c r="D156" s="2" t="str">
        <f>IF(Table1[[#This Row],[RequiredDate]]&lt;Table1[[#This Row],[OrderDate]],"Check","OK")</f>
        <v>OK</v>
      </c>
      <c r="E156" s="2">
        <v>45232</v>
      </c>
      <c r="F156" s="15">
        <f t="shared" si="31"/>
        <v>2</v>
      </c>
      <c r="G156" t="s">
        <v>646</v>
      </c>
      <c r="H156" t="s">
        <v>650</v>
      </c>
      <c r="I156" t="s">
        <v>662</v>
      </c>
      <c r="J156" t="s">
        <v>702</v>
      </c>
      <c r="K156" t="s">
        <v>707</v>
      </c>
      <c r="L156" t="s">
        <v>719</v>
      </c>
      <c r="M156" t="s">
        <v>733</v>
      </c>
      <c r="N156" t="s">
        <v>888</v>
      </c>
      <c r="O156" s="29">
        <v>867.89</v>
      </c>
      <c r="P156" t="str">
        <f>IF(Table1[[#This Row],[UnitPrice]]&lt;=0,"Check","OK")</f>
        <v>OK</v>
      </c>
      <c r="Q156" s="29">
        <f t="shared" si="32"/>
        <v>1349.94</v>
      </c>
      <c r="R156">
        <v>1349.94</v>
      </c>
      <c r="S156" s="5">
        <f>IF(Table1[[#This Row],[Discount_Flag]]="Check", MIN(MAX(Table1[[#This Row],[DiscountPct]],0),0.3), Table1[[#This Row],[DiscountPct]])</f>
        <v>0.184</v>
      </c>
      <c r="T156" t="str">
        <f>IF(OR(Table1[[#This Row],[DiscountPct]]&lt;0,Table1[[#This Row],[DiscountPct]]&gt;0.3),"Check","OK")</f>
        <v>OK</v>
      </c>
      <c r="U156" s="11">
        <v>0.184</v>
      </c>
      <c r="V156" s="15">
        <f t="shared" si="33"/>
        <v>0</v>
      </c>
      <c r="W156" s="11">
        <f t="shared" si="34"/>
        <v>0.21212003031652557</v>
      </c>
      <c r="X156" s="17">
        <f t="shared" si="35"/>
        <v>8678.9</v>
      </c>
      <c r="Y156" s="17">
        <f t="shared" si="36"/>
        <v>2336.6104000000032</v>
      </c>
      <c r="Z156" s="17">
        <f t="shared" si="37"/>
        <v>11015.510400000003</v>
      </c>
      <c r="AA156" s="17" t="str">
        <f t="shared" si="38"/>
        <v>Q4-2023</v>
      </c>
      <c r="AB156" s="12" t="str">
        <f t="shared" si="39"/>
        <v>Oct-2023</v>
      </c>
      <c r="AC156" s="12" t="str">
        <f t="shared" si="40"/>
        <v>Medium</v>
      </c>
      <c r="AD156">
        <v>10</v>
      </c>
      <c r="AE156" s="12">
        <f>_xlfn.MINIFS(Table1[MonthDate], Table1[Country], Table1[[#This Row],[Country]])</f>
        <v>44927</v>
      </c>
      <c r="AF156" s="12">
        <f t="shared" si="41"/>
        <v>45200</v>
      </c>
      <c r="AG156">
        <f>AD156*(1 + Scenario_Control!$B$4)</f>
        <v>11</v>
      </c>
      <c r="AH156">
        <f>O156*(1 + Scenario_Control!$B$3)</f>
        <v>911.28449999999998</v>
      </c>
      <c r="AI156">
        <f t="shared" si="42"/>
        <v>2423.412288</v>
      </c>
      <c r="AJ156">
        <f t="shared" si="43"/>
        <v>-7600.7172119999996</v>
      </c>
      <c r="AK156" s="29">
        <f>MIN(Q156*(1-U156), Scenario_Control!$B$2*Q156)</f>
        <v>269.988</v>
      </c>
      <c r="AL156" s="15">
        <f t="shared" si="44"/>
        <v>1</v>
      </c>
      <c r="AM156" s="8">
        <f>DATEDIF(Table1[[#This Row],[Country_FirstMonth]], Table1[[#This Row],[MonthDate]], "m")</f>
        <v>9</v>
      </c>
    </row>
    <row r="157" spans="1:39" x14ac:dyDescent="0.25">
      <c r="A157" t="s">
        <v>170</v>
      </c>
      <c r="B157" s="12">
        <v>45511</v>
      </c>
      <c r="C157" s="12">
        <f t="shared" si="30"/>
        <v>45521</v>
      </c>
      <c r="D157" s="2" t="str">
        <f>IF(Table1[[#This Row],[RequiredDate]]&lt;Table1[[#This Row],[OrderDate]],"Check","OK")</f>
        <v>OK</v>
      </c>
      <c r="E157" s="2">
        <v>45521</v>
      </c>
      <c r="F157" s="15">
        <f t="shared" si="31"/>
        <v>10</v>
      </c>
      <c r="G157" t="s">
        <v>647</v>
      </c>
      <c r="H157" t="s">
        <v>652</v>
      </c>
      <c r="I157" t="s">
        <v>666</v>
      </c>
      <c r="J157" t="s">
        <v>704</v>
      </c>
      <c r="K157" t="s">
        <v>708</v>
      </c>
      <c r="L157" t="s">
        <v>723</v>
      </c>
      <c r="M157" t="s">
        <v>729</v>
      </c>
      <c r="N157" t="s">
        <v>889</v>
      </c>
      <c r="O157" s="29">
        <v>436.58</v>
      </c>
      <c r="P157" t="str">
        <f>IF(Table1[[#This Row],[UnitPrice]]&lt;=0,"Check","OK")</f>
        <v>OK</v>
      </c>
      <c r="Q157" s="29">
        <f t="shared" si="32"/>
        <v>527.48</v>
      </c>
      <c r="R157">
        <v>527.48</v>
      </c>
      <c r="S157" s="5">
        <f>IF(Table1[[#This Row],[Discount_Flag]]="Check", MIN(MAX(Table1[[#This Row],[DiscountPct]],0),0.3), Table1[[#This Row],[DiscountPct]])</f>
        <v>0.111</v>
      </c>
      <c r="T157" t="str">
        <f>IF(OR(Table1[[#This Row],[DiscountPct]]&lt;0,Table1[[#This Row],[DiscountPct]]&gt;0.3),"Check","OK")</f>
        <v>OK</v>
      </c>
      <c r="U157" s="11">
        <v>0.111</v>
      </c>
      <c r="V157" s="15">
        <f t="shared" si="33"/>
        <v>0</v>
      </c>
      <c r="W157" s="11">
        <f t="shared" si="34"/>
        <v>6.8986286473802644E-2</v>
      </c>
      <c r="X157" s="17">
        <f t="shared" si="35"/>
        <v>8295.02</v>
      </c>
      <c r="Y157" s="17">
        <f t="shared" si="36"/>
        <v>614.64468000000124</v>
      </c>
      <c r="Z157" s="17">
        <f t="shared" si="37"/>
        <v>8909.6646800000017</v>
      </c>
      <c r="AA157" s="17" t="str">
        <f t="shared" si="38"/>
        <v>Q3-2024</v>
      </c>
      <c r="AB157" s="12" t="str">
        <f t="shared" si="39"/>
        <v>Aug-2024</v>
      </c>
      <c r="AC157" s="12" t="str">
        <f t="shared" si="40"/>
        <v>Low</v>
      </c>
      <c r="AD157">
        <v>19</v>
      </c>
      <c r="AE157" s="12">
        <f>_xlfn.MINIFS(Table1[MonthDate], Table1[Country], Table1[[#This Row],[Country]])</f>
        <v>44986</v>
      </c>
      <c r="AF157" s="12">
        <f t="shared" si="41"/>
        <v>45505</v>
      </c>
      <c r="AG157">
        <f>AD157*(1 + Scenario_Control!$B$4)</f>
        <v>20.900000000000002</v>
      </c>
      <c r="AH157">
        <f>O157*(1 + Scenario_Control!$B$3)</f>
        <v>458.40899999999999</v>
      </c>
      <c r="AI157">
        <f t="shared" si="42"/>
        <v>1960.1262296000004</v>
      </c>
      <c r="AJ157">
        <f t="shared" si="43"/>
        <v>-7620.6218704000003</v>
      </c>
      <c r="AK157" s="29">
        <f>MIN(Q157*(1-U157), Scenario_Control!$B$2*Q157)</f>
        <v>105.49600000000001</v>
      </c>
      <c r="AL157" s="15">
        <f t="shared" si="44"/>
        <v>0</v>
      </c>
      <c r="AM157" s="8">
        <f>DATEDIF(Table1[[#This Row],[Country_FirstMonth]], Table1[[#This Row],[MonthDate]], "m")</f>
        <v>17</v>
      </c>
    </row>
    <row r="158" spans="1:39" x14ac:dyDescent="0.25">
      <c r="A158" t="s">
        <v>171</v>
      </c>
      <c r="B158" s="12">
        <v>45323</v>
      </c>
      <c r="C158" s="12">
        <f t="shared" si="30"/>
        <v>45343</v>
      </c>
      <c r="D158" s="2" t="str">
        <f>IF(Table1[[#This Row],[RequiredDate]]&lt;Table1[[#This Row],[OrderDate]],"Check","OK")</f>
        <v>OK</v>
      </c>
      <c r="E158" s="2">
        <v>45343</v>
      </c>
      <c r="F158" s="15">
        <f t="shared" si="31"/>
        <v>20</v>
      </c>
      <c r="G158" t="s">
        <v>649</v>
      </c>
      <c r="H158" t="s">
        <v>657</v>
      </c>
      <c r="I158" t="s">
        <v>690</v>
      </c>
      <c r="J158" t="s">
        <v>705</v>
      </c>
      <c r="K158" t="s">
        <v>709</v>
      </c>
      <c r="L158" t="s">
        <v>720</v>
      </c>
      <c r="M158" t="s">
        <v>729</v>
      </c>
      <c r="N158" t="s">
        <v>890</v>
      </c>
      <c r="O158" s="29">
        <v>656.2</v>
      </c>
      <c r="P158" t="str">
        <f>IF(Table1[[#This Row],[UnitPrice]]&lt;=0,"Check","OK")</f>
        <v>OK</v>
      </c>
      <c r="Q158" s="29">
        <f t="shared" si="32"/>
        <v>1467.17</v>
      </c>
      <c r="R158">
        <v>1467.17</v>
      </c>
      <c r="S158" s="5">
        <f>IF(Table1[[#This Row],[Discount_Flag]]="Check", MIN(MAX(Table1[[#This Row],[DiscountPct]],0),0.3), Table1[[#This Row],[DiscountPct]])</f>
        <v>1.7999999999999999E-2</v>
      </c>
      <c r="T158" t="str">
        <f>IF(OR(Table1[[#This Row],[DiscountPct]]&lt;0,Table1[[#This Row],[DiscountPct]]&gt;0.3),"Check","OK")</f>
        <v>OK</v>
      </c>
      <c r="U158" s="11">
        <v>1.7999999999999999E-2</v>
      </c>
      <c r="V158" s="15">
        <f t="shared" si="33"/>
        <v>0</v>
      </c>
      <c r="W158" s="11">
        <f t="shared" si="34"/>
        <v>0.54454623124360946</v>
      </c>
      <c r="X158" s="17">
        <f t="shared" si="35"/>
        <v>3281</v>
      </c>
      <c r="Y158" s="17">
        <f t="shared" si="36"/>
        <v>3922.8047000000006</v>
      </c>
      <c r="Z158" s="17">
        <f t="shared" si="37"/>
        <v>7203.8047000000006</v>
      </c>
      <c r="AA158" s="17" t="str">
        <f t="shared" si="38"/>
        <v>Q1-2024</v>
      </c>
      <c r="AB158" s="12" t="str">
        <f t="shared" si="39"/>
        <v>Feb-2024</v>
      </c>
      <c r="AC158" s="12" t="str">
        <f t="shared" si="40"/>
        <v>Medium</v>
      </c>
      <c r="AD158">
        <v>5</v>
      </c>
      <c r="AE158" s="12">
        <f>_xlfn.MINIFS(Table1[MonthDate], Table1[Country], Table1[[#This Row],[Country]])</f>
        <v>44927</v>
      </c>
      <c r="AF158" s="12">
        <f t="shared" si="41"/>
        <v>45323</v>
      </c>
      <c r="AG158">
        <f>AD158*(1 + Scenario_Control!$B$4)</f>
        <v>5.5</v>
      </c>
      <c r="AH158">
        <f>O158*(1 + Scenario_Control!$B$3)</f>
        <v>689.0100000000001</v>
      </c>
      <c r="AI158">
        <f t="shared" si="42"/>
        <v>1584.8370340000001</v>
      </c>
      <c r="AJ158">
        <f t="shared" si="43"/>
        <v>-2204.7179660000006</v>
      </c>
      <c r="AK158" s="29">
        <f>MIN(Q158*(1-U158), Scenario_Control!$B$2*Q158)</f>
        <v>293.43400000000003</v>
      </c>
      <c r="AL158" s="15">
        <f t="shared" si="44"/>
        <v>0</v>
      </c>
      <c r="AM158" s="8">
        <f>DATEDIF(Table1[[#This Row],[Country_FirstMonth]], Table1[[#This Row],[MonthDate]], "m")</f>
        <v>13</v>
      </c>
    </row>
    <row r="159" spans="1:39" x14ac:dyDescent="0.25">
      <c r="A159" t="s">
        <v>172</v>
      </c>
      <c r="B159" s="12">
        <v>45531</v>
      </c>
      <c r="C159" s="12">
        <f t="shared" si="30"/>
        <v>45553</v>
      </c>
      <c r="D159" s="2" t="str">
        <f>IF(Table1[[#This Row],[RequiredDate]]&lt;Table1[[#This Row],[OrderDate]],"Check","OK")</f>
        <v>OK</v>
      </c>
      <c r="E159" s="2">
        <v>45553</v>
      </c>
      <c r="F159" s="15">
        <f t="shared" si="31"/>
        <v>22</v>
      </c>
      <c r="G159" t="s">
        <v>647</v>
      </c>
      <c r="H159" t="s">
        <v>654</v>
      </c>
      <c r="I159" t="s">
        <v>680</v>
      </c>
      <c r="J159" t="s">
        <v>704</v>
      </c>
      <c r="K159" t="s">
        <v>711</v>
      </c>
      <c r="L159" t="s">
        <v>717</v>
      </c>
      <c r="M159" t="s">
        <v>727</v>
      </c>
      <c r="N159" t="s">
        <v>891</v>
      </c>
      <c r="O159" s="29">
        <v>896.75</v>
      </c>
      <c r="P159" t="str">
        <f>IF(Table1[[#This Row],[UnitPrice]]&lt;=0,"Check","OK")</f>
        <v>OK</v>
      </c>
      <c r="Q159" s="29">
        <f t="shared" si="32"/>
        <v>1651.14</v>
      </c>
      <c r="R159">
        <v>1651.14</v>
      </c>
      <c r="S159" s="5">
        <f>IF(Table1[[#This Row],[Discount_Flag]]="Check", MIN(MAX(Table1[[#This Row],[DiscountPct]],0),0.3), Table1[[#This Row],[DiscountPct]])</f>
        <v>2.5000000000000001E-2</v>
      </c>
      <c r="T159" t="str">
        <f>IF(OR(Table1[[#This Row],[DiscountPct]]&lt;0,Table1[[#This Row],[DiscountPct]]&gt;0.3),"Check","OK")</f>
        <v>OK</v>
      </c>
      <c r="U159" s="11">
        <v>2.5000000000000001E-2</v>
      </c>
      <c r="V159" s="15">
        <f t="shared" si="33"/>
        <v>0</v>
      </c>
      <c r="W159" s="11">
        <f t="shared" si="34"/>
        <v>0.44296450346815552</v>
      </c>
      <c r="X159" s="17">
        <f t="shared" si="35"/>
        <v>13451.25</v>
      </c>
      <c r="Y159" s="17">
        <f t="shared" si="36"/>
        <v>10696.672500000001</v>
      </c>
      <c r="Z159" s="17">
        <f t="shared" si="37"/>
        <v>24147.922500000001</v>
      </c>
      <c r="AA159" s="17" t="str">
        <f t="shared" si="38"/>
        <v>Q3-2024</v>
      </c>
      <c r="AB159" s="12" t="str">
        <f t="shared" si="39"/>
        <v>Aug-2024</v>
      </c>
      <c r="AC159" s="12" t="str">
        <f t="shared" si="40"/>
        <v>Medium</v>
      </c>
      <c r="AD159">
        <v>15</v>
      </c>
      <c r="AE159" s="12">
        <f>_xlfn.MINIFS(Table1[MonthDate], Table1[Country], Table1[[#This Row],[Country]])</f>
        <v>44927</v>
      </c>
      <c r="AF159" s="12">
        <f t="shared" si="41"/>
        <v>45505</v>
      </c>
      <c r="AG159">
        <f>AD159*(1 + Scenario_Control!$B$4)</f>
        <v>16.5</v>
      </c>
      <c r="AH159">
        <f>O159*(1 + Scenario_Control!$B$3)</f>
        <v>941.58750000000009</v>
      </c>
      <c r="AI159">
        <f t="shared" si="42"/>
        <v>5312.5429500000009</v>
      </c>
      <c r="AJ159">
        <f t="shared" si="43"/>
        <v>-10223.650800000001</v>
      </c>
      <c r="AK159" s="29">
        <f>MIN(Q159*(1-U159), Scenario_Control!$B$2*Q159)</f>
        <v>330.22800000000007</v>
      </c>
      <c r="AL159" s="15">
        <f t="shared" si="44"/>
        <v>0</v>
      </c>
      <c r="AM159" s="8">
        <f>DATEDIF(Table1[[#This Row],[Country_FirstMonth]], Table1[[#This Row],[MonthDate]], "m")</f>
        <v>19</v>
      </c>
    </row>
    <row r="160" spans="1:39" x14ac:dyDescent="0.25">
      <c r="A160" t="s">
        <v>173</v>
      </c>
      <c r="B160" s="12">
        <v>45703</v>
      </c>
      <c r="C160" s="12">
        <f t="shared" si="30"/>
        <v>45703</v>
      </c>
      <c r="D160" s="2" t="str">
        <f>IF(Table1[[#This Row],[RequiredDate]]&lt;Table1[[#This Row],[OrderDate]],"Check","OK")</f>
        <v>OK</v>
      </c>
      <c r="E160" s="2">
        <v>45703</v>
      </c>
      <c r="F160" s="15">
        <f t="shared" si="31"/>
        <v>0</v>
      </c>
      <c r="G160" t="s">
        <v>649</v>
      </c>
      <c r="H160" t="s">
        <v>656</v>
      </c>
      <c r="I160" t="s">
        <v>698</v>
      </c>
      <c r="J160" t="s">
        <v>705</v>
      </c>
      <c r="K160" t="s">
        <v>709</v>
      </c>
      <c r="L160" t="s">
        <v>716</v>
      </c>
      <c r="M160" t="s">
        <v>733</v>
      </c>
      <c r="N160" t="s">
        <v>892</v>
      </c>
      <c r="O160" s="29">
        <v>815.83</v>
      </c>
      <c r="P160" t="str">
        <f>IF(Table1[[#This Row],[UnitPrice]]&lt;=0,"Check","OK")</f>
        <v>OK</v>
      </c>
      <c r="Q160" s="29">
        <f t="shared" si="32"/>
        <v>1982.18</v>
      </c>
      <c r="R160">
        <v>1982.18</v>
      </c>
      <c r="S160" s="5">
        <f>IF(Table1[[#This Row],[Discount_Flag]]="Check", MIN(MAX(Table1[[#This Row],[DiscountPct]],0),0.3), Table1[[#This Row],[DiscountPct]])</f>
        <v>0.127</v>
      </c>
      <c r="T160" t="str">
        <f>IF(OR(Table1[[#This Row],[DiscountPct]]&lt;0,Table1[[#This Row],[DiscountPct]]&gt;0.3),"Check","OK")</f>
        <v>OK</v>
      </c>
      <c r="U160" s="11">
        <v>0.127</v>
      </c>
      <c r="V160" s="15">
        <f t="shared" si="33"/>
        <v>0</v>
      </c>
      <c r="W160" s="11">
        <f t="shared" si="34"/>
        <v>0.52854272923408507</v>
      </c>
      <c r="X160" s="17">
        <f t="shared" si="35"/>
        <v>4894.9800000000005</v>
      </c>
      <c r="Y160" s="17">
        <f t="shared" si="36"/>
        <v>5487.6788399999996</v>
      </c>
      <c r="Z160" s="17">
        <f t="shared" si="37"/>
        <v>10382.65884</v>
      </c>
      <c r="AA160" s="17" t="str">
        <f t="shared" si="38"/>
        <v>Q1-2025</v>
      </c>
      <c r="AB160" s="12" t="str">
        <f t="shared" si="39"/>
        <v>Feb-2025</v>
      </c>
      <c r="AC160" s="12" t="str">
        <f t="shared" si="40"/>
        <v>High</v>
      </c>
      <c r="AD160">
        <v>6</v>
      </c>
      <c r="AE160" s="12">
        <f>_xlfn.MINIFS(Table1[MonthDate], Table1[Country], Table1[[#This Row],[Country]])</f>
        <v>44927</v>
      </c>
      <c r="AF160" s="12">
        <f t="shared" si="41"/>
        <v>45689</v>
      </c>
      <c r="AG160">
        <f>AD160*(1 + Scenario_Control!$B$4)</f>
        <v>6.6000000000000005</v>
      </c>
      <c r="AH160">
        <f>O160*(1 + Scenario_Control!$B$3)</f>
        <v>856.62150000000008</v>
      </c>
      <c r="AI160">
        <f t="shared" si="42"/>
        <v>2284.1849448000007</v>
      </c>
      <c r="AJ160">
        <f t="shared" si="43"/>
        <v>-3369.5169552000002</v>
      </c>
      <c r="AK160" s="29">
        <f>MIN(Q160*(1-U160), Scenario_Control!$B$2*Q160)</f>
        <v>396.43600000000004</v>
      </c>
      <c r="AL160" s="15">
        <f t="shared" si="44"/>
        <v>1</v>
      </c>
      <c r="AM160" s="8">
        <f>DATEDIF(Table1[[#This Row],[Country_FirstMonth]], Table1[[#This Row],[MonthDate]], "m")</f>
        <v>25</v>
      </c>
    </row>
    <row r="161" spans="1:39" x14ac:dyDescent="0.25">
      <c r="A161" t="s">
        <v>174</v>
      </c>
      <c r="B161" s="12">
        <v>45870</v>
      </c>
      <c r="C161" s="12">
        <f t="shared" si="30"/>
        <v>45890</v>
      </c>
      <c r="D161" s="2" t="str">
        <f>IF(Table1[[#This Row],[RequiredDate]]&lt;Table1[[#This Row],[OrderDate]],"Check","OK")</f>
        <v>OK</v>
      </c>
      <c r="E161" s="2">
        <v>45890</v>
      </c>
      <c r="F161" s="15">
        <f t="shared" si="31"/>
        <v>20</v>
      </c>
      <c r="G161" t="s">
        <v>647</v>
      </c>
      <c r="H161" t="s">
        <v>659</v>
      </c>
      <c r="I161" t="s">
        <v>685</v>
      </c>
      <c r="J161" t="s">
        <v>701</v>
      </c>
      <c r="K161" t="s">
        <v>711</v>
      </c>
      <c r="L161" t="s">
        <v>714</v>
      </c>
      <c r="M161" t="s">
        <v>730</v>
      </c>
      <c r="N161" t="s">
        <v>893</v>
      </c>
      <c r="O161" s="29">
        <v>1220.4100000000001</v>
      </c>
      <c r="P161" t="str">
        <f>IF(Table1[[#This Row],[UnitPrice]]&lt;=0,"Check","OK")</f>
        <v>OK</v>
      </c>
      <c r="Q161" s="29">
        <f t="shared" si="32"/>
        <v>2552.2199999999998</v>
      </c>
      <c r="R161">
        <v>2552.2199999999998</v>
      </c>
      <c r="S161" s="5">
        <f>IF(Table1[[#This Row],[Discount_Flag]]="Check", MIN(MAX(Table1[[#This Row],[DiscountPct]],0),0.3), Table1[[#This Row],[DiscountPct]])</f>
        <v>0.18099999999999999</v>
      </c>
      <c r="T161" t="str">
        <f>IF(OR(Table1[[#This Row],[DiscountPct]]&lt;0,Table1[[#This Row],[DiscountPct]]&gt;0.3),"Check","OK")</f>
        <v>OK</v>
      </c>
      <c r="U161" s="11">
        <v>0.18099999999999999</v>
      </c>
      <c r="V161" s="15">
        <f t="shared" si="33"/>
        <v>0</v>
      </c>
      <c r="W161" s="11">
        <f t="shared" si="34"/>
        <v>0.41614668793360271</v>
      </c>
      <c r="X161" s="17">
        <f t="shared" si="35"/>
        <v>17085.740000000002</v>
      </c>
      <c r="Y161" s="17">
        <f t="shared" si="36"/>
        <v>12178.014519999993</v>
      </c>
      <c r="Z161" s="17">
        <f t="shared" si="37"/>
        <v>29263.754519999995</v>
      </c>
      <c r="AA161" s="17" t="str">
        <f t="shared" si="38"/>
        <v>Q3-2025</v>
      </c>
      <c r="AB161" s="12" t="str">
        <f t="shared" si="39"/>
        <v>Aug-2025</v>
      </c>
      <c r="AC161" s="12" t="str">
        <f t="shared" si="40"/>
        <v>High</v>
      </c>
      <c r="AD161">
        <v>14</v>
      </c>
      <c r="AE161" s="12">
        <f>_xlfn.MINIFS(Table1[MonthDate], Table1[Country], Table1[[#This Row],[Country]])</f>
        <v>44927</v>
      </c>
      <c r="AF161" s="12">
        <f t="shared" si="41"/>
        <v>45870</v>
      </c>
      <c r="AG161">
        <f>AD161*(1 + Scenario_Control!$B$4)</f>
        <v>15.400000000000002</v>
      </c>
      <c r="AH161">
        <f>O161*(1 + Scenario_Control!$B$3)</f>
        <v>1281.4305000000002</v>
      </c>
      <c r="AI161">
        <f t="shared" si="42"/>
        <v>6438.0259943999999</v>
      </c>
      <c r="AJ161">
        <f t="shared" si="43"/>
        <v>-13296.003705600007</v>
      </c>
      <c r="AK161" s="29">
        <f>MIN(Q161*(1-U161), Scenario_Control!$B$2*Q161)</f>
        <v>510.44399999999996</v>
      </c>
      <c r="AL161" s="15">
        <f t="shared" si="44"/>
        <v>0</v>
      </c>
      <c r="AM161" s="8">
        <f>DATEDIF(Table1[[#This Row],[Country_FirstMonth]], Table1[[#This Row],[MonthDate]], "m")</f>
        <v>31</v>
      </c>
    </row>
    <row r="162" spans="1:39" x14ac:dyDescent="0.25">
      <c r="A162" t="s">
        <v>175</v>
      </c>
      <c r="B162" s="12">
        <v>44977</v>
      </c>
      <c r="C162" s="12">
        <f t="shared" si="30"/>
        <v>44989</v>
      </c>
      <c r="D162" s="2" t="str">
        <f>IF(Table1[[#This Row],[RequiredDate]]&lt;Table1[[#This Row],[OrderDate]],"Check","OK")</f>
        <v>OK</v>
      </c>
      <c r="E162" s="2">
        <v>44989</v>
      </c>
      <c r="F162" s="15">
        <f t="shared" si="31"/>
        <v>12</v>
      </c>
      <c r="G162" t="s">
        <v>647</v>
      </c>
      <c r="H162" t="s">
        <v>654</v>
      </c>
      <c r="I162" t="s">
        <v>680</v>
      </c>
      <c r="J162" t="s">
        <v>704</v>
      </c>
      <c r="K162" t="s">
        <v>710</v>
      </c>
      <c r="L162" t="s">
        <v>724</v>
      </c>
      <c r="M162" t="s">
        <v>732</v>
      </c>
      <c r="N162" t="s">
        <v>894</v>
      </c>
      <c r="O162" s="29">
        <v>299.75</v>
      </c>
      <c r="P162" t="str">
        <f>IF(Table1[[#This Row],[UnitPrice]]&lt;=0,"Check","OK")</f>
        <v>OK</v>
      </c>
      <c r="Q162" s="29">
        <f t="shared" si="32"/>
        <v>523.01</v>
      </c>
      <c r="R162">
        <v>523.01</v>
      </c>
      <c r="S162" s="5">
        <f>IF(Table1[[#This Row],[Discount_Flag]]="Check", MIN(MAX(Table1[[#This Row],[DiscountPct]],0),0.3), Table1[[#This Row],[DiscountPct]])</f>
        <v>0.157</v>
      </c>
      <c r="T162" t="str">
        <f>IF(OR(Table1[[#This Row],[DiscountPct]]&lt;0,Table1[[#This Row],[DiscountPct]]&gt;0.3),"Check","OK")</f>
        <v>OK</v>
      </c>
      <c r="U162" s="11">
        <v>0.157</v>
      </c>
      <c r="V162" s="15">
        <f t="shared" si="33"/>
        <v>0</v>
      </c>
      <c r="W162" s="11">
        <f t="shared" si="34"/>
        <v>0.32013665854210122</v>
      </c>
      <c r="X162" s="17">
        <f t="shared" si="35"/>
        <v>14987.5</v>
      </c>
      <c r="Y162" s="17">
        <f t="shared" si="36"/>
        <v>7057.3714999999975</v>
      </c>
      <c r="Z162" s="17">
        <f t="shared" si="37"/>
        <v>22044.871499999997</v>
      </c>
      <c r="AA162" s="17" t="str">
        <f t="shared" si="38"/>
        <v>Q1-2023</v>
      </c>
      <c r="AB162" s="12" t="str">
        <f t="shared" si="39"/>
        <v>Feb-2023</v>
      </c>
      <c r="AC162" s="12" t="str">
        <f t="shared" si="40"/>
        <v>Low</v>
      </c>
      <c r="AD162">
        <v>50</v>
      </c>
      <c r="AE162" s="12">
        <f>_xlfn.MINIFS(Table1[MonthDate], Table1[Country], Table1[[#This Row],[Country]])</f>
        <v>44927</v>
      </c>
      <c r="AF162" s="12">
        <f t="shared" si="41"/>
        <v>44958</v>
      </c>
      <c r="AG162">
        <f>AD162*(1 + Scenario_Control!$B$4)</f>
        <v>55.000000000000007</v>
      </c>
      <c r="AH162">
        <f>O162*(1 + Scenario_Control!$B$3)</f>
        <v>314.73750000000001</v>
      </c>
      <c r="AI162">
        <f t="shared" si="42"/>
        <v>4849.8717300000008</v>
      </c>
      <c r="AJ162">
        <f t="shared" si="43"/>
        <v>-12460.690770000003</v>
      </c>
      <c r="AK162" s="29">
        <f>MIN(Q162*(1-U162), Scenario_Control!$B$2*Q162)</f>
        <v>104.602</v>
      </c>
      <c r="AL162" s="15">
        <f t="shared" si="44"/>
        <v>0</v>
      </c>
      <c r="AM162" s="8">
        <f>DATEDIF(Table1[[#This Row],[Country_FirstMonth]], Table1[[#This Row],[MonthDate]], "m")</f>
        <v>1</v>
      </c>
    </row>
    <row r="163" spans="1:39" x14ac:dyDescent="0.25">
      <c r="A163" t="s">
        <v>176</v>
      </c>
      <c r="B163" s="12">
        <v>45595</v>
      </c>
      <c r="C163" s="12">
        <f t="shared" si="30"/>
        <v>45620</v>
      </c>
      <c r="D163" s="2" t="str">
        <f>IF(Table1[[#This Row],[RequiredDate]]&lt;Table1[[#This Row],[OrderDate]],"Check","OK")</f>
        <v>OK</v>
      </c>
      <c r="E163" s="2">
        <v>45620</v>
      </c>
      <c r="F163" s="15">
        <f t="shared" si="31"/>
        <v>25</v>
      </c>
      <c r="G163" t="s">
        <v>647</v>
      </c>
      <c r="H163" t="s">
        <v>659</v>
      </c>
      <c r="I163" t="s">
        <v>676</v>
      </c>
      <c r="J163" t="s">
        <v>705</v>
      </c>
      <c r="K163" t="s">
        <v>708</v>
      </c>
      <c r="L163" t="s">
        <v>718</v>
      </c>
      <c r="M163" t="s">
        <v>727</v>
      </c>
      <c r="N163" t="s">
        <v>895</v>
      </c>
      <c r="O163" s="29">
        <v>811.05</v>
      </c>
      <c r="P163" t="str">
        <f>IF(Table1[[#This Row],[UnitPrice]]&lt;=0,"Check","OK")</f>
        <v>OK</v>
      </c>
      <c r="Q163" s="29">
        <f t="shared" si="32"/>
        <v>1217.71</v>
      </c>
      <c r="R163">
        <v>1217.71</v>
      </c>
      <c r="S163" s="5">
        <f>IF(Table1[[#This Row],[Discount_Flag]]="Check", MIN(MAX(Table1[[#This Row],[DiscountPct]],0),0.3), Table1[[#This Row],[DiscountPct]])</f>
        <v>7.1999999999999995E-2</v>
      </c>
      <c r="T163" t="str">
        <f>IF(OR(Table1[[#This Row],[DiscountPct]]&lt;0,Table1[[#This Row],[DiscountPct]]&gt;0.3),"Check","OK")</f>
        <v>OK</v>
      </c>
      <c r="U163" s="11">
        <v>7.1999999999999995E-2</v>
      </c>
      <c r="V163" s="15">
        <f t="shared" si="33"/>
        <v>0</v>
      </c>
      <c r="W163" s="11">
        <f t="shared" si="34"/>
        <v>0.28227879125288602</v>
      </c>
      <c r="X163" s="17">
        <f t="shared" si="35"/>
        <v>4055.25</v>
      </c>
      <c r="Y163" s="17">
        <f t="shared" si="36"/>
        <v>1594.9244000000008</v>
      </c>
      <c r="Z163" s="17">
        <f t="shared" si="37"/>
        <v>5650.1744000000008</v>
      </c>
      <c r="AA163" s="17" t="str">
        <f t="shared" si="38"/>
        <v>Q4-2024</v>
      </c>
      <c r="AB163" s="12" t="str">
        <f t="shared" si="39"/>
        <v>Oct-2024</v>
      </c>
      <c r="AC163" s="12" t="str">
        <f t="shared" si="40"/>
        <v>Medium</v>
      </c>
      <c r="AD163">
        <v>5</v>
      </c>
      <c r="AE163" s="12">
        <f>_xlfn.MINIFS(Table1[MonthDate], Table1[Country], Table1[[#This Row],[Country]])</f>
        <v>44927</v>
      </c>
      <c r="AF163" s="12">
        <f t="shared" si="41"/>
        <v>45566</v>
      </c>
      <c r="AG163">
        <f>AD163*(1 + Scenario_Control!$B$4)</f>
        <v>5.5</v>
      </c>
      <c r="AH163">
        <f>O163*(1 + Scenario_Control!$B$3)</f>
        <v>851.60249999999996</v>
      </c>
      <c r="AI163">
        <f t="shared" si="42"/>
        <v>1243.0383680000002</v>
      </c>
      <c r="AJ163">
        <f t="shared" si="43"/>
        <v>-3440.7753819999989</v>
      </c>
      <c r="AK163" s="29">
        <f>MIN(Q163*(1-U163), Scenario_Control!$B$2*Q163)</f>
        <v>243.54200000000003</v>
      </c>
      <c r="AL163" s="15">
        <f t="shared" si="44"/>
        <v>0</v>
      </c>
      <c r="AM163" s="8">
        <f>DATEDIF(Table1[[#This Row],[Country_FirstMonth]], Table1[[#This Row],[MonthDate]], "m")</f>
        <v>21</v>
      </c>
    </row>
    <row r="164" spans="1:39" x14ac:dyDescent="0.25">
      <c r="A164" t="s">
        <v>177</v>
      </c>
      <c r="B164" s="12">
        <v>45385</v>
      </c>
      <c r="C164" s="12">
        <f t="shared" si="30"/>
        <v>45389</v>
      </c>
      <c r="D164" s="2" t="str">
        <f>IF(Table1[[#This Row],[RequiredDate]]&lt;Table1[[#This Row],[OrderDate]],"Check","OK")</f>
        <v>OK</v>
      </c>
      <c r="E164" s="2">
        <v>45389</v>
      </c>
      <c r="F164" s="15">
        <f t="shared" si="31"/>
        <v>4</v>
      </c>
      <c r="G164" t="s">
        <v>648</v>
      </c>
      <c r="H164" t="s">
        <v>655</v>
      </c>
      <c r="I164" t="s">
        <v>672</v>
      </c>
      <c r="J164" t="s">
        <v>703</v>
      </c>
      <c r="K164" t="s">
        <v>711</v>
      </c>
      <c r="L164" t="s">
        <v>725</v>
      </c>
      <c r="M164" t="s">
        <v>730</v>
      </c>
      <c r="N164" t="s">
        <v>896</v>
      </c>
      <c r="O164" s="29">
        <v>1023.27</v>
      </c>
      <c r="P164" t="str">
        <f>IF(Table1[[#This Row],[UnitPrice]]&lt;=0,"Check","OK")</f>
        <v>OK</v>
      </c>
      <c r="Q164" s="29">
        <f t="shared" si="32"/>
        <v>1343.64</v>
      </c>
      <c r="R164">
        <v>1343.64</v>
      </c>
      <c r="S164" s="5">
        <f>IF(Table1[[#This Row],[Discount_Flag]]="Check", MIN(MAX(Table1[[#This Row],[DiscountPct]],0),0.3), Table1[[#This Row],[DiscountPct]])</f>
        <v>0.13300000000000001</v>
      </c>
      <c r="T164" t="str">
        <f>IF(OR(Table1[[#This Row],[DiscountPct]]&lt;0,Table1[[#This Row],[DiscountPct]]&gt;0.3),"Check","OK")</f>
        <v>OK</v>
      </c>
      <c r="U164" s="11">
        <v>0.13300000000000001</v>
      </c>
      <c r="V164" s="15">
        <f t="shared" si="33"/>
        <v>0</v>
      </c>
      <c r="W164" s="11">
        <f t="shared" si="34"/>
        <v>0.12160830688810116</v>
      </c>
      <c r="X164" s="17">
        <f t="shared" si="35"/>
        <v>7162.8899999999994</v>
      </c>
      <c r="Y164" s="17">
        <f t="shared" si="36"/>
        <v>991.66116000000147</v>
      </c>
      <c r="Z164" s="17">
        <f t="shared" si="37"/>
        <v>8154.5511600000009</v>
      </c>
      <c r="AA164" s="17" t="str">
        <f t="shared" si="38"/>
        <v>Q2-2024</v>
      </c>
      <c r="AB164" s="12" t="str">
        <f t="shared" si="39"/>
        <v>Apr-2024</v>
      </c>
      <c r="AC164" s="12" t="str">
        <f t="shared" si="40"/>
        <v>Medium</v>
      </c>
      <c r="AD164">
        <v>7</v>
      </c>
      <c r="AE164" s="12">
        <f>_xlfn.MINIFS(Table1[MonthDate], Table1[Country], Table1[[#This Row],[Country]])</f>
        <v>44927</v>
      </c>
      <c r="AF164" s="12">
        <f t="shared" si="41"/>
        <v>45383</v>
      </c>
      <c r="AG164">
        <f>AD164*(1 + Scenario_Control!$B$4)</f>
        <v>7.7000000000000011</v>
      </c>
      <c r="AH164">
        <f>O164*(1 + Scenario_Control!$B$3)</f>
        <v>1074.4335000000001</v>
      </c>
      <c r="AI164">
        <f t="shared" si="42"/>
        <v>1794.0012552000003</v>
      </c>
      <c r="AJ164">
        <f t="shared" si="43"/>
        <v>-6479.1366948000014</v>
      </c>
      <c r="AK164" s="29">
        <f>MIN(Q164*(1-U164), Scenario_Control!$B$2*Q164)</f>
        <v>268.72800000000001</v>
      </c>
      <c r="AL164" s="15">
        <f t="shared" si="44"/>
        <v>1</v>
      </c>
      <c r="AM164" s="8">
        <f>DATEDIF(Table1[[#This Row],[Country_FirstMonth]], Table1[[#This Row],[MonthDate]], "m")</f>
        <v>15</v>
      </c>
    </row>
    <row r="165" spans="1:39" x14ac:dyDescent="0.25">
      <c r="A165" t="s">
        <v>178</v>
      </c>
      <c r="B165" s="12">
        <v>45010</v>
      </c>
      <c r="C165" s="12">
        <f t="shared" si="30"/>
        <v>45011</v>
      </c>
      <c r="D165" s="2" t="str">
        <f>IF(Table1[[#This Row],[RequiredDate]]&lt;Table1[[#This Row],[OrderDate]],"Check","OK")</f>
        <v>OK</v>
      </c>
      <c r="E165" s="2">
        <v>45011</v>
      </c>
      <c r="F165" s="15">
        <f t="shared" si="31"/>
        <v>1</v>
      </c>
      <c r="G165" t="s">
        <v>647</v>
      </c>
      <c r="H165" t="s">
        <v>652</v>
      </c>
      <c r="I165" t="s">
        <v>666</v>
      </c>
      <c r="J165" t="s">
        <v>705</v>
      </c>
      <c r="K165" t="s">
        <v>710</v>
      </c>
      <c r="L165" t="s">
        <v>714</v>
      </c>
      <c r="M165" t="s">
        <v>732</v>
      </c>
      <c r="N165" t="s">
        <v>897</v>
      </c>
      <c r="O165" s="29">
        <v>135.12</v>
      </c>
      <c r="P165" t="str">
        <f>IF(Table1[[#This Row],[UnitPrice]]&lt;=0,"Check","OK")</f>
        <v>OK</v>
      </c>
      <c r="Q165" s="29">
        <f t="shared" si="32"/>
        <v>301.7</v>
      </c>
      <c r="R165">
        <v>301.7</v>
      </c>
      <c r="S165" s="5">
        <f>IF(Table1[[#This Row],[Discount_Flag]]="Check", MIN(MAX(Table1[[#This Row],[DiscountPct]],0),0.3), Table1[[#This Row],[DiscountPct]])</f>
        <v>0.14000000000000001</v>
      </c>
      <c r="T165" t="str">
        <f>IF(OR(Table1[[#This Row],[DiscountPct]]&lt;0,Table1[[#This Row],[DiscountPct]]&gt;0.3),"Check","OK")</f>
        <v>OK</v>
      </c>
      <c r="U165" s="11">
        <v>0.14000000000000001</v>
      </c>
      <c r="V165" s="15">
        <f t="shared" si="33"/>
        <v>0</v>
      </c>
      <c r="W165" s="11">
        <f t="shared" si="34"/>
        <v>0.47923009920527859</v>
      </c>
      <c r="X165" s="17">
        <f t="shared" si="35"/>
        <v>6350.64</v>
      </c>
      <c r="Y165" s="17">
        <f t="shared" si="36"/>
        <v>5844.0739999999996</v>
      </c>
      <c r="Z165" s="17">
        <f t="shared" si="37"/>
        <v>12194.714</v>
      </c>
      <c r="AA165" s="17" t="str">
        <f t="shared" si="38"/>
        <v>Q1-2023</v>
      </c>
      <c r="AB165" s="12" t="str">
        <f t="shared" si="39"/>
        <v>Mar-2023</v>
      </c>
      <c r="AC165" s="12" t="str">
        <f t="shared" si="40"/>
        <v>Low</v>
      </c>
      <c r="AD165">
        <v>47</v>
      </c>
      <c r="AE165" s="12">
        <f>_xlfn.MINIFS(Table1[MonthDate], Table1[Country], Table1[[#This Row],[Country]])</f>
        <v>44986</v>
      </c>
      <c r="AF165" s="12">
        <f t="shared" si="41"/>
        <v>44986</v>
      </c>
      <c r="AG165">
        <f>AD165*(1 + Scenario_Control!$B$4)</f>
        <v>51.7</v>
      </c>
      <c r="AH165">
        <f>O165*(1 + Scenario_Control!$B$3)</f>
        <v>141.876</v>
      </c>
      <c r="AI165">
        <f t="shared" si="42"/>
        <v>2682.8370800000002</v>
      </c>
      <c r="AJ165">
        <f t="shared" si="43"/>
        <v>-4652.1521200000007</v>
      </c>
      <c r="AK165" s="29">
        <f>MIN(Q165*(1-U165), Scenario_Control!$B$2*Q165)</f>
        <v>60.34</v>
      </c>
      <c r="AL165" s="15">
        <f t="shared" si="44"/>
        <v>1</v>
      </c>
      <c r="AM165" s="8">
        <f>DATEDIF(Table1[[#This Row],[Country_FirstMonth]], Table1[[#This Row],[MonthDate]], "m")</f>
        <v>0</v>
      </c>
    </row>
    <row r="166" spans="1:39" x14ac:dyDescent="0.25">
      <c r="A166" t="s">
        <v>179</v>
      </c>
      <c r="B166" s="12">
        <v>45447</v>
      </c>
      <c r="C166" s="12">
        <f t="shared" si="30"/>
        <v>45459</v>
      </c>
      <c r="D166" s="2" t="str">
        <f>IF(Table1[[#This Row],[RequiredDate]]&lt;Table1[[#This Row],[OrderDate]],"Check","OK")</f>
        <v>OK</v>
      </c>
      <c r="E166" s="2">
        <v>45459</v>
      </c>
      <c r="F166" s="15">
        <f t="shared" si="31"/>
        <v>12</v>
      </c>
      <c r="G166" t="s">
        <v>647</v>
      </c>
      <c r="H166" t="s">
        <v>659</v>
      </c>
      <c r="I166" t="s">
        <v>685</v>
      </c>
      <c r="J166" t="s">
        <v>701</v>
      </c>
      <c r="K166" t="s">
        <v>707</v>
      </c>
      <c r="L166" t="s">
        <v>713</v>
      </c>
      <c r="M166" t="s">
        <v>728</v>
      </c>
      <c r="N166" t="s">
        <v>898</v>
      </c>
      <c r="O166" s="29">
        <v>918.42</v>
      </c>
      <c r="P166" t="str">
        <f>IF(Table1[[#This Row],[UnitPrice]]&lt;=0,"Check","OK")</f>
        <v>OK</v>
      </c>
      <c r="Q166" s="29">
        <f t="shared" si="32"/>
        <v>1511.71</v>
      </c>
      <c r="R166">
        <v>1511.71</v>
      </c>
      <c r="S166" s="5">
        <f>IF(Table1[[#This Row],[Discount_Flag]]="Check", MIN(MAX(Table1[[#This Row],[DiscountPct]],0),0.3), Table1[[#This Row],[DiscountPct]])</f>
        <v>0.02</v>
      </c>
      <c r="T166" t="str">
        <f>IF(OR(Table1[[#This Row],[DiscountPct]]&lt;0,Table1[[#This Row],[DiscountPct]]&gt;0.3),"Check","OK")</f>
        <v>OK</v>
      </c>
      <c r="U166" s="11">
        <v>0.02</v>
      </c>
      <c r="V166" s="15">
        <f t="shared" si="33"/>
        <v>0</v>
      </c>
      <c r="W166" s="11">
        <f t="shared" si="34"/>
        <v>0.38006412254590999</v>
      </c>
      <c r="X166" s="17">
        <f t="shared" si="35"/>
        <v>7347.36</v>
      </c>
      <c r="Y166" s="17">
        <f t="shared" si="36"/>
        <v>4504.4463999999998</v>
      </c>
      <c r="Z166" s="17">
        <f t="shared" si="37"/>
        <v>11851.806399999999</v>
      </c>
      <c r="AA166" s="17" t="str">
        <f t="shared" si="38"/>
        <v>Q2-2024</v>
      </c>
      <c r="AB166" s="12" t="str">
        <f t="shared" si="39"/>
        <v>Jun-2024</v>
      </c>
      <c r="AC166" s="12" t="str">
        <f t="shared" si="40"/>
        <v>Medium</v>
      </c>
      <c r="AD166">
        <v>8</v>
      </c>
      <c r="AE166" s="12">
        <f>_xlfn.MINIFS(Table1[MonthDate], Table1[Country], Table1[[#This Row],[Country]])</f>
        <v>44927</v>
      </c>
      <c r="AF166" s="12">
        <f t="shared" si="41"/>
        <v>45444</v>
      </c>
      <c r="AG166">
        <f>AD166*(1 + Scenario_Control!$B$4)</f>
        <v>8.8000000000000007</v>
      </c>
      <c r="AH166">
        <f>O166*(1 + Scenario_Control!$B$3)</f>
        <v>964.34100000000001</v>
      </c>
      <c r="AI166">
        <f t="shared" si="42"/>
        <v>2607.3974080000007</v>
      </c>
      <c r="AJ166">
        <f t="shared" si="43"/>
        <v>-5878.8033919999998</v>
      </c>
      <c r="AK166" s="29">
        <f>MIN(Q166*(1-U166), Scenario_Control!$B$2*Q166)</f>
        <v>302.34200000000004</v>
      </c>
      <c r="AL166" s="15">
        <f t="shared" si="44"/>
        <v>0</v>
      </c>
      <c r="AM166" s="8">
        <f>DATEDIF(Table1[[#This Row],[Country_FirstMonth]], Table1[[#This Row],[MonthDate]], "m")</f>
        <v>17</v>
      </c>
    </row>
    <row r="167" spans="1:39" x14ac:dyDescent="0.25">
      <c r="A167" t="s">
        <v>180</v>
      </c>
      <c r="B167" s="12">
        <v>44976</v>
      </c>
      <c r="C167" s="12">
        <f t="shared" si="30"/>
        <v>44997</v>
      </c>
      <c r="D167" s="2" t="str">
        <f>IF(Table1[[#This Row],[RequiredDate]]&lt;Table1[[#This Row],[OrderDate]],"Check","OK")</f>
        <v>OK</v>
      </c>
      <c r="E167" s="2">
        <v>44997</v>
      </c>
      <c r="F167" s="15">
        <f t="shared" si="31"/>
        <v>21</v>
      </c>
      <c r="G167" t="s">
        <v>649</v>
      </c>
      <c r="H167" t="s">
        <v>656</v>
      </c>
      <c r="I167" t="s">
        <v>671</v>
      </c>
      <c r="J167" t="s">
        <v>705</v>
      </c>
      <c r="K167" t="s">
        <v>711</v>
      </c>
      <c r="L167" t="s">
        <v>716</v>
      </c>
      <c r="M167" t="s">
        <v>732</v>
      </c>
      <c r="N167" t="s">
        <v>899</v>
      </c>
      <c r="O167" s="29">
        <v>1234.81</v>
      </c>
      <c r="P167" t="str">
        <f>IF(Table1[[#This Row],[UnitPrice]]&lt;=0,"Check","OK")</f>
        <v>OK</v>
      </c>
      <c r="Q167" s="29">
        <f t="shared" si="32"/>
        <v>2055.2399999999998</v>
      </c>
      <c r="R167">
        <v>2055.2399999999998</v>
      </c>
      <c r="S167" s="5">
        <f>IF(Table1[[#This Row],[Discount_Flag]]="Check", MIN(MAX(Table1[[#This Row],[DiscountPct]],0),0.3), Table1[[#This Row],[DiscountPct]])</f>
        <v>5.2999999999999999E-2</v>
      </c>
      <c r="T167" t="str">
        <f>IF(OR(Table1[[#This Row],[DiscountPct]]&lt;0,Table1[[#This Row],[DiscountPct]]&gt;0.3),"Check","OK")</f>
        <v>OK</v>
      </c>
      <c r="U167" s="11">
        <v>5.2999999999999999E-2</v>
      </c>
      <c r="V167" s="15">
        <f t="shared" si="33"/>
        <v>0</v>
      </c>
      <c r="W167" s="11">
        <f t="shared" si="34"/>
        <v>0.36556429680441616</v>
      </c>
      <c r="X167" s="17">
        <f t="shared" si="35"/>
        <v>54331.64</v>
      </c>
      <c r="Y167" s="17">
        <f t="shared" si="36"/>
        <v>31306.100319999998</v>
      </c>
      <c r="Z167" s="17">
        <f t="shared" si="37"/>
        <v>85637.740319999997</v>
      </c>
      <c r="AA167" s="17" t="str">
        <f t="shared" si="38"/>
        <v>Q1-2023</v>
      </c>
      <c r="AB167" s="12" t="str">
        <f t="shared" si="39"/>
        <v>Feb-2023</v>
      </c>
      <c r="AC167" s="12" t="str">
        <f t="shared" si="40"/>
        <v>High</v>
      </c>
      <c r="AD167">
        <v>44</v>
      </c>
      <c r="AE167" s="12">
        <f>_xlfn.MINIFS(Table1[MonthDate], Table1[Country], Table1[[#This Row],[Country]])</f>
        <v>44927</v>
      </c>
      <c r="AF167" s="12">
        <f t="shared" si="41"/>
        <v>44958</v>
      </c>
      <c r="AG167">
        <f>AD167*(1 + Scenario_Control!$B$4)</f>
        <v>48.400000000000006</v>
      </c>
      <c r="AH167">
        <f>O167*(1 + Scenario_Control!$B$3)</f>
        <v>1296.5505000000001</v>
      </c>
      <c r="AI167">
        <f t="shared" si="42"/>
        <v>18840.302870400003</v>
      </c>
      <c r="AJ167">
        <f t="shared" si="43"/>
        <v>-43912.741329600009</v>
      </c>
      <c r="AK167" s="29">
        <f>MIN(Q167*(1-U167), Scenario_Control!$B$2*Q167)</f>
        <v>411.048</v>
      </c>
      <c r="AL167" s="15">
        <f t="shared" si="44"/>
        <v>0</v>
      </c>
      <c r="AM167" s="8">
        <f>DATEDIF(Table1[[#This Row],[Country_FirstMonth]], Table1[[#This Row],[MonthDate]], "m")</f>
        <v>1</v>
      </c>
    </row>
    <row r="168" spans="1:39" x14ac:dyDescent="0.25">
      <c r="A168" t="s">
        <v>181</v>
      </c>
      <c r="B168" s="12">
        <v>45034</v>
      </c>
      <c r="C168" s="12">
        <f t="shared" si="30"/>
        <v>45064</v>
      </c>
      <c r="D168" s="2" t="str">
        <f>IF(Table1[[#This Row],[RequiredDate]]&lt;Table1[[#This Row],[OrderDate]],"Check","OK")</f>
        <v>OK</v>
      </c>
      <c r="E168" s="2">
        <v>45064</v>
      </c>
      <c r="F168" s="15">
        <f t="shared" si="31"/>
        <v>30</v>
      </c>
      <c r="G168" t="s">
        <v>647</v>
      </c>
      <c r="H168" t="s">
        <v>659</v>
      </c>
      <c r="I168" t="s">
        <v>676</v>
      </c>
      <c r="J168" t="s">
        <v>703</v>
      </c>
      <c r="K168" t="s">
        <v>707</v>
      </c>
      <c r="L168" t="s">
        <v>722</v>
      </c>
      <c r="M168" t="s">
        <v>731</v>
      </c>
      <c r="N168" t="s">
        <v>900</v>
      </c>
      <c r="O168" s="29">
        <v>329.03</v>
      </c>
      <c r="P168" t="str">
        <f>IF(Table1[[#This Row],[UnitPrice]]&lt;=0,"Check","OK")</f>
        <v>OK</v>
      </c>
      <c r="Q168" s="29">
        <f t="shared" si="32"/>
        <v>391.15</v>
      </c>
      <c r="R168">
        <v>391.15</v>
      </c>
      <c r="S168" s="5">
        <f>IF(Table1[[#This Row],[Discount_Flag]]="Check", MIN(MAX(Table1[[#This Row],[DiscountPct]],0),0.3), Table1[[#This Row],[DiscountPct]])</f>
        <v>0.19700000000000001</v>
      </c>
      <c r="T168" t="str">
        <f>IF(OR(Table1[[#This Row],[DiscountPct]]&lt;0,Table1[[#This Row],[DiscountPct]]&gt;0.3),"Check","OK")</f>
        <v>OK</v>
      </c>
      <c r="U168" s="11">
        <v>0.19700000000000001</v>
      </c>
      <c r="V168" s="15">
        <f t="shared" si="33"/>
        <v>0</v>
      </c>
      <c r="W168" s="11">
        <f t="shared" si="34"/>
        <v>-4.7554477815440081E-2</v>
      </c>
      <c r="X168" s="17">
        <f t="shared" si="35"/>
        <v>15135.38</v>
      </c>
      <c r="Y168" s="17">
        <f t="shared" si="36"/>
        <v>-687.08130000000165</v>
      </c>
      <c r="Z168" s="17">
        <f t="shared" si="37"/>
        <v>14448.298699999998</v>
      </c>
      <c r="AA168" s="17" t="str">
        <f t="shared" si="38"/>
        <v>Q2-2023</v>
      </c>
      <c r="AB168" s="12" t="str">
        <f t="shared" si="39"/>
        <v>Apr-2023</v>
      </c>
      <c r="AC168" s="12" t="str">
        <f t="shared" si="40"/>
        <v>Low</v>
      </c>
      <c r="AD168">
        <v>46</v>
      </c>
      <c r="AE168" s="12">
        <f>_xlfn.MINIFS(Table1[MonthDate], Table1[Country], Table1[[#This Row],[Country]])</f>
        <v>44927</v>
      </c>
      <c r="AF168" s="12">
        <f t="shared" si="41"/>
        <v>45017</v>
      </c>
      <c r="AG168">
        <f>AD168*(1 + Scenario_Control!$B$4)</f>
        <v>50.6</v>
      </c>
      <c r="AH168">
        <f>O168*(1 + Scenario_Control!$B$3)</f>
        <v>345.48149999999998</v>
      </c>
      <c r="AI168">
        <f t="shared" si="42"/>
        <v>3178.6257139999998</v>
      </c>
      <c r="AJ168">
        <f t="shared" si="43"/>
        <v>-14302.738186</v>
      </c>
      <c r="AK168" s="29">
        <f>MIN(Q168*(1-U168), Scenario_Control!$B$2*Q168)</f>
        <v>78.23</v>
      </c>
      <c r="AL168" s="15">
        <f t="shared" si="44"/>
        <v>0</v>
      </c>
      <c r="AM168" s="8">
        <f>DATEDIF(Table1[[#This Row],[Country_FirstMonth]], Table1[[#This Row],[MonthDate]], "m")</f>
        <v>3</v>
      </c>
    </row>
    <row r="169" spans="1:39" x14ac:dyDescent="0.25">
      <c r="A169" t="s">
        <v>182</v>
      </c>
      <c r="B169" s="12">
        <v>45435</v>
      </c>
      <c r="C169" s="12">
        <f t="shared" si="30"/>
        <v>45457</v>
      </c>
      <c r="D169" s="2" t="str">
        <f>IF(Table1[[#This Row],[RequiredDate]]&lt;Table1[[#This Row],[OrderDate]],"Check","OK")</f>
        <v>OK</v>
      </c>
      <c r="E169" s="2">
        <v>45457</v>
      </c>
      <c r="F169" s="15">
        <f t="shared" si="31"/>
        <v>22</v>
      </c>
      <c r="G169" t="s">
        <v>649</v>
      </c>
      <c r="H169" t="s">
        <v>657</v>
      </c>
      <c r="I169" t="s">
        <v>673</v>
      </c>
      <c r="J169" t="s">
        <v>705</v>
      </c>
      <c r="K169" t="s">
        <v>708</v>
      </c>
      <c r="L169" t="s">
        <v>725</v>
      </c>
      <c r="M169" t="s">
        <v>732</v>
      </c>
      <c r="N169" t="s">
        <v>901</v>
      </c>
      <c r="O169" s="29">
        <v>1481.74</v>
      </c>
      <c r="P169" t="str">
        <f>IF(Table1[[#This Row],[UnitPrice]]&lt;=0,"Check","OK")</f>
        <v>OK</v>
      </c>
      <c r="Q169" s="29">
        <f t="shared" si="32"/>
        <v>1848.97</v>
      </c>
      <c r="R169">
        <v>1848.97</v>
      </c>
      <c r="S169" s="5">
        <f>IF(Table1[[#This Row],[Discount_Flag]]="Check", MIN(MAX(Table1[[#This Row],[DiscountPct]],0),0.3), Table1[[#This Row],[DiscountPct]])</f>
        <v>0.254</v>
      </c>
      <c r="T169" t="str">
        <f>IF(OR(Table1[[#This Row],[DiscountPct]]&lt;0,Table1[[#This Row],[DiscountPct]]&gt;0.3),"Check","OK")</f>
        <v>OK</v>
      </c>
      <c r="U169" s="11">
        <v>0.254</v>
      </c>
      <c r="V169" s="15">
        <f t="shared" si="33"/>
        <v>1</v>
      </c>
      <c r="W169" s="11">
        <f t="shared" si="34"/>
        <v>-7.4244930309072407E-2</v>
      </c>
      <c r="X169" s="17">
        <f t="shared" si="35"/>
        <v>13335.66</v>
      </c>
      <c r="Y169" s="17">
        <f t="shared" si="36"/>
        <v>-921.67541999999958</v>
      </c>
      <c r="Z169" s="17">
        <f t="shared" si="37"/>
        <v>12413.98458</v>
      </c>
      <c r="AA169" s="17" t="str">
        <f t="shared" si="38"/>
        <v>Q2-2024</v>
      </c>
      <c r="AB169" s="12" t="str">
        <f t="shared" si="39"/>
        <v>May-2024</v>
      </c>
      <c r="AC169" s="12" t="str">
        <f t="shared" si="40"/>
        <v>Medium</v>
      </c>
      <c r="AD169">
        <v>9</v>
      </c>
      <c r="AE169" s="12">
        <f>_xlfn.MINIFS(Table1[MonthDate], Table1[Country], Table1[[#This Row],[Country]])</f>
        <v>44927</v>
      </c>
      <c r="AF169" s="12">
        <f t="shared" si="41"/>
        <v>45413</v>
      </c>
      <c r="AG169">
        <f>AD169*(1 + Scenario_Control!$B$4)</f>
        <v>9.9</v>
      </c>
      <c r="AH169">
        <f>O169*(1 + Scenario_Control!$B$3)</f>
        <v>1555.827</v>
      </c>
      <c r="AI169">
        <f t="shared" si="42"/>
        <v>2731.0766076000004</v>
      </c>
      <c r="AJ169">
        <f t="shared" si="43"/>
        <v>-12671.610692400001</v>
      </c>
      <c r="AK169" s="29">
        <f>MIN(Q169*(1-U169), Scenario_Control!$B$2*Q169)</f>
        <v>369.79400000000004</v>
      </c>
      <c r="AL169" s="15">
        <f t="shared" si="44"/>
        <v>0</v>
      </c>
      <c r="AM169" s="8">
        <f>DATEDIF(Table1[[#This Row],[Country_FirstMonth]], Table1[[#This Row],[MonthDate]], "m")</f>
        <v>16</v>
      </c>
    </row>
    <row r="170" spans="1:39" x14ac:dyDescent="0.25">
      <c r="A170" t="s">
        <v>183</v>
      </c>
      <c r="B170" s="12">
        <v>45206</v>
      </c>
      <c r="C170" s="12">
        <f t="shared" si="30"/>
        <v>45222</v>
      </c>
      <c r="D170" s="2" t="str">
        <f>IF(Table1[[#This Row],[RequiredDate]]&lt;Table1[[#This Row],[OrderDate]],"Check","OK")</f>
        <v>OK</v>
      </c>
      <c r="E170" s="2">
        <v>45222</v>
      </c>
      <c r="F170" s="15">
        <f t="shared" si="31"/>
        <v>16</v>
      </c>
      <c r="G170" t="s">
        <v>647</v>
      </c>
      <c r="H170" t="s">
        <v>654</v>
      </c>
      <c r="I170" t="s">
        <v>696</v>
      </c>
      <c r="J170" t="s">
        <v>704</v>
      </c>
      <c r="K170" t="s">
        <v>707</v>
      </c>
      <c r="L170" t="s">
        <v>715</v>
      </c>
      <c r="M170" t="s">
        <v>732</v>
      </c>
      <c r="N170" t="s">
        <v>902</v>
      </c>
      <c r="O170" s="29">
        <v>906.81</v>
      </c>
      <c r="P170" t="str">
        <f>IF(Table1[[#This Row],[UnitPrice]]&lt;=0,"Check","OK")</f>
        <v>OK</v>
      </c>
      <c r="Q170" s="29">
        <f t="shared" si="32"/>
        <v>1395.56</v>
      </c>
      <c r="R170">
        <v>1395.56</v>
      </c>
      <c r="S170" s="5">
        <f>IF(Table1[[#This Row],[Discount_Flag]]="Check", MIN(MAX(Table1[[#This Row],[DiscountPct]],0),0.3), Table1[[#This Row],[DiscountPct]])</f>
        <v>0.185</v>
      </c>
      <c r="T170" t="str">
        <f>IF(OR(Table1[[#This Row],[DiscountPct]]&lt;0,Table1[[#This Row],[DiscountPct]]&gt;0.3),"Check","OK")</f>
        <v>OK</v>
      </c>
      <c r="U170" s="11">
        <v>0.185</v>
      </c>
      <c r="V170" s="15">
        <f t="shared" si="33"/>
        <v>0</v>
      </c>
      <c r="W170" s="11">
        <f t="shared" si="34"/>
        <v>0.20272126834498974</v>
      </c>
      <c r="X170" s="17">
        <f t="shared" si="35"/>
        <v>5440.86</v>
      </c>
      <c r="Y170" s="17">
        <f t="shared" si="36"/>
        <v>1383.4284000000007</v>
      </c>
      <c r="Z170" s="17">
        <f t="shared" si="37"/>
        <v>6824.2884000000004</v>
      </c>
      <c r="AA170" s="17" t="str">
        <f t="shared" si="38"/>
        <v>Q4-2023</v>
      </c>
      <c r="AB170" s="12" t="str">
        <f t="shared" si="39"/>
        <v>Oct-2023</v>
      </c>
      <c r="AC170" s="12" t="str">
        <f t="shared" si="40"/>
        <v>Medium</v>
      </c>
      <c r="AD170">
        <v>6</v>
      </c>
      <c r="AE170" s="12">
        <f>_xlfn.MINIFS(Table1[MonthDate], Table1[Country], Table1[[#This Row],[Country]])</f>
        <v>44927</v>
      </c>
      <c r="AF170" s="12">
        <f t="shared" si="41"/>
        <v>45200</v>
      </c>
      <c r="AG170">
        <f>AD170*(1 + Scenario_Control!$B$4)</f>
        <v>6.6000000000000005</v>
      </c>
      <c r="AH170">
        <f>O170*(1 + Scenario_Control!$B$3)</f>
        <v>952.15049999999997</v>
      </c>
      <c r="AI170">
        <f t="shared" si="42"/>
        <v>1501.3434480000001</v>
      </c>
      <c r="AJ170">
        <f t="shared" si="43"/>
        <v>-4782.8498519999994</v>
      </c>
      <c r="AK170" s="29">
        <f>MIN(Q170*(1-U170), Scenario_Control!$B$2*Q170)</f>
        <v>279.11200000000002</v>
      </c>
      <c r="AL170" s="15">
        <f t="shared" si="44"/>
        <v>0</v>
      </c>
      <c r="AM170" s="8">
        <f>DATEDIF(Table1[[#This Row],[Country_FirstMonth]], Table1[[#This Row],[MonthDate]], "m")</f>
        <v>9</v>
      </c>
    </row>
    <row r="171" spans="1:39" x14ac:dyDescent="0.25">
      <c r="A171" t="s">
        <v>184</v>
      </c>
      <c r="B171" s="12">
        <v>45574</v>
      </c>
      <c r="C171" s="12">
        <f t="shared" si="30"/>
        <v>45604</v>
      </c>
      <c r="D171" s="2" t="str">
        <f>IF(Table1[[#This Row],[RequiredDate]]&lt;Table1[[#This Row],[OrderDate]],"Check","OK")</f>
        <v>OK</v>
      </c>
      <c r="E171" s="2">
        <v>45604</v>
      </c>
      <c r="F171" s="15">
        <f t="shared" si="31"/>
        <v>30</v>
      </c>
      <c r="G171" t="s">
        <v>649</v>
      </c>
      <c r="H171" t="s">
        <v>658</v>
      </c>
      <c r="I171" t="s">
        <v>693</v>
      </c>
      <c r="J171" t="s">
        <v>705</v>
      </c>
      <c r="K171" t="s">
        <v>710</v>
      </c>
      <c r="L171" t="s">
        <v>713</v>
      </c>
      <c r="M171" t="s">
        <v>727</v>
      </c>
      <c r="N171" t="s">
        <v>903</v>
      </c>
      <c r="O171" s="29">
        <v>343.85</v>
      </c>
      <c r="P171" t="str">
        <f>IF(Table1[[#This Row],[UnitPrice]]&lt;=0,"Check","OK")</f>
        <v>OK</v>
      </c>
      <c r="Q171" s="29">
        <f t="shared" si="32"/>
        <v>538.04</v>
      </c>
      <c r="R171">
        <v>538.04</v>
      </c>
      <c r="S171" s="5">
        <f>IF(Table1[[#This Row],[Discount_Flag]]="Check", MIN(MAX(Table1[[#This Row],[DiscountPct]],0),0.3), Table1[[#This Row],[DiscountPct]])</f>
        <v>0.13900000000000001</v>
      </c>
      <c r="T171" t="str">
        <f>IF(OR(Table1[[#This Row],[DiscountPct]]&lt;0,Table1[[#This Row],[DiscountPct]]&gt;0.3),"Check","OK")</f>
        <v>OK</v>
      </c>
      <c r="U171" s="11">
        <v>0.13900000000000001</v>
      </c>
      <c r="V171" s="15">
        <f t="shared" si="33"/>
        <v>0</v>
      </c>
      <c r="W171" s="11">
        <f t="shared" si="34"/>
        <v>0.25774810813732563</v>
      </c>
      <c r="X171" s="17">
        <f t="shared" si="35"/>
        <v>1719.25</v>
      </c>
      <c r="Y171" s="17">
        <f t="shared" si="36"/>
        <v>597.01219999999967</v>
      </c>
      <c r="Z171" s="17">
        <f t="shared" si="37"/>
        <v>2316.2621999999997</v>
      </c>
      <c r="AA171" s="17" t="str">
        <f t="shared" si="38"/>
        <v>Q4-2024</v>
      </c>
      <c r="AB171" s="12" t="str">
        <f t="shared" si="39"/>
        <v>Oct-2024</v>
      </c>
      <c r="AC171" s="12" t="str">
        <f t="shared" si="40"/>
        <v>Low</v>
      </c>
      <c r="AD171">
        <v>5</v>
      </c>
      <c r="AE171" s="12">
        <f>_xlfn.MINIFS(Table1[MonthDate], Table1[Country], Table1[[#This Row],[Country]])</f>
        <v>44927</v>
      </c>
      <c r="AF171" s="12">
        <f t="shared" si="41"/>
        <v>45566</v>
      </c>
      <c r="AG171">
        <f>AD171*(1 + Scenario_Control!$B$4)</f>
        <v>5.5</v>
      </c>
      <c r="AH171">
        <f>O171*(1 + Scenario_Control!$B$3)</f>
        <v>361.04250000000002</v>
      </c>
      <c r="AI171">
        <f t="shared" si="42"/>
        <v>509.57768400000003</v>
      </c>
      <c r="AJ171">
        <f t="shared" si="43"/>
        <v>-1476.156066</v>
      </c>
      <c r="AK171" s="29">
        <f>MIN(Q171*(1-U171), Scenario_Control!$B$2*Q171)</f>
        <v>107.608</v>
      </c>
      <c r="AL171" s="15">
        <f t="shared" si="44"/>
        <v>0</v>
      </c>
      <c r="AM171" s="8">
        <f>DATEDIF(Table1[[#This Row],[Country_FirstMonth]], Table1[[#This Row],[MonthDate]], "m")</f>
        <v>21</v>
      </c>
    </row>
    <row r="172" spans="1:39" x14ac:dyDescent="0.25">
      <c r="A172" t="s">
        <v>185</v>
      </c>
      <c r="B172" s="12">
        <v>45488</v>
      </c>
      <c r="C172" s="12">
        <f t="shared" si="30"/>
        <v>45488</v>
      </c>
      <c r="D172" s="2" t="str">
        <f>IF(Table1[[#This Row],[RequiredDate]]&lt;Table1[[#This Row],[OrderDate]],"Check","OK")</f>
        <v>OK</v>
      </c>
      <c r="E172" s="2">
        <v>45488</v>
      </c>
      <c r="F172" s="15">
        <f t="shared" si="31"/>
        <v>0</v>
      </c>
      <c r="G172" t="s">
        <v>647</v>
      </c>
      <c r="H172" t="s">
        <v>652</v>
      </c>
      <c r="I172" t="s">
        <v>689</v>
      </c>
      <c r="J172" t="s">
        <v>705</v>
      </c>
      <c r="K172" t="s">
        <v>709</v>
      </c>
      <c r="L172" t="s">
        <v>715</v>
      </c>
      <c r="M172" t="s">
        <v>733</v>
      </c>
      <c r="N172" t="s">
        <v>904</v>
      </c>
      <c r="O172" s="29">
        <v>801.77</v>
      </c>
      <c r="P172" t="str">
        <f>IF(Table1[[#This Row],[UnitPrice]]&lt;=0,"Check","OK")</f>
        <v>OK</v>
      </c>
      <c r="Q172" s="29">
        <f t="shared" si="32"/>
        <v>1218.92</v>
      </c>
      <c r="R172">
        <v>1218.92</v>
      </c>
      <c r="S172" s="5">
        <f>IF(Table1[[#This Row],[Discount_Flag]]="Check", MIN(MAX(Table1[[#This Row],[DiscountPct]],0),0.3), Table1[[#This Row],[DiscountPct]])</f>
        <v>0.254</v>
      </c>
      <c r="T172" t="str">
        <f>IF(OR(Table1[[#This Row],[DiscountPct]]&lt;0,Table1[[#This Row],[DiscountPct]]&gt;0.3),"Check","OK")</f>
        <v>OK</v>
      </c>
      <c r="U172" s="11">
        <v>0.254</v>
      </c>
      <c r="V172" s="15">
        <f t="shared" si="33"/>
        <v>1</v>
      </c>
      <c r="W172" s="11">
        <f t="shared" si="34"/>
        <v>0.11826968698788344</v>
      </c>
      <c r="X172" s="17">
        <f t="shared" si="35"/>
        <v>12828.32</v>
      </c>
      <c r="Y172" s="17">
        <f t="shared" si="36"/>
        <v>1720.7091200000013</v>
      </c>
      <c r="Z172" s="17">
        <f t="shared" si="37"/>
        <v>14549.029120000001</v>
      </c>
      <c r="AA172" s="17" t="str">
        <f t="shared" si="38"/>
        <v>Q3-2024</v>
      </c>
      <c r="AB172" s="12" t="str">
        <f t="shared" si="39"/>
        <v>Jul-2024</v>
      </c>
      <c r="AC172" s="12" t="str">
        <f t="shared" si="40"/>
        <v>Medium</v>
      </c>
      <c r="AD172">
        <v>16</v>
      </c>
      <c r="AE172" s="12">
        <f>_xlfn.MINIFS(Table1[MonthDate], Table1[Country], Table1[[#This Row],[Country]])</f>
        <v>44986</v>
      </c>
      <c r="AF172" s="12">
        <f t="shared" si="41"/>
        <v>45474</v>
      </c>
      <c r="AG172">
        <f>AD172*(1 + Scenario_Control!$B$4)</f>
        <v>17.600000000000001</v>
      </c>
      <c r="AH172">
        <f>O172*(1 + Scenario_Control!$B$3)</f>
        <v>841.85850000000005</v>
      </c>
      <c r="AI172">
        <f t="shared" si="42"/>
        <v>3200.7864064000005</v>
      </c>
      <c r="AJ172">
        <f t="shared" si="43"/>
        <v>-11615.923193600001</v>
      </c>
      <c r="AK172" s="29">
        <f>MIN(Q172*(1-U172), Scenario_Control!$B$2*Q172)</f>
        <v>243.78400000000002</v>
      </c>
      <c r="AL172" s="15">
        <f t="shared" si="44"/>
        <v>1</v>
      </c>
      <c r="AM172" s="8">
        <f>DATEDIF(Table1[[#This Row],[Country_FirstMonth]], Table1[[#This Row],[MonthDate]], "m")</f>
        <v>16</v>
      </c>
    </row>
    <row r="173" spans="1:39" x14ac:dyDescent="0.25">
      <c r="A173" t="s">
        <v>186</v>
      </c>
      <c r="B173" s="12">
        <v>45190</v>
      </c>
      <c r="C173" s="12">
        <f t="shared" si="30"/>
        <v>45209</v>
      </c>
      <c r="D173" s="2" t="str">
        <f>IF(Table1[[#This Row],[RequiredDate]]&lt;Table1[[#This Row],[OrderDate]],"Check","OK")</f>
        <v>OK</v>
      </c>
      <c r="E173" s="2">
        <v>45209</v>
      </c>
      <c r="F173" s="15">
        <f t="shared" si="31"/>
        <v>19</v>
      </c>
      <c r="G173" t="s">
        <v>647</v>
      </c>
      <c r="H173" t="s">
        <v>652</v>
      </c>
      <c r="I173" t="s">
        <v>689</v>
      </c>
      <c r="J173" t="s">
        <v>702</v>
      </c>
      <c r="K173" t="s">
        <v>708</v>
      </c>
      <c r="L173" t="s">
        <v>726</v>
      </c>
      <c r="M173" t="s">
        <v>727</v>
      </c>
      <c r="N173" t="s">
        <v>905</v>
      </c>
      <c r="O173" s="29">
        <v>845.63</v>
      </c>
      <c r="P173" t="str">
        <f>IF(Table1[[#This Row],[UnitPrice]]&lt;=0,"Check","OK")</f>
        <v>OK</v>
      </c>
      <c r="Q173" s="29">
        <f t="shared" si="32"/>
        <v>2062.12</v>
      </c>
      <c r="R173">
        <v>2062.12</v>
      </c>
      <c r="S173" s="5">
        <f>IF(Table1[[#This Row],[Discount_Flag]]="Check", MIN(MAX(Table1[[#This Row],[DiscountPct]],0),0.3), Table1[[#This Row],[DiscountPct]])</f>
        <v>0.13400000000000001</v>
      </c>
      <c r="T173" t="str">
        <f>IF(OR(Table1[[#This Row],[DiscountPct]]&lt;0,Table1[[#This Row],[DiscountPct]]&gt;0.3),"Check","OK")</f>
        <v>OK</v>
      </c>
      <c r="U173" s="11">
        <v>0.13400000000000001</v>
      </c>
      <c r="V173" s="15">
        <f t="shared" si="33"/>
        <v>0</v>
      </c>
      <c r="W173" s="11">
        <f t="shared" si="34"/>
        <v>0.52646884757133949</v>
      </c>
      <c r="X173" s="17">
        <f t="shared" si="35"/>
        <v>4228.1499999999996</v>
      </c>
      <c r="Y173" s="17">
        <f t="shared" si="36"/>
        <v>4700.8295999999991</v>
      </c>
      <c r="Z173" s="17">
        <f t="shared" si="37"/>
        <v>8928.9795999999988</v>
      </c>
      <c r="AA173" s="17" t="str">
        <f t="shared" si="38"/>
        <v>Q3-2023</v>
      </c>
      <c r="AB173" s="12" t="str">
        <f t="shared" si="39"/>
        <v>Sept-2023</v>
      </c>
      <c r="AC173" s="12" t="str">
        <f t="shared" si="40"/>
        <v>High</v>
      </c>
      <c r="AD173">
        <v>5</v>
      </c>
      <c r="AE173" s="12">
        <f>_xlfn.MINIFS(Table1[MonthDate], Table1[Country], Table1[[#This Row],[Country]])</f>
        <v>44986</v>
      </c>
      <c r="AF173" s="12">
        <f t="shared" si="41"/>
        <v>45170</v>
      </c>
      <c r="AG173">
        <f>AD173*(1 + Scenario_Control!$B$4)</f>
        <v>5.5</v>
      </c>
      <c r="AH173">
        <f>O173*(1 + Scenario_Control!$B$3)</f>
        <v>887.91150000000005</v>
      </c>
      <c r="AI173">
        <f t="shared" si="42"/>
        <v>1964.3755119999998</v>
      </c>
      <c r="AJ173">
        <f t="shared" si="43"/>
        <v>-2919.1377380000004</v>
      </c>
      <c r="AK173" s="29">
        <f>MIN(Q173*(1-U173), Scenario_Control!$B$2*Q173)</f>
        <v>412.42399999999998</v>
      </c>
      <c r="AL173" s="15">
        <f t="shared" si="44"/>
        <v>0</v>
      </c>
      <c r="AM173" s="8">
        <f>DATEDIF(Table1[[#This Row],[Country_FirstMonth]], Table1[[#This Row],[MonthDate]], "m")</f>
        <v>6</v>
      </c>
    </row>
    <row r="174" spans="1:39" x14ac:dyDescent="0.25">
      <c r="A174" t="s">
        <v>187</v>
      </c>
      <c r="B174" s="12">
        <v>44981</v>
      </c>
      <c r="C174" s="12">
        <f t="shared" si="30"/>
        <v>44994</v>
      </c>
      <c r="D174" s="2" t="str">
        <f>IF(Table1[[#This Row],[RequiredDate]]&lt;Table1[[#This Row],[OrderDate]],"Check","OK")</f>
        <v>OK</v>
      </c>
      <c r="E174" s="2">
        <v>44994</v>
      </c>
      <c r="F174" s="15">
        <f t="shared" si="31"/>
        <v>13</v>
      </c>
      <c r="G174" t="s">
        <v>648</v>
      </c>
      <c r="H174" t="s">
        <v>660</v>
      </c>
      <c r="I174" t="s">
        <v>700</v>
      </c>
      <c r="J174" t="s">
        <v>706</v>
      </c>
      <c r="K174" t="s">
        <v>708</v>
      </c>
      <c r="L174" t="s">
        <v>724</v>
      </c>
      <c r="M174" t="s">
        <v>727</v>
      </c>
      <c r="N174" t="s">
        <v>906</v>
      </c>
      <c r="O174" s="29">
        <v>6.85</v>
      </c>
      <c r="P174" t="str">
        <f>IF(Table1[[#This Row],[UnitPrice]]&lt;=0,"Check","OK")</f>
        <v>OK</v>
      </c>
      <c r="Q174" s="29">
        <f t="shared" si="32"/>
        <v>10.18</v>
      </c>
      <c r="R174">
        <v>10.18</v>
      </c>
      <c r="S174" s="5">
        <f>IF(Table1[[#This Row],[Discount_Flag]]="Check", MIN(MAX(Table1[[#This Row],[DiscountPct]],0),0.3), Table1[[#This Row],[DiscountPct]])</f>
        <v>4.7E-2</v>
      </c>
      <c r="T174" t="str">
        <f>IF(OR(Table1[[#This Row],[DiscountPct]]&lt;0,Table1[[#This Row],[DiscountPct]]&gt;0.3),"Check","OK")</f>
        <v>OK</v>
      </c>
      <c r="U174" s="11">
        <v>4.7E-2</v>
      </c>
      <c r="V174" s="15">
        <f t="shared" si="33"/>
        <v>0</v>
      </c>
      <c r="W174" s="11">
        <f t="shared" si="34"/>
        <v>0.2939265312517394</v>
      </c>
      <c r="X174" s="17">
        <f t="shared" si="35"/>
        <v>68.5</v>
      </c>
      <c r="Y174" s="17">
        <f t="shared" si="36"/>
        <v>28.5154</v>
      </c>
      <c r="Z174" s="17">
        <f t="shared" si="37"/>
        <v>97.0154</v>
      </c>
      <c r="AA174" s="17" t="str">
        <f t="shared" si="38"/>
        <v>Q1-2023</v>
      </c>
      <c r="AB174" s="12" t="str">
        <f t="shared" si="39"/>
        <v>Feb-2023</v>
      </c>
      <c r="AC174" s="12" t="str">
        <f t="shared" si="40"/>
        <v>Low</v>
      </c>
      <c r="AD174">
        <v>10</v>
      </c>
      <c r="AE174" s="12">
        <f>_xlfn.MINIFS(Table1[MonthDate], Table1[Country], Table1[[#This Row],[Country]])</f>
        <v>44927</v>
      </c>
      <c r="AF174" s="12">
        <f t="shared" si="41"/>
        <v>44958</v>
      </c>
      <c r="AG174">
        <f>AD174*(1 + Scenario_Control!$B$4)</f>
        <v>11</v>
      </c>
      <c r="AH174">
        <f>O174*(1 + Scenario_Control!$B$3)</f>
        <v>7.1924999999999999</v>
      </c>
      <c r="AI174">
        <f t="shared" si="42"/>
        <v>21.343388000000001</v>
      </c>
      <c r="AJ174">
        <f t="shared" si="43"/>
        <v>-57.774111999999988</v>
      </c>
      <c r="AK174" s="29">
        <f>MIN(Q174*(1-U174), Scenario_Control!$B$2*Q174)</f>
        <v>2.036</v>
      </c>
      <c r="AL174" s="15">
        <f t="shared" si="44"/>
        <v>0</v>
      </c>
      <c r="AM174" s="8">
        <f>DATEDIF(Table1[[#This Row],[Country_FirstMonth]], Table1[[#This Row],[MonthDate]], "m")</f>
        <v>1</v>
      </c>
    </row>
    <row r="175" spans="1:39" x14ac:dyDescent="0.25">
      <c r="A175" t="s">
        <v>188</v>
      </c>
      <c r="B175" s="12">
        <v>45798</v>
      </c>
      <c r="C175" s="12">
        <f t="shared" si="30"/>
        <v>45805</v>
      </c>
      <c r="D175" s="2" t="str">
        <f>IF(Table1[[#This Row],[RequiredDate]]&lt;Table1[[#This Row],[OrderDate]],"Check","OK")</f>
        <v>Check</v>
      </c>
      <c r="E175" s="2">
        <v>45796</v>
      </c>
      <c r="F175" s="15">
        <f t="shared" si="31"/>
        <v>7</v>
      </c>
      <c r="G175" t="s">
        <v>646</v>
      </c>
      <c r="H175" t="s">
        <v>661</v>
      </c>
      <c r="I175" t="s">
        <v>682</v>
      </c>
      <c r="J175" t="s">
        <v>703</v>
      </c>
      <c r="K175" t="s">
        <v>710</v>
      </c>
      <c r="L175" t="s">
        <v>719</v>
      </c>
      <c r="M175" t="s">
        <v>731</v>
      </c>
      <c r="N175" t="s">
        <v>907</v>
      </c>
      <c r="O175" s="29">
        <v>1263.8399999999999</v>
      </c>
      <c r="P175" t="str">
        <f>IF(Table1[[#This Row],[UnitPrice]]&lt;=0,"Check","OK")</f>
        <v>OK</v>
      </c>
      <c r="Q175" s="29">
        <f t="shared" si="32"/>
        <v>2281.7199999999998</v>
      </c>
      <c r="R175">
        <v>2281.7199999999998</v>
      </c>
      <c r="S175" s="5">
        <f>IF(Table1[[#This Row],[Discount_Flag]]="Check", MIN(MAX(Table1[[#This Row],[DiscountPct]],0),0.3), Table1[[#This Row],[DiscountPct]])</f>
        <v>7.8E-2</v>
      </c>
      <c r="T175" t="str">
        <f>IF(OR(Table1[[#This Row],[DiscountPct]]&lt;0,Table1[[#This Row],[DiscountPct]]&gt;0.3),"Check","OK")</f>
        <v>OK</v>
      </c>
      <c r="U175" s="11">
        <v>7.8E-2</v>
      </c>
      <c r="V175" s="15">
        <f t="shared" si="33"/>
        <v>0</v>
      </c>
      <c r="W175" s="11">
        <f t="shared" si="34"/>
        <v>0.39924301882398494</v>
      </c>
      <c r="X175" s="17">
        <f t="shared" si="35"/>
        <v>18957.599999999999</v>
      </c>
      <c r="Y175" s="17">
        <f t="shared" si="36"/>
        <v>12598.587599999999</v>
      </c>
      <c r="Z175" s="17">
        <f t="shared" si="37"/>
        <v>31556.187599999997</v>
      </c>
      <c r="AA175" s="17" t="str">
        <f t="shared" si="38"/>
        <v>Q2-2025</v>
      </c>
      <c r="AB175" s="12" t="str">
        <f t="shared" si="39"/>
        <v>May-2025</v>
      </c>
      <c r="AC175" s="12" t="str">
        <f t="shared" si="40"/>
        <v>High</v>
      </c>
      <c r="AD175">
        <v>15</v>
      </c>
      <c r="AE175" s="12">
        <f>_xlfn.MINIFS(Table1[MonthDate], Table1[Country], Table1[[#This Row],[Country]])</f>
        <v>44927</v>
      </c>
      <c r="AF175" s="12">
        <f t="shared" si="41"/>
        <v>45778</v>
      </c>
      <c r="AG175">
        <f>AD175*(1 + Scenario_Control!$B$4)</f>
        <v>16.5</v>
      </c>
      <c r="AH175">
        <f>O175*(1 + Scenario_Control!$B$3)</f>
        <v>1327.0319999999999</v>
      </c>
      <c r="AI175">
        <f t="shared" si="42"/>
        <v>6942.3612720000001</v>
      </c>
      <c r="AJ175">
        <f t="shared" si="43"/>
        <v>-14953.666727999998</v>
      </c>
      <c r="AK175" s="29">
        <f>MIN(Q175*(1-U175), Scenario_Control!$B$2*Q175)</f>
        <v>456.34399999999999</v>
      </c>
      <c r="AL175" s="15">
        <f t="shared" si="44"/>
        <v>1</v>
      </c>
      <c r="AM175" s="8">
        <f>DATEDIF(Table1[[#This Row],[Country_FirstMonth]], Table1[[#This Row],[MonthDate]], "m")</f>
        <v>28</v>
      </c>
    </row>
    <row r="176" spans="1:39" x14ac:dyDescent="0.25">
      <c r="A176" t="s">
        <v>189</v>
      </c>
      <c r="B176" s="12">
        <v>45435</v>
      </c>
      <c r="C176" s="12">
        <f t="shared" si="30"/>
        <v>45446</v>
      </c>
      <c r="D176" s="2" t="str">
        <f>IF(Table1[[#This Row],[RequiredDate]]&lt;Table1[[#This Row],[OrderDate]],"Check","OK")</f>
        <v>OK</v>
      </c>
      <c r="E176" s="2">
        <v>45446</v>
      </c>
      <c r="F176" s="15">
        <f t="shared" si="31"/>
        <v>11</v>
      </c>
      <c r="G176" t="s">
        <v>646</v>
      </c>
      <c r="H176" t="s">
        <v>661</v>
      </c>
      <c r="I176" t="s">
        <v>682</v>
      </c>
      <c r="J176" t="s">
        <v>705</v>
      </c>
      <c r="K176" t="s">
        <v>710</v>
      </c>
      <c r="L176" t="s">
        <v>721</v>
      </c>
      <c r="M176" t="s">
        <v>728</v>
      </c>
      <c r="N176" t="s">
        <v>908</v>
      </c>
      <c r="O176" s="29">
        <v>180.89</v>
      </c>
      <c r="P176" t="str">
        <f>IF(Table1[[#This Row],[UnitPrice]]&lt;=0,"Check","OK")</f>
        <v>OK</v>
      </c>
      <c r="Q176" s="29">
        <f t="shared" si="32"/>
        <v>249.57</v>
      </c>
      <c r="R176">
        <v>249.57</v>
      </c>
      <c r="S176" s="5">
        <f>IF(Table1[[#This Row],[Discount_Flag]]="Check", MIN(MAX(Table1[[#This Row],[DiscountPct]],0),0.3), Table1[[#This Row],[DiscountPct]])</f>
        <v>2.1999999999999999E-2</v>
      </c>
      <c r="T176" t="str">
        <f>IF(OR(Table1[[#This Row],[DiscountPct]]&lt;0,Table1[[#This Row],[DiscountPct]]&gt;0.3),"Check","OK")</f>
        <v>OK</v>
      </c>
      <c r="U176" s="11">
        <v>2.1999999999999999E-2</v>
      </c>
      <c r="V176" s="15">
        <f t="shared" si="33"/>
        <v>0</v>
      </c>
      <c r="W176" s="11">
        <f t="shared" si="34"/>
        <v>0.25888888806948362</v>
      </c>
      <c r="X176" s="17">
        <f t="shared" si="35"/>
        <v>1447.12</v>
      </c>
      <c r="Y176" s="17">
        <f t="shared" si="36"/>
        <v>505.51567999999997</v>
      </c>
      <c r="Z176" s="17">
        <f t="shared" si="37"/>
        <v>1952.6356799999999</v>
      </c>
      <c r="AA176" s="17" t="str">
        <f t="shared" si="38"/>
        <v>Q2-2024</v>
      </c>
      <c r="AB176" s="12" t="str">
        <f t="shared" si="39"/>
        <v>May-2024</v>
      </c>
      <c r="AC176" s="12" t="str">
        <f t="shared" si="40"/>
        <v>Low</v>
      </c>
      <c r="AD176">
        <v>8</v>
      </c>
      <c r="AE176" s="12">
        <f>_xlfn.MINIFS(Table1[MonthDate], Table1[Country], Table1[[#This Row],[Country]])</f>
        <v>44927</v>
      </c>
      <c r="AF176" s="12">
        <f t="shared" si="41"/>
        <v>45413</v>
      </c>
      <c r="AG176">
        <f>AD176*(1 + Scenario_Control!$B$4)</f>
        <v>8.8000000000000007</v>
      </c>
      <c r="AH176">
        <f>O176*(1 + Scenario_Control!$B$3)</f>
        <v>189.93449999999999</v>
      </c>
      <c r="AI176">
        <f t="shared" si="42"/>
        <v>429.57984960000005</v>
      </c>
      <c r="AJ176">
        <f t="shared" si="43"/>
        <v>-1241.8437504000001</v>
      </c>
      <c r="AK176" s="29">
        <f>MIN(Q176*(1-U176), Scenario_Control!$B$2*Q176)</f>
        <v>49.914000000000001</v>
      </c>
      <c r="AL176" s="15">
        <f t="shared" si="44"/>
        <v>0</v>
      </c>
      <c r="AM176" s="8">
        <f>DATEDIF(Table1[[#This Row],[Country_FirstMonth]], Table1[[#This Row],[MonthDate]], "m")</f>
        <v>16</v>
      </c>
    </row>
    <row r="177" spans="1:39" x14ac:dyDescent="0.25">
      <c r="A177" t="s">
        <v>190</v>
      </c>
      <c r="B177" s="12">
        <v>45761</v>
      </c>
      <c r="C177" s="12">
        <f t="shared" si="30"/>
        <v>45781</v>
      </c>
      <c r="D177" s="2" t="str">
        <f>IF(Table1[[#This Row],[RequiredDate]]&lt;Table1[[#This Row],[OrderDate]],"Check","OK")</f>
        <v>OK</v>
      </c>
      <c r="E177" s="2">
        <v>45781</v>
      </c>
      <c r="F177" s="15">
        <f t="shared" si="31"/>
        <v>20</v>
      </c>
      <c r="G177" t="s">
        <v>649</v>
      </c>
      <c r="H177" t="s">
        <v>658</v>
      </c>
      <c r="I177" t="s">
        <v>674</v>
      </c>
      <c r="J177" t="s">
        <v>706</v>
      </c>
      <c r="K177" t="s">
        <v>709</v>
      </c>
      <c r="L177" t="s">
        <v>723</v>
      </c>
      <c r="M177" t="s">
        <v>732</v>
      </c>
      <c r="N177" t="s">
        <v>909</v>
      </c>
      <c r="O177" s="29">
        <v>1413.87</v>
      </c>
      <c r="P177" t="str">
        <f>IF(Table1[[#This Row],[UnitPrice]]&lt;=0,"Check","OK")</f>
        <v>OK</v>
      </c>
      <c r="Q177" s="29">
        <f t="shared" si="32"/>
        <v>3275</v>
      </c>
      <c r="R177">
        <v>3275</v>
      </c>
      <c r="S177" s="5">
        <f>IF(Table1[[#This Row],[Discount_Flag]]="Check", MIN(MAX(Table1[[#This Row],[DiscountPct]],0),0.3), Table1[[#This Row],[DiscountPct]])</f>
        <v>0.255</v>
      </c>
      <c r="T177" t="str">
        <f>IF(OR(Table1[[#This Row],[DiscountPct]]&lt;0,Table1[[#This Row],[DiscountPct]]&gt;0.3),"Check","OK")</f>
        <v>OK</v>
      </c>
      <c r="U177" s="11">
        <v>0.255</v>
      </c>
      <c r="V177" s="15">
        <f t="shared" si="33"/>
        <v>1</v>
      </c>
      <c r="W177" s="11">
        <f t="shared" si="34"/>
        <v>0.42051539525590453</v>
      </c>
      <c r="X177" s="17">
        <f t="shared" si="35"/>
        <v>53727.06</v>
      </c>
      <c r="Y177" s="17">
        <f t="shared" si="36"/>
        <v>38988.19</v>
      </c>
      <c r="Z177" s="17">
        <f t="shared" si="37"/>
        <v>92715.25</v>
      </c>
      <c r="AA177" s="17" t="str">
        <f t="shared" si="38"/>
        <v>Q2-2025</v>
      </c>
      <c r="AB177" s="12" t="str">
        <f t="shared" si="39"/>
        <v>Apr-2025</v>
      </c>
      <c r="AC177" s="12" t="str">
        <f t="shared" si="40"/>
        <v>High</v>
      </c>
      <c r="AD177">
        <v>38</v>
      </c>
      <c r="AE177" s="12">
        <f>_xlfn.MINIFS(Table1[MonthDate], Table1[Country], Table1[[#This Row],[Country]])</f>
        <v>44927</v>
      </c>
      <c r="AF177" s="12">
        <f t="shared" si="41"/>
        <v>45748</v>
      </c>
      <c r="AG177">
        <f>AD177*(1 + Scenario_Control!$B$4)</f>
        <v>41.800000000000004</v>
      </c>
      <c r="AH177">
        <f>O177*(1 + Scenario_Control!$B$3)</f>
        <v>1484.5635</v>
      </c>
      <c r="AI177">
        <f t="shared" si="42"/>
        <v>20397.355000000003</v>
      </c>
      <c r="AJ177">
        <f t="shared" si="43"/>
        <v>-41657.399300000005</v>
      </c>
      <c r="AK177" s="29">
        <f>MIN(Q177*(1-U177), Scenario_Control!$B$2*Q177)</f>
        <v>655</v>
      </c>
      <c r="AL177" s="15">
        <f t="shared" si="44"/>
        <v>0</v>
      </c>
      <c r="AM177" s="8">
        <f>DATEDIF(Table1[[#This Row],[Country_FirstMonth]], Table1[[#This Row],[MonthDate]], "m")</f>
        <v>27</v>
      </c>
    </row>
    <row r="178" spans="1:39" x14ac:dyDescent="0.25">
      <c r="A178" t="s">
        <v>191</v>
      </c>
      <c r="B178" s="12">
        <v>45165</v>
      </c>
      <c r="C178" s="12">
        <f t="shared" si="30"/>
        <v>45180</v>
      </c>
      <c r="D178" s="2" t="str">
        <f>IF(Table1[[#This Row],[RequiredDate]]&lt;Table1[[#This Row],[OrderDate]],"Check","OK")</f>
        <v>OK</v>
      </c>
      <c r="E178" s="2">
        <v>45180</v>
      </c>
      <c r="F178" s="15">
        <f t="shared" si="31"/>
        <v>15</v>
      </c>
      <c r="G178" t="s">
        <v>649</v>
      </c>
      <c r="H178" t="s">
        <v>658</v>
      </c>
      <c r="I178" t="s">
        <v>683</v>
      </c>
      <c r="J178" t="s">
        <v>704</v>
      </c>
      <c r="K178" t="s">
        <v>709</v>
      </c>
      <c r="L178" t="s">
        <v>725</v>
      </c>
      <c r="M178" t="s">
        <v>728</v>
      </c>
      <c r="N178" t="s">
        <v>910</v>
      </c>
      <c r="O178" s="29">
        <v>943.79</v>
      </c>
      <c r="P178" t="str">
        <f>IF(Table1[[#This Row],[UnitPrice]]&lt;=0,"Check","OK")</f>
        <v>OK</v>
      </c>
      <c r="Q178" s="29">
        <f t="shared" si="32"/>
        <v>1913.76</v>
      </c>
      <c r="R178">
        <v>1913.76</v>
      </c>
      <c r="S178" s="5">
        <f>IF(Table1[[#This Row],[Discount_Flag]]="Check", MIN(MAX(Table1[[#This Row],[DiscountPct]],0),0.3), Table1[[#This Row],[DiscountPct]])</f>
        <v>9.0999999999999998E-2</v>
      </c>
      <c r="T178" t="str">
        <f>IF(OR(Table1[[#This Row],[DiscountPct]]&lt;0,Table1[[#This Row],[DiscountPct]]&gt;0.3),"Check","OK")</f>
        <v>OK</v>
      </c>
      <c r="U178" s="11">
        <v>9.0999999999999998E-2</v>
      </c>
      <c r="V178" s="15">
        <f t="shared" si="33"/>
        <v>0</v>
      </c>
      <c r="W178" s="11">
        <f t="shared" si="34"/>
        <v>0.45746967891338081</v>
      </c>
      <c r="X178" s="17">
        <f t="shared" si="35"/>
        <v>8494.11</v>
      </c>
      <c r="Y178" s="17">
        <f t="shared" si="36"/>
        <v>7162.3605599999992</v>
      </c>
      <c r="Z178" s="17">
        <f t="shared" si="37"/>
        <v>15656.47056</v>
      </c>
      <c r="AA178" s="17" t="str">
        <f t="shared" si="38"/>
        <v>Q3-2023</v>
      </c>
      <c r="AB178" s="12" t="str">
        <f t="shared" si="39"/>
        <v>Aug-2023</v>
      </c>
      <c r="AC178" s="12" t="str">
        <f t="shared" si="40"/>
        <v>High</v>
      </c>
      <c r="AD178">
        <v>9</v>
      </c>
      <c r="AE178" s="12">
        <f>_xlfn.MINIFS(Table1[MonthDate], Table1[Country], Table1[[#This Row],[Country]])</f>
        <v>44927</v>
      </c>
      <c r="AF178" s="12">
        <f t="shared" si="41"/>
        <v>45139</v>
      </c>
      <c r="AG178">
        <f>AD178*(1 + Scenario_Control!$B$4)</f>
        <v>9.9</v>
      </c>
      <c r="AH178">
        <f>O178*(1 + Scenario_Control!$B$3)</f>
        <v>990.97950000000003</v>
      </c>
      <c r="AI178">
        <f t="shared" si="42"/>
        <v>3444.4235232000005</v>
      </c>
      <c r="AJ178">
        <f t="shared" si="43"/>
        <v>-6366.2735267999997</v>
      </c>
      <c r="AK178" s="29">
        <f>MIN(Q178*(1-U178), Scenario_Control!$B$2*Q178)</f>
        <v>382.75200000000001</v>
      </c>
      <c r="AL178" s="15">
        <f t="shared" si="44"/>
        <v>0</v>
      </c>
      <c r="AM178" s="8">
        <f>DATEDIF(Table1[[#This Row],[Country_FirstMonth]], Table1[[#This Row],[MonthDate]], "m")</f>
        <v>7</v>
      </c>
    </row>
    <row r="179" spans="1:39" x14ac:dyDescent="0.25">
      <c r="A179" t="s">
        <v>192</v>
      </c>
      <c r="B179" s="12">
        <v>45325</v>
      </c>
      <c r="C179" s="12">
        <f t="shared" si="30"/>
        <v>45343</v>
      </c>
      <c r="D179" s="2" t="str">
        <f>IF(Table1[[#This Row],[RequiredDate]]&lt;Table1[[#This Row],[OrderDate]],"Check","OK")</f>
        <v>OK</v>
      </c>
      <c r="E179" s="2">
        <v>45343</v>
      </c>
      <c r="F179" s="15">
        <f t="shared" si="31"/>
        <v>18</v>
      </c>
      <c r="G179" t="s">
        <v>649</v>
      </c>
      <c r="H179" t="s">
        <v>656</v>
      </c>
      <c r="I179" t="s">
        <v>698</v>
      </c>
      <c r="J179" t="s">
        <v>701</v>
      </c>
      <c r="K179" t="s">
        <v>707</v>
      </c>
      <c r="L179" t="s">
        <v>722</v>
      </c>
      <c r="M179" t="s">
        <v>727</v>
      </c>
      <c r="N179" t="s">
        <v>911</v>
      </c>
      <c r="O179" s="29">
        <v>39.229999999999997</v>
      </c>
      <c r="P179" t="str">
        <f>IF(Table1[[#This Row],[UnitPrice]]&lt;=0,"Check","OK")</f>
        <v>OK</v>
      </c>
      <c r="Q179" s="29">
        <f t="shared" si="32"/>
        <v>30.09</v>
      </c>
      <c r="R179">
        <v>30.09</v>
      </c>
      <c r="S179" s="5">
        <f>IF(Table1[[#This Row],[Discount_Flag]]="Check", MIN(MAX(Table1[[#This Row],[DiscountPct]],0),0.3), Table1[[#This Row],[DiscountPct]])</f>
        <v>0.17699999999999999</v>
      </c>
      <c r="T179" t="str">
        <f>IF(OR(Table1[[#This Row],[DiscountPct]]&lt;0,Table1[[#This Row],[DiscountPct]]&gt;0.3),"Check","OK")</f>
        <v>OK</v>
      </c>
      <c r="U179" s="11">
        <v>0.17699999999999999</v>
      </c>
      <c r="V179" s="15">
        <f t="shared" si="33"/>
        <v>0</v>
      </c>
      <c r="W179" s="11">
        <f t="shared" si="34"/>
        <v>-0.58414993981199359</v>
      </c>
      <c r="X179" s="17">
        <f t="shared" si="35"/>
        <v>509.98999999999995</v>
      </c>
      <c r="Y179" s="17">
        <f t="shared" si="36"/>
        <v>-188.05708999999996</v>
      </c>
      <c r="Z179" s="17">
        <f t="shared" si="37"/>
        <v>321.93290999999999</v>
      </c>
      <c r="AA179" s="17" t="str">
        <f t="shared" si="38"/>
        <v>Q1-2024</v>
      </c>
      <c r="AB179" s="12" t="str">
        <f t="shared" si="39"/>
        <v>Feb-2024</v>
      </c>
      <c r="AC179" s="12" t="str">
        <f t="shared" si="40"/>
        <v>Low</v>
      </c>
      <c r="AD179">
        <v>13</v>
      </c>
      <c r="AE179" s="12">
        <f>_xlfn.MINIFS(Table1[MonthDate], Table1[Country], Table1[[#This Row],[Country]])</f>
        <v>44927</v>
      </c>
      <c r="AF179" s="12">
        <f t="shared" si="41"/>
        <v>45323</v>
      </c>
      <c r="AG179">
        <f>AD179*(1 + Scenario_Control!$B$4)</f>
        <v>14.3</v>
      </c>
      <c r="AH179">
        <f>O179*(1 + Scenario_Control!$B$3)</f>
        <v>41.191499999999998</v>
      </c>
      <c r="AI179">
        <f t="shared" si="42"/>
        <v>70.82524020000001</v>
      </c>
      <c r="AJ179">
        <f t="shared" si="43"/>
        <v>-518.21320979999996</v>
      </c>
      <c r="AK179" s="29">
        <f>MIN(Q179*(1-U179), Scenario_Control!$B$2*Q179)</f>
        <v>6.0180000000000007</v>
      </c>
      <c r="AL179" s="15">
        <f t="shared" si="44"/>
        <v>0</v>
      </c>
      <c r="AM179" s="8">
        <f>DATEDIF(Table1[[#This Row],[Country_FirstMonth]], Table1[[#This Row],[MonthDate]], "m")</f>
        <v>13</v>
      </c>
    </row>
    <row r="180" spans="1:39" x14ac:dyDescent="0.25">
      <c r="A180" t="s">
        <v>193</v>
      </c>
      <c r="B180" s="12">
        <v>45021</v>
      </c>
      <c r="C180" s="12">
        <f t="shared" si="30"/>
        <v>45032</v>
      </c>
      <c r="D180" s="2" t="str">
        <f>IF(Table1[[#This Row],[RequiredDate]]&lt;Table1[[#This Row],[OrderDate]],"Check","OK")</f>
        <v>OK</v>
      </c>
      <c r="E180" s="2">
        <v>45032</v>
      </c>
      <c r="F180" s="15">
        <f t="shared" si="31"/>
        <v>11</v>
      </c>
      <c r="G180" t="s">
        <v>648</v>
      </c>
      <c r="H180" t="s">
        <v>653</v>
      </c>
      <c r="I180" t="s">
        <v>688</v>
      </c>
      <c r="J180" t="s">
        <v>703</v>
      </c>
      <c r="K180" t="s">
        <v>708</v>
      </c>
      <c r="L180" t="s">
        <v>719</v>
      </c>
      <c r="M180" t="s">
        <v>732</v>
      </c>
      <c r="N180" t="s">
        <v>912</v>
      </c>
      <c r="O180" s="29">
        <v>213.1</v>
      </c>
      <c r="P180" t="str">
        <f>IF(Table1[[#This Row],[UnitPrice]]&lt;=0,"Check","OK")</f>
        <v>OK</v>
      </c>
      <c r="Q180" s="29">
        <f t="shared" si="32"/>
        <v>501.31</v>
      </c>
      <c r="R180">
        <v>501.31</v>
      </c>
      <c r="S180" s="5">
        <f>IF(Table1[[#This Row],[Discount_Flag]]="Check", MIN(MAX(Table1[[#This Row],[DiscountPct]],0),0.3), Table1[[#This Row],[DiscountPct]])</f>
        <v>5.6000000000000001E-2</v>
      </c>
      <c r="T180" t="str">
        <f>IF(OR(Table1[[#This Row],[DiscountPct]]&lt;0,Table1[[#This Row],[DiscountPct]]&gt;0.3),"Check","OK")</f>
        <v>OK</v>
      </c>
      <c r="U180" s="11">
        <v>5.6000000000000001E-2</v>
      </c>
      <c r="V180" s="15">
        <f t="shared" si="33"/>
        <v>0</v>
      </c>
      <c r="W180" s="11">
        <f t="shared" si="34"/>
        <v>0.54969674368409005</v>
      </c>
      <c r="X180" s="17">
        <f t="shared" si="35"/>
        <v>3196.5</v>
      </c>
      <c r="Y180" s="17">
        <f t="shared" si="36"/>
        <v>3902.0495999999994</v>
      </c>
      <c r="Z180" s="17">
        <f t="shared" si="37"/>
        <v>7098.5495999999994</v>
      </c>
      <c r="AA180" s="17" t="str">
        <f t="shared" si="38"/>
        <v>Q2-2023</v>
      </c>
      <c r="AB180" s="12" t="str">
        <f t="shared" si="39"/>
        <v>Apr-2023</v>
      </c>
      <c r="AC180" s="12" t="str">
        <f t="shared" si="40"/>
        <v>Low</v>
      </c>
      <c r="AD180">
        <v>15</v>
      </c>
      <c r="AE180" s="12">
        <f>_xlfn.MINIFS(Table1[MonthDate], Table1[Country], Table1[[#This Row],[Country]])</f>
        <v>44927</v>
      </c>
      <c r="AF180" s="12">
        <f t="shared" si="41"/>
        <v>45017</v>
      </c>
      <c r="AG180">
        <f>AD180*(1 + Scenario_Control!$B$4)</f>
        <v>16.5</v>
      </c>
      <c r="AH180">
        <f>O180*(1 + Scenario_Control!$B$3)</f>
        <v>223.755</v>
      </c>
      <c r="AI180">
        <f t="shared" si="42"/>
        <v>1561.680912</v>
      </c>
      <c r="AJ180">
        <f t="shared" si="43"/>
        <v>-2130.2765879999997</v>
      </c>
      <c r="AK180" s="29">
        <f>MIN(Q180*(1-U180), Scenario_Control!$B$2*Q180)</f>
        <v>100.262</v>
      </c>
      <c r="AL180" s="15">
        <f t="shared" si="44"/>
        <v>0</v>
      </c>
      <c r="AM180" s="8">
        <f>DATEDIF(Table1[[#This Row],[Country_FirstMonth]], Table1[[#This Row],[MonthDate]], "m")</f>
        <v>3</v>
      </c>
    </row>
    <row r="181" spans="1:39" x14ac:dyDescent="0.25">
      <c r="A181" t="s">
        <v>194</v>
      </c>
      <c r="B181" s="12">
        <v>45890</v>
      </c>
      <c r="C181" s="12">
        <f t="shared" si="30"/>
        <v>45912</v>
      </c>
      <c r="D181" s="2" t="str">
        <f>IF(Table1[[#This Row],[RequiredDate]]&lt;Table1[[#This Row],[OrderDate]],"Check","OK")</f>
        <v>OK</v>
      </c>
      <c r="E181" s="2">
        <v>45912</v>
      </c>
      <c r="F181" s="15">
        <f t="shared" si="31"/>
        <v>22</v>
      </c>
      <c r="G181" t="s">
        <v>647</v>
      </c>
      <c r="H181" t="s">
        <v>659</v>
      </c>
      <c r="I181" t="s">
        <v>676</v>
      </c>
      <c r="J181" t="s">
        <v>702</v>
      </c>
      <c r="K181" t="s">
        <v>707</v>
      </c>
      <c r="L181" t="s">
        <v>717</v>
      </c>
      <c r="M181" t="s">
        <v>728</v>
      </c>
      <c r="N181" t="s">
        <v>913</v>
      </c>
      <c r="O181" s="29">
        <v>352.66</v>
      </c>
      <c r="P181" t="str">
        <f>IF(Table1[[#This Row],[UnitPrice]]&lt;=0,"Check","OK")</f>
        <v>OK</v>
      </c>
      <c r="Q181" s="29">
        <f t="shared" si="32"/>
        <v>411.18</v>
      </c>
      <c r="R181">
        <v>411.18</v>
      </c>
      <c r="S181" s="5">
        <f>IF(Table1[[#This Row],[Discount_Flag]]="Check", MIN(MAX(Table1[[#This Row],[DiscountPct]],0),0.3), Table1[[#This Row],[DiscountPct]])</f>
        <v>0.17299999999999999</v>
      </c>
      <c r="T181" t="str">
        <f>IF(OR(Table1[[#This Row],[DiscountPct]]&lt;0,Table1[[#This Row],[DiscountPct]]&gt;0.3),"Check","OK")</f>
        <v>OK</v>
      </c>
      <c r="U181" s="11">
        <v>0.17299999999999999</v>
      </c>
      <c r="V181" s="15">
        <f t="shared" si="33"/>
        <v>0</v>
      </c>
      <c r="W181" s="11">
        <f t="shared" si="34"/>
        <v>-3.7095408248758066E-2</v>
      </c>
      <c r="X181" s="17">
        <f t="shared" si="35"/>
        <v>4584.58</v>
      </c>
      <c r="Y181" s="17">
        <f t="shared" si="36"/>
        <v>-163.98382000000038</v>
      </c>
      <c r="Z181" s="17">
        <f t="shared" si="37"/>
        <v>4420.5961799999995</v>
      </c>
      <c r="AA181" s="17" t="str">
        <f t="shared" si="38"/>
        <v>Q3-2025</v>
      </c>
      <c r="AB181" s="12" t="str">
        <f t="shared" si="39"/>
        <v>Aug-2025</v>
      </c>
      <c r="AC181" s="12" t="str">
        <f t="shared" si="40"/>
        <v>Low</v>
      </c>
      <c r="AD181">
        <v>13</v>
      </c>
      <c r="AE181" s="12">
        <f>_xlfn.MINIFS(Table1[MonthDate], Table1[Country], Table1[[#This Row],[Country]])</f>
        <v>44927</v>
      </c>
      <c r="AF181" s="12">
        <f t="shared" si="41"/>
        <v>45870</v>
      </c>
      <c r="AG181">
        <f>AD181*(1 + Scenario_Control!$B$4)</f>
        <v>14.3</v>
      </c>
      <c r="AH181">
        <f>O181*(1 + Scenario_Control!$B$3)</f>
        <v>370.29300000000006</v>
      </c>
      <c r="AI181">
        <f t="shared" si="42"/>
        <v>972.53115960000014</v>
      </c>
      <c r="AJ181">
        <f t="shared" si="43"/>
        <v>-4322.6587404000011</v>
      </c>
      <c r="AK181" s="29">
        <f>MIN(Q181*(1-U181), Scenario_Control!$B$2*Q181)</f>
        <v>82.236000000000004</v>
      </c>
      <c r="AL181" s="15">
        <f t="shared" si="44"/>
        <v>0</v>
      </c>
      <c r="AM181" s="8">
        <f>DATEDIF(Table1[[#This Row],[Country_FirstMonth]], Table1[[#This Row],[MonthDate]], "m")</f>
        <v>31</v>
      </c>
    </row>
    <row r="182" spans="1:39" x14ac:dyDescent="0.25">
      <c r="A182" t="s">
        <v>195</v>
      </c>
      <c r="B182" s="12">
        <v>45915</v>
      </c>
      <c r="C182" s="12">
        <f t="shared" si="30"/>
        <v>45918</v>
      </c>
      <c r="D182" s="2" t="str">
        <f>IF(Table1[[#This Row],[RequiredDate]]&lt;Table1[[#This Row],[OrderDate]],"Check","OK")</f>
        <v>OK</v>
      </c>
      <c r="E182" s="2">
        <v>45918</v>
      </c>
      <c r="F182" s="15">
        <f t="shared" si="31"/>
        <v>3</v>
      </c>
      <c r="G182" t="s">
        <v>648</v>
      </c>
      <c r="H182" t="s">
        <v>655</v>
      </c>
      <c r="I182" t="s">
        <v>692</v>
      </c>
      <c r="J182" t="s">
        <v>703</v>
      </c>
      <c r="K182" t="s">
        <v>711</v>
      </c>
      <c r="L182" t="s">
        <v>716</v>
      </c>
      <c r="M182" t="s">
        <v>733</v>
      </c>
      <c r="N182" t="s">
        <v>914</v>
      </c>
      <c r="O182" s="29">
        <v>5.5</v>
      </c>
      <c r="P182" t="str">
        <f>IF(Table1[[#This Row],[UnitPrice]]&lt;=0,"Check","OK")</f>
        <v>OK</v>
      </c>
      <c r="Q182" s="29">
        <f t="shared" si="32"/>
        <v>5.92</v>
      </c>
      <c r="R182">
        <v>5.92</v>
      </c>
      <c r="S182" s="5">
        <f>IF(Table1[[#This Row],[Discount_Flag]]="Check", MIN(MAX(Table1[[#This Row],[DiscountPct]],0),0.3), Table1[[#This Row],[DiscountPct]])</f>
        <v>0.21199999999999999</v>
      </c>
      <c r="T182" t="str">
        <f>IF(OR(Table1[[#This Row],[DiscountPct]]&lt;0,Table1[[#This Row],[DiscountPct]]&gt;0.3),"Check","OK")</f>
        <v>OK</v>
      </c>
      <c r="U182" s="11">
        <v>0.21199999999999999</v>
      </c>
      <c r="V182" s="15">
        <f t="shared" si="33"/>
        <v>1</v>
      </c>
      <c r="W182" s="11">
        <f t="shared" si="34"/>
        <v>-0.17900260666758133</v>
      </c>
      <c r="X182" s="17">
        <f t="shared" si="35"/>
        <v>22</v>
      </c>
      <c r="Y182" s="17">
        <f t="shared" si="36"/>
        <v>-3.3401600000000009</v>
      </c>
      <c r="Z182" s="17">
        <f t="shared" si="37"/>
        <v>18.659839999999999</v>
      </c>
      <c r="AA182" s="17" t="str">
        <f t="shared" si="38"/>
        <v>Q3-2025</v>
      </c>
      <c r="AB182" s="12" t="str">
        <f t="shared" si="39"/>
        <v>Sept-2025</v>
      </c>
      <c r="AC182" s="12" t="str">
        <f t="shared" si="40"/>
        <v>Low</v>
      </c>
      <c r="AD182">
        <v>4</v>
      </c>
      <c r="AE182" s="12">
        <f>_xlfn.MINIFS(Table1[MonthDate], Table1[Country], Table1[[#This Row],[Country]])</f>
        <v>44927</v>
      </c>
      <c r="AF182" s="12">
        <f t="shared" si="41"/>
        <v>45901</v>
      </c>
      <c r="AG182">
        <f>AD182*(1 + Scenario_Control!$B$4)</f>
        <v>4.4000000000000004</v>
      </c>
      <c r="AH182">
        <f>O182*(1 + Scenario_Control!$B$3)</f>
        <v>5.7750000000000004</v>
      </c>
      <c r="AI182">
        <f t="shared" si="42"/>
        <v>4.1051647999999998</v>
      </c>
      <c r="AJ182">
        <f t="shared" si="43"/>
        <v>-21.304835200000003</v>
      </c>
      <c r="AK182" s="29">
        <f>MIN(Q182*(1-U182), Scenario_Control!$B$2*Q182)</f>
        <v>1.1839999999999999</v>
      </c>
      <c r="AL182" s="15">
        <f t="shared" si="44"/>
        <v>1</v>
      </c>
      <c r="AM182" s="8">
        <f>DATEDIF(Table1[[#This Row],[Country_FirstMonth]], Table1[[#This Row],[MonthDate]], "m")</f>
        <v>32</v>
      </c>
    </row>
    <row r="183" spans="1:39" x14ac:dyDescent="0.25">
      <c r="A183" t="s">
        <v>196</v>
      </c>
      <c r="B183" s="12">
        <v>45568</v>
      </c>
      <c r="C183" s="12">
        <f t="shared" si="30"/>
        <v>45576</v>
      </c>
      <c r="D183" s="2" t="str">
        <f>IF(Table1[[#This Row],[RequiredDate]]&lt;Table1[[#This Row],[OrderDate]],"Check","OK")</f>
        <v>OK</v>
      </c>
      <c r="E183" s="2">
        <v>45576</v>
      </c>
      <c r="F183" s="15">
        <f t="shared" si="31"/>
        <v>8</v>
      </c>
      <c r="G183" t="s">
        <v>647</v>
      </c>
      <c r="H183" t="s">
        <v>659</v>
      </c>
      <c r="I183" t="s">
        <v>699</v>
      </c>
      <c r="J183" t="s">
        <v>706</v>
      </c>
      <c r="K183" t="s">
        <v>711</v>
      </c>
      <c r="L183" t="s">
        <v>717</v>
      </c>
      <c r="M183" t="s">
        <v>730</v>
      </c>
      <c r="N183" t="s">
        <v>915</v>
      </c>
      <c r="O183" s="29">
        <v>1132.6099999999999</v>
      </c>
      <c r="P183" t="str">
        <f>IF(Table1[[#This Row],[UnitPrice]]&lt;=0,"Check","OK")</f>
        <v>OK</v>
      </c>
      <c r="Q183" s="29">
        <f t="shared" si="32"/>
        <v>2206.63</v>
      </c>
      <c r="R183">
        <v>2206.63</v>
      </c>
      <c r="S183" s="5">
        <f>IF(Table1[[#This Row],[Discount_Flag]]="Check", MIN(MAX(Table1[[#This Row],[DiscountPct]],0),0.3), Table1[[#This Row],[DiscountPct]])</f>
        <v>6.3E-2</v>
      </c>
      <c r="T183" t="str">
        <f>IF(OR(Table1[[#This Row],[DiscountPct]]&lt;0,Table1[[#This Row],[DiscountPct]]&gt;0.3),"Check","OK")</f>
        <v>OK</v>
      </c>
      <c r="U183" s="11">
        <v>6.3E-2</v>
      </c>
      <c r="V183" s="15">
        <f t="shared" si="33"/>
        <v>0</v>
      </c>
      <c r="W183" s="11">
        <f t="shared" si="34"/>
        <v>0.45221355351671338</v>
      </c>
      <c r="X183" s="17">
        <f t="shared" si="35"/>
        <v>22652.199999999997</v>
      </c>
      <c r="Y183" s="17">
        <f t="shared" si="36"/>
        <v>18700.046200000012</v>
      </c>
      <c r="Z183" s="17">
        <f t="shared" si="37"/>
        <v>41352.246200000009</v>
      </c>
      <c r="AA183" s="17" t="str">
        <f t="shared" si="38"/>
        <v>Q4-2024</v>
      </c>
      <c r="AB183" s="12" t="str">
        <f t="shared" si="39"/>
        <v>Oct-2024</v>
      </c>
      <c r="AC183" s="12" t="str">
        <f t="shared" si="40"/>
        <v>High</v>
      </c>
      <c r="AD183">
        <v>20</v>
      </c>
      <c r="AE183" s="12">
        <f>_xlfn.MINIFS(Table1[MonthDate], Table1[Country], Table1[[#This Row],[Country]])</f>
        <v>44927</v>
      </c>
      <c r="AF183" s="12">
        <f t="shared" si="41"/>
        <v>45566</v>
      </c>
      <c r="AG183">
        <f>AD183*(1 + Scenario_Control!$B$4)</f>
        <v>22</v>
      </c>
      <c r="AH183">
        <f>O183*(1 + Scenario_Control!$B$3)</f>
        <v>1189.2404999999999</v>
      </c>
      <c r="AI183">
        <f t="shared" si="42"/>
        <v>9097.4941640000015</v>
      </c>
      <c r="AJ183">
        <f t="shared" si="43"/>
        <v>-17065.796835999994</v>
      </c>
      <c r="AK183" s="29">
        <f>MIN(Q183*(1-U183), Scenario_Control!$B$2*Q183)</f>
        <v>441.32600000000002</v>
      </c>
      <c r="AL183" s="15">
        <f t="shared" si="44"/>
        <v>0</v>
      </c>
      <c r="AM183" s="8">
        <f>DATEDIF(Table1[[#This Row],[Country_FirstMonth]], Table1[[#This Row],[MonthDate]], "m")</f>
        <v>21</v>
      </c>
    </row>
    <row r="184" spans="1:39" x14ac:dyDescent="0.25">
      <c r="A184" t="s">
        <v>197</v>
      </c>
      <c r="B184" s="12">
        <v>45690</v>
      </c>
      <c r="C184" s="12">
        <f t="shared" si="30"/>
        <v>45720</v>
      </c>
      <c r="D184" s="2" t="str">
        <f>IF(Table1[[#This Row],[RequiredDate]]&lt;Table1[[#This Row],[OrderDate]],"Check","OK")</f>
        <v>OK</v>
      </c>
      <c r="E184" s="2">
        <v>45720</v>
      </c>
      <c r="F184" s="15">
        <f t="shared" si="31"/>
        <v>30</v>
      </c>
      <c r="G184" t="s">
        <v>647</v>
      </c>
      <c r="H184" t="s">
        <v>652</v>
      </c>
      <c r="I184" t="s">
        <v>666</v>
      </c>
      <c r="J184" t="s">
        <v>702</v>
      </c>
      <c r="K184" t="s">
        <v>710</v>
      </c>
      <c r="L184" t="s">
        <v>716</v>
      </c>
      <c r="M184" t="s">
        <v>733</v>
      </c>
      <c r="N184" t="s">
        <v>916</v>
      </c>
      <c r="O184" s="29">
        <v>766.59</v>
      </c>
      <c r="P184" t="str">
        <f>IF(Table1[[#This Row],[UnitPrice]]&lt;=0,"Check","OK")</f>
        <v>OK</v>
      </c>
      <c r="Q184" s="29">
        <f t="shared" si="32"/>
        <v>1912.8</v>
      </c>
      <c r="R184">
        <v>1912.8</v>
      </c>
      <c r="S184" s="5">
        <f>IF(Table1[[#This Row],[Discount_Flag]]="Check", MIN(MAX(Table1[[#This Row],[DiscountPct]],0),0.3), Table1[[#This Row],[DiscountPct]])</f>
        <v>0.19600000000000001</v>
      </c>
      <c r="T184" t="str">
        <f>IF(OR(Table1[[#This Row],[DiscountPct]]&lt;0,Table1[[#This Row],[DiscountPct]]&gt;0.3),"Check","OK")</f>
        <v>OK</v>
      </c>
      <c r="U184" s="11">
        <v>0.19600000000000001</v>
      </c>
      <c r="V184" s="15">
        <f t="shared" si="33"/>
        <v>0</v>
      </c>
      <c r="W184" s="11">
        <f t="shared" si="34"/>
        <v>0.50153170783472845</v>
      </c>
      <c r="X184" s="17">
        <f t="shared" si="35"/>
        <v>3832.9500000000003</v>
      </c>
      <c r="Y184" s="17">
        <f t="shared" si="36"/>
        <v>3856.5059999999999</v>
      </c>
      <c r="Z184" s="17">
        <f t="shared" si="37"/>
        <v>7689.4560000000001</v>
      </c>
      <c r="AA184" s="17" t="str">
        <f t="shared" si="38"/>
        <v>Q1-2025</v>
      </c>
      <c r="AB184" s="12" t="str">
        <f t="shared" si="39"/>
        <v>Feb-2025</v>
      </c>
      <c r="AC184" s="12" t="str">
        <f t="shared" si="40"/>
        <v>High</v>
      </c>
      <c r="AD184">
        <v>5</v>
      </c>
      <c r="AE184" s="12">
        <f>_xlfn.MINIFS(Table1[MonthDate], Table1[Country], Table1[[#This Row],[Country]])</f>
        <v>44986</v>
      </c>
      <c r="AF184" s="12">
        <f t="shared" si="41"/>
        <v>45689</v>
      </c>
      <c r="AG184">
        <f>AD184*(1 + Scenario_Control!$B$4)</f>
        <v>5.5</v>
      </c>
      <c r="AH184">
        <f>O184*(1 + Scenario_Control!$B$3)</f>
        <v>804.91950000000008</v>
      </c>
      <c r="AI184">
        <f t="shared" si="42"/>
        <v>1691.6803199999999</v>
      </c>
      <c r="AJ184">
        <f t="shared" si="43"/>
        <v>-2735.3769300000008</v>
      </c>
      <c r="AK184" s="29">
        <f>MIN(Q184*(1-U184), Scenario_Control!$B$2*Q184)</f>
        <v>382.56</v>
      </c>
      <c r="AL184" s="15">
        <f t="shared" si="44"/>
        <v>0</v>
      </c>
      <c r="AM184" s="8">
        <f>DATEDIF(Table1[[#This Row],[Country_FirstMonth]], Table1[[#This Row],[MonthDate]], "m")</f>
        <v>23</v>
      </c>
    </row>
    <row r="185" spans="1:39" x14ac:dyDescent="0.25">
      <c r="A185" t="s">
        <v>198</v>
      </c>
      <c r="B185" s="12">
        <v>45157</v>
      </c>
      <c r="C185" s="12">
        <f t="shared" si="30"/>
        <v>45161</v>
      </c>
      <c r="D185" s="2" t="str">
        <f>IF(Table1[[#This Row],[RequiredDate]]&lt;Table1[[#This Row],[OrderDate]],"Check","OK")</f>
        <v>OK</v>
      </c>
      <c r="E185" s="2">
        <v>45161</v>
      </c>
      <c r="F185" s="15">
        <f t="shared" si="31"/>
        <v>4</v>
      </c>
      <c r="G185" t="s">
        <v>646</v>
      </c>
      <c r="H185" t="s">
        <v>651</v>
      </c>
      <c r="I185" t="s">
        <v>669</v>
      </c>
      <c r="J185" t="s">
        <v>705</v>
      </c>
      <c r="K185" t="s">
        <v>708</v>
      </c>
      <c r="L185" t="s">
        <v>713</v>
      </c>
      <c r="M185" t="s">
        <v>732</v>
      </c>
      <c r="N185" t="s">
        <v>917</v>
      </c>
      <c r="O185" s="29">
        <v>790.63</v>
      </c>
      <c r="P185" t="str">
        <f>IF(Table1[[#This Row],[UnitPrice]]&lt;=0,"Check","OK")</f>
        <v>OK</v>
      </c>
      <c r="Q185" s="29">
        <f t="shared" si="32"/>
        <v>1382.31</v>
      </c>
      <c r="R185">
        <v>1382.31</v>
      </c>
      <c r="S185" s="5">
        <f>IF(Table1[[#This Row],[Discount_Flag]]="Check", MIN(MAX(Table1[[#This Row],[DiscountPct]],0),0.3), Table1[[#This Row],[DiscountPct]])</f>
        <v>0.10100000000000001</v>
      </c>
      <c r="T185" t="str">
        <f>IF(OR(Table1[[#This Row],[DiscountPct]]&lt;0,Table1[[#This Row],[DiscountPct]]&gt;0.3),"Check","OK")</f>
        <v>OK</v>
      </c>
      <c r="U185" s="11">
        <v>0.10100000000000001</v>
      </c>
      <c r="V185" s="15">
        <f t="shared" si="33"/>
        <v>0</v>
      </c>
      <c r="W185" s="11">
        <f t="shared" si="34"/>
        <v>0.36377878338116448</v>
      </c>
      <c r="X185" s="17">
        <f t="shared" si="35"/>
        <v>5534.41</v>
      </c>
      <c r="Y185" s="17">
        <f t="shared" si="36"/>
        <v>3164.4668300000012</v>
      </c>
      <c r="Z185" s="17">
        <f t="shared" si="37"/>
        <v>8698.8768300000011</v>
      </c>
      <c r="AA185" s="17" t="str">
        <f t="shared" si="38"/>
        <v>Q3-2023</v>
      </c>
      <c r="AB185" s="12" t="str">
        <f t="shared" si="39"/>
        <v>Aug-2023</v>
      </c>
      <c r="AC185" s="12" t="str">
        <f t="shared" si="40"/>
        <v>Medium</v>
      </c>
      <c r="AD185">
        <v>7</v>
      </c>
      <c r="AE185" s="12">
        <f>_xlfn.MINIFS(Table1[MonthDate], Table1[Country], Table1[[#This Row],[Country]])</f>
        <v>44927</v>
      </c>
      <c r="AF185" s="12">
        <f t="shared" si="41"/>
        <v>45139</v>
      </c>
      <c r="AG185">
        <f>AD185*(1 + Scenario_Control!$B$4)</f>
        <v>7.7000000000000011</v>
      </c>
      <c r="AH185">
        <f>O185*(1 + Scenario_Control!$B$3)</f>
        <v>830.16150000000005</v>
      </c>
      <c r="AI185">
        <f t="shared" si="42"/>
        <v>1913.7529026000004</v>
      </c>
      <c r="AJ185">
        <f t="shared" si="43"/>
        <v>-4478.4906474000009</v>
      </c>
      <c r="AK185" s="29">
        <f>MIN(Q185*(1-U185), Scenario_Control!$B$2*Q185)</f>
        <v>276.46199999999999</v>
      </c>
      <c r="AL185" s="15">
        <f t="shared" si="44"/>
        <v>1</v>
      </c>
      <c r="AM185" s="8">
        <f>DATEDIF(Table1[[#This Row],[Country_FirstMonth]], Table1[[#This Row],[MonthDate]], "m")</f>
        <v>7</v>
      </c>
    </row>
    <row r="186" spans="1:39" x14ac:dyDescent="0.25">
      <c r="A186" t="s">
        <v>199</v>
      </c>
      <c r="B186" s="12">
        <v>45587</v>
      </c>
      <c r="C186" s="12">
        <f t="shared" si="30"/>
        <v>45594</v>
      </c>
      <c r="D186" s="2" t="str">
        <f>IF(Table1[[#This Row],[RequiredDate]]&lt;Table1[[#This Row],[OrderDate]],"Check","OK")</f>
        <v>OK</v>
      </c>
      <c r="E186" s="2">
        <v>45594</v>
      </c>
      <c r="F186" s="15">
        <f t="shared" si="31"/>
        <v>7</v>
      </c>
      <c r="G186" t="s">
        <v>646</v>
      </c>
      <c r="H186" t="s">
        <v>651</v>
      </c>
      <c r="I186" t="s">
        <v>663</v>
      </c>
      <c r="J186" t="s">
        <v>706</v>
      </c>
      <c r="K186" t="s">
        <v>710</v>
      </c>
      <c r="L186" t="s">
        <v>724</v>
      </c>
      <c r="M186" t="s">
        <v>732</v>
      </c>
      <c r="N186" t="s">
        <v>918</v>
      </c>
      <c r="O186" s="29">
        <v>1023.06</v>
      </c>
      <c r="P186" t="str">
        <f>IF(Table1[[#This Row],[UnitPrice]]&lt;=0,"Check","OK")</f>
        <v>OK</v>
      </c>
      <c r="Q186" s="29">
        <f t="shared" si="32"/>
        <v>1355.61</v>
      </c>
      <c r="R186">
        <v>1355.61</v>
      </c>
      <c r="S186" s="5">
        <f>IF(Table1[[#This Row],[Discount_Flag]]="Check", MIN(MAX(Table1[[#This Row],[DiscountPct]],0),0.3), Table1[[#This Row],[DiscountPct]])</f>
        <v>0.153</v>
      </c>
      <c r="T186" t="str">
        <f>IF(OR(Table1[[#This Row],[DiscountPct]]&lt;0,Table1[[#This Row],[DiscountPct]]&gt;0.3),"Check","OK")</f>
        <v>OK</v>
      </c>
      <c r="U186" s="11">
        <v>0.153</v>
      </c>
      <c r="V186" s="15">
        <f t="shared" si="33"/>
        <v>0</v>
      </c>
      <c r="W186" s="11">
        <f t="shared" si="34"/>
        <v>0.10898927711888809</v>
      </c>
      <c r="X186" s="17">
        <f t="shared" si="35"/>
        <v>23530.379999999997</v>
      </c>
      <c r="Y186" s="17">
        <f t="shared" si="36"/>
        <v>2878.2584100000022</v>
      </c>
      <c r="Z186" s="17">
        <f t="shared" si="37"/>
        <v>26408.63841</v>
      </c>
      <c r="AA186" s="17" t="str">
        <f t="shared" si="38"/>
        <v>Q4-2024</v>
      </c>
      <c r="AB186" s="12" t="str">
        <f t="shared" si="39"/>
        <v>Oct-2024</v>
      </c>
      <c r="AC186" s="12" t="str">
        <f t="shared" si="40"/>
        <v>Medium</v>
      </c>
      <c r="AD186">
        <v>23</v>
      </c>
      <c r="AE186" s="12">
        <f>_xlfn.MINIFS(Table1[MonthDate], Table1[Country], Table1[[#This Row],[Country]])</f>
        <v>44927</v>
      </c>
      <c r="AF186" s="12">
        <f t="shared" si="41"/>
        <v>45566</v>
      </c>
      <c r="AG186">
        <f>AD186*(1 + Scenario_Control!$B$4)</f>
        <v>25.3</v>
      </c>
      <c r="AH186">
        <f>O186*(1 + Scenario_Control!$B$3)</f>
        <v>1074.213</v>
      </c>
      <c r="AI186">
        <f t="shared" si="42"/>
        <v>5809.9004502000007</v>
      </c>
      <c r="AJ186">
        <f t="shared" si="43"/>
        <v>-21367.6884498</v>
      </c>
      <c r="AK186" s="29">
        <f>MIN(Q186*(1-U186), Scenario_Control!$B$2*Q186)</f>
        <v>271.12200000000001</v>
      </c>
      <c r="AL186" s="15">
        <f t="shared" si="44"/>
        <v>1</v>
      </c>
      <c r="AM186" s="8">
        <f>DATEDIF(Table1[[#This Row],[Country_FirstMonth]], Table1[[#This Row],[MonthDate]], "m")</f>
        <v>21</v>
      </c>
    </row>
    <row r="187" spans="1:39" x14ac:dyDescent="0.25">
      <c r="A187" t="s">
        <v>200</v>
      </c>
      <c r="B187" s="12">
        <v>45099</v>
      </c>
      <c r="C187" s="12">
        <f t="shared" si="30"/>
        <v>45128</v>
      </c>
      <c r="D187" s="2" t="str">
        <f>IF(Table1[[#This Row],[RequiredDate]]&lt;Table1[[#This Row],[OrderDate]],"Check","OK")</f>
        <v>OK</v>
      </c>
      <c r="E187" s="2">
        <v>45128</v>
      </c>
      <c r="F187" s="15">
        <f t="shared" si="31"/>
        <v>29</v>
      </c>
      <c r="G187" t="s">
        <v>649</v>
      </c>
      <c r="H187" t="s">
        <v>657</v>
      </c>
      <c r="I187" t="s">
        <v>679</v>
      </c>
      <c r="J187" t="s">
        <v>701</v>
      </c>
      <c r="K187" t="s">
        <v>707</v>
      </c>
      <c r="L187" t="s">
        <v>713</v>
      </c>
      <c r="M187" t="s">
        <v>733</v>
      </c>
      <c r="N187" t="s">
        <v>919</v>
      </c>
      <c r="O187" s="29">
        <v>734.34</v>
      </c>
      <c r="P187" t="str">
        <f>IF(Table1[[#This Row],[UnitPrice]]&lt;=0,"Check","OK")</f>
        <v>OK</v>
      </c>
      <c r="Q187" s="29">
        <f t="shared" si="32"/>
        <v>887.9</v>
      </c>
      <c r="R187">
        <v>887.9</v>
      </c>
      <c r="S187" s="5">
        <f>IF(Table1[[#This Row],[Discount_Flag]]="Check", MIN(MAX(Table1[[#This Row],[DiscountPct]],0),0.3), Table1[[#This Row],[DiscountPct]])</f>
        <v>2.5000000000000001E-2</v>
      </c>
      <c r="T187" t="str">
        <f>IF(OR(Table1[[#This Row],[DiscountPct]]&lt;0,Table1[[#This Row],[DiscountPct]]&gt;0.3),"Check","OK")</f>
        <v>OK</v>
      </c>
      <c r="U187" s="11">
        <v>2.5000000000000001E-2</v>
      </c>
      <c r="V187" s="15">
        <f t="shared" si="33"/>
        <v>0</v>
      </c>
      <c r="W187" s="11">
        <f t="shared" si="34"/>
        <v>0.15174092716608753</v>
      </c>
      <c r="X187" s="17">
        <f t="shared" si="35"/>
        <v>8812.08</v>
      </c>
      <c r="Y187" s="17">
        <f t="shared" si="36"/>
        <v>1576.3499999999985</v>
      </c>
      <c r="Z187" s="17">
        <f t="shared" si="37"/>
        <v>10388.429999999998</v>
      </c>
      <c r="AA187" s="17" t="str">
        <f t="shared" si="38"/>
        <v>Q2-2023</v>
      </c>
      <c r="AB187" s="12" t="str">
        <f t="shared" si="39"/>
        <v>Jun-2023</v>
      </c>
      <c r="AC187" s="12" t="str">
        <f t="shared" si="40"/>
        <v>Medium</v>
      </c>
      <c r="AD187">
        <v>12</v>
      </c>
      <c r="AE187" s="12">
        <f>_xlfn.MINIFS(Table1[MonthDate], Table1[Country], Table1[[#This Row],[Country]])</f>
        <v>44927</v>
      </c>
      <c r="AF187" s="12">
        <f t="shared" si="41"/>
        <v>45078</v>
      </c>
      <c r="AG187">
        <f>AD187*(1 + Scenario_Control!$B$4)</f>
        <v>13.200000000000001</v>
      </c>
      <c r="AH187">
        <f>O187*(1 + Scenario_Control!$B$3)</f>
        <v>771.05700000000002</v>
      </c>
      <c r="AI187">
        <f t="shared" si="42"/>
        <v>2285.4546000000005</v>
      </c>
      <c r="AJ187">
        <f t="shared" si="43"/>
        <v>-7892.497800000001</v>
      </c>
      <c r="AK187" s="29">
        <f>MIN(Q187*(1-U187), Scenario_Control!$B$2*Q187)</f>
        <v>177.58</v>
      </c>
      <c r="AL187" s="15">
        <f t="shared" si="44"/>
        <v>0</v>
      </c>
      <c r="AM187" s="8">
        <f>DATEDIF(Table1[[#This Row],[Country_FirstMonth]], Table1[[#This Row],[MonthDate]], "m")</f>
        <v>5</v>
      </c>
    </row>
    <row r="188" spans="1:39" x14ac:dyDescent="0.25">
      <c r="A188" t="s">
        <v>201</v>
      </c>
      <c r="B188" s="12">
        <v>45670</v>
      </c>
      <c r="C188" s="12">
        <f t="shared" si="30"/>
        <v>45696</v>
      </c>
      <c r="D188" s="2" t="str">
        <f>IF(Table1[[#This Row],[RequiredDate]]&lt;Table1[[#This Row],[OrderDate]],"Check","OK")</f>
        <v>OK</v>
      </c>
      <c r="E188" s="2">
        <v>45696</v>
      </c>
      <c r="F188" s="15">
        <f t="shared" si="31"/>
        <v>26</v>
      </c>
      <c r="G188" t="s">
        <v>649</v>
      </c>
      <c r="H188" t="s">
        <v>657</v>
      </c>
      <c r="I188" t="s">
        <v>690</v>
      </c>
      <c r="J188" t="s">
        <v>703</v>
      </c>
      <c r="K188" t="s">
        <v>1428</v>
      </c>
      <c r="L188" t="s">
        <v>718</v>
      </c>
      <c r="M188" t="s">
        <v>732</v>
      </c>
      <c r="N188" t="s">
        <v>920</v>
      </c>
      <c r="O188" s="29">
        <v>594.74</v>
      </c>
      <c r="P188" t="str">
        <f>IF(Table1[[#This Row],[UnitPrice]]&lt;=0,"Check","OK")</f>
        <v>OK</v>
      </c>
      <c r="Q188" s="29">
        <f t="shared" si="32"/>
        <v>1020.69</v>
      </c>
      <c r="R188">
        <v>1020.69</v>
      </c>
      <c r="S188" s="5">
        <f>IF(Table1[[#This Row],[Discount_Flag]]="Check", MIN(MAX(Table1[[#This Row],[DiscountPct]],0),0.3), Table1[[#This Row],[DiscountPct]])</f>
        <v>0.21099999999999999</v>
      </c>
      <c r="T188" t="str">
        <f>IF(OR(Table1[[#This Row],[DiscountPct]]&lt;0,Table1[[#This Row],[DiscountPct]]&gt;0.3),"Check","OK")</f>
        <v>OK</v>
      </c>
      <c r="U188" s="11">
        <v>0.21099999999999999</v>
      </c>
      <c r="V188" s="15">
        <f t="shared" si="33"/>
        <v>1</v>
      </c>
      <c r="W188" s="11">
        <f t="shared" si="34"/>
        <v>0.26149016146176424</v>
      </c>
      <c r="X188" s="17">
        <f t="shared" si="35"/>
        <v>3568.44</v>
      </c>
      <c r="Y188" s="17">
        <f t="shared" si="36"/>
        <v>1263.5064600000001</v>
      </c>
      <c r="Z188" s="17">
        <f t="shared" si="37"/>
        <v>4831.9464600000001</v>
      </c>
      <c r="AA188" s="17" t="str">
        <f t="shared" si="38"/>
        <v>Q1-2025</v>
      </c>
      <c r="AB188" s="12" t="str">
        <f t="shared" si="39"/>
        <v>Jan-2025</v>
      </c>
      <c r="AC188" s="12" t="str">
        <f t="shared" si="40"/>
        <v>Medium</v>
      </c>
      <c r="AD188">
        <v>6</v>
      </c>
      <c r="AE188" s="12">
        <f>_xlfn.MINIFS(Table1[MonthDate], Table1[Country], Table1[[#This Row],[Country]])</f>
        <v>44927</v>
      </c>
      <c r="AF188" s="12">
        <f t="shared" si="41"/>
        <v>45658</v>
      </c>
      <c r="AG188">
        <f>AD188*(1 + Scenario_Control!$B$4)</f>
        <v>6.6000000000000005</v>
      </c>
      <c r="AH188">
        <f>O188*(1 + Scenario_Control!$B$3)</f>
        <v>624.47700000000009</v>
      </c>
      <c r="AI188">
        <f t="shared" si="42"/>
        <v>1063.0282212000004</v>
      </c>
      <c r="AJ188">
        <f t="shared" si="43"/>
        <v>-3058.5199788000009</v>
      </c>
      <c r="AK188" s="29">
        <f>MIN(Q188*(1-U188), Scenario_Control!$B$2*Q188)</f>
        <v>204.13800000000003</v>
      </c>
      <c r="AL188" s="15">
        <f t="shared" si="44"/>
        <v>0</v>
      </c>
      <c r="AM188" s="8">
        <f>DATEDIF(Table1[[#This Row],[Country_FirstMonth]], Table1[[#This Row],[MonthDate]], "m")</f>
        <v>24</v>
      </c>
    </row>
    <row r="189" spans="1:39" x14ac:dyDescent="0.25">
      <c r="A189" t="s">
        <v>144</v>
      </c>
      <c r="B189" s="12">
        <v>44955</v>
      </c>
      <c r="C189" s="12">
        <f t="shared" si="30"/>
        <v>44985</v>
      </c>
      <c r="D189" s="2" t="str">
        <f>IF(Table1[[#This Row],[RequiredDate]]&lt;Table1[[#This Row],[OrderDate]],"Check","OK")</f>
        <v>OK</v>
      </c>
      <c r="E189" s="2">
        <v>44985</v>
      </c>
      <c r="F189" s="15">
        <f t="shared" si="31"/>
        <v>30</v>
      </c>
      <c r="G189" t="s">
        <v>647</v>
      </c>
      <c r="H189" t="s">
        <v>654</v>
      </c>
      <c r="I189" t="s">
        <v>668</v>
      </c>
      <c r="J189" t="s">
        <v>703</v>
      </c>
      <c r="K189" t="s">
        <v>707</v>
      </c>
      <c r="L189" t="s">
        <v>717</v>
      </c>
      <c r="M189" t="s">
        <v>733</v>
      </c>
      <c r="N189" t="s">
        <v>921</v>
      </c>
      <c r="O189" s="29">
        <v>1262.0999999999999</v>
      </c>
      <c r="P189" t="str">
        <f>IF(Table1[[#This Row],[UnitPrice]]&lt;=0,"Check","OK")</f>
        <v>OK</v>
      </c>
      <c r="Q189" s="29">
        <f t="shared" si="32"/>
        <v>1395.53</v>
      </c>
      <c r="R189">
        <v>1395.53</v>
      </c>
      <c r="S189" s="5">
        <f>IF(Table1[[#This Row],[Discount_Flag]]="Check", MIN(MAX(Table1[[#This Row],[DiscountPct]],0),0.3), Table1[[#This Row],[DiscountPct]])</f>
        <v>0.23300000000000001</v>
      </c>
      <c r="T189" t="str">
        <f>IF(OR(Table1[[#This Row],[DiscountPct]]&lt;0,Table1[[#This Row],[DiscountPct]]&gt;0.3),"Check","OK")</f>
        <v>OK</v>
      </c>
      <c r="U189" s="11">
        <v>0.23300000000000001</v>
      </c>
      <c r="V189" s="15">
        <f t="shared" si="33"/>
        <v>1</v>
      </c>
      <c r="W189" s="11">
        <f t="shared" si="34"/>
        <v>-0.17912331205452198</v>
      </c>
      <c r="X189" s="17">
        <f t="shared" si="35"/>
        <v>31552.499999999996</v>
      </c>
      <c r="Y189" s="17">
        <f t="shared" si="36"/>
        <v>-4793.2122499999969</v>
      </c>
      <c r="Z189" s="17">
        <f t="shared" si="37"/>
        <v>26759.28775</v>
      </c>
      <c r="AA189" s="17" t="str">
        <f t="shared" si="38"/>
        <v>Q1-2023</v>
      </c>
      <c r="AB189" s="12" t="str">
        <f t="shared" si="39"/>
        <v>Jan-2023</v>
      </c>
      <c r="AC189" s="12" t="str">
        <f t="shared" si="40"/>
        <v>Medium</v>
      </c>
      <c r="AD189">
        <v>25</v>
      </c>
      <c r="AE189" s="12">
        <f>_xlfn.MINIFS(Table1[MonthDate], Table1[Country], Table1[[#This Row],[Country]])</f>
        <v>44927</v>
      </c>
      <c r="AF189" s="12">
        <f t="shared" si="41"/>
        <v>44927</v>
      </c>
      <c r="AG189">
        <f>AD189*(1 + Scenario_Control!$B$4)</f>
        <v>27.500000000000004</v>
      </c>
      <c r="AH189">
        <f>O189*(1 + Scenario_Control!$B$3)</f>
        <v>1325.2049999999999</v>
      </c>
      <c r="AI189">
        <f t="shared" si="42"/>
        <v>5887.0433050000011</v>
      </c>
      <c r="AJ189">
        <f t="shared" si="43"/>
        <v>-30556.094195000005</v>
      </c>
      <c r="AK189" s="29">
        <f>MIN(Q189*(1-U189), Scenario_Control!$B$2*Q189)</f>
        <v>279.10599999999999</v>
      </c>
      <c r="AL189" s="15">
        <f t="shared" si="44"/>
        <v>0</v>
      </c>
      <c r="AM189" s="8">
        <f>DATEDIF(Table1[[#This Row],[Country_FirstMonth]], Table1[[#This Row],[MonthDate]], "m")</f>
        <v>0</v>
      </c>
    </row>
    <row r="190" spans="1:39" x14ac:dyDescent="0.25">
      <c r="A190" t="s">
        <v>202</v>
      </c>
      <c r="B190" s="12">
        <v>45126</v>
      </c>
      <c r="C190" s="12">
        <f t="shared" si="30"/>
        <v>45138</v>
      </c>
      <c r="D190" s="2" t="str">
        <f>IF(Table1[[#This Row],[RequiredDate]]&lt;Table1[[#This Row],[OrderDate]],"Check","OK")</f>
        <v>OK</v>
      </c>
      <c r="E190" s="2">
        <v>45138</v>
      </c>
      <c r="F190" s="15">
        <f t="shared" si="31"/>
        <v>12</v>
      </c>
      <c r="G190" t="s">
        <v>648</v>
      </c>
      <c r="H190" t="s">
        <v>655</v>
      </c>
      <c r="I190" t="s">
        <v>692</v>
      </c>
      <c r="J190" t="s">
        <v>701</v>
      </c>
      <c r="K190" t="s">
        <v>707</v>
      </c>
      <c r="L190" t="s">
        <v>712</v>
      </c>
      <c r="M190" t="s">
        <v>732</v>
      </c>
      <c r="N190" t="s">
        <v>922</v>
      </c>
      <c r="O190" s="29">
        <v>1334.64</v>
      </c>
      <c r="P190" t="str">
        <f>IF(Table1[[#This Row],[UnitPrice]]&lt;=0,"Check","OK")</f>
        <v>OK</v>
      </c>
      <c r="Q190" s="29">
        <f t="shared" si="32"/>
        <v>2273.42</v>
      </c>
      <c r="R190">
        <v>2273.42</v>
      </c>
      <c r="S190" s="5">
        <f>IF(Table1[[#This Row],[Discount_Flag]]="Check", MIN(MAX(Table1[[#This Row],[DiscountPct]],0),0.3), Table1[[#This Row],[DiscountPct]])</f>
        <v>0.11799999999999999</v>
      </c>
      <c r="T190" t="str">
        <f>IF(OR(Table1[[#This Row],[DiscountPct]]&lt;0,Table1[[#This Row],[DiscountPct]]&gt;0.3),"Check","OK")</f>
        <v>OK</v>
      </c>
      <c r="U190" s="11">
        <v>0.11799999999999999</v>
      </c>
      <c r="V190" s="15">
        <f t="shared" si="33"/>
        <v>0</v>
      </c>
      <c r="W190" s="11">
        <f t="shared" si="34"/>
        <v>0.33439607335575267</v>
      </c>
      <c r="X190" s="17">
        <f t="shared" si="35"/>
        <v>18684.960000000003</v>
      </c>
      <c r="Y190" s="17">
        <f t="shared" si="36"/>
        <v>9387.2301599999992</v>
      </c>
      <c r="Z190" s="17">
        <f t="shared" si="37"/>
        <v>28072.190160000002</v>
      </c>
      <c r="AA190" s="17" t="str">
        <f t="shared" si="38"/>
        <v>Q3-2023</v>
      </c>
      <c r="AB190" s="12" t="str">
        <f t="shared" si="39"/>
        <v>Jul-2023</v>
      </c>
      <c r="AC190" s="12" t="str">
        <f t="shared" si="40"/>
        <v>High</v>
      </c>
      <c r="AD190">
        <v>14</v>
      </c>
      <c r="AE190" s="12">
        <f>_xlfn.MINIFS(Table1[MonthDate], Table1[Country], Table1[[#This Row],[Country]])</f>
        <v>44927</v>
      </c>
      <c r="AF190" s="12">
        <f t="shared" si="41"/>
        <v>45108</v>
      </c>
      <c r="AG190">
        <f>AD190*(1 + Scenario_Control!$B$4)</f>
        <v>15.400000000000002</v>
      </c>
      <c r="AH190">
        <f>O190*(1 + Scenario_Control!$B$3)</f>
        <v>1401.3720000000001</v>
      </c>
      <c r="AI190">
        <f t="shared" si="42"/>
        <v>6175.8818352000008</v>
      </c>
      <c r="AJ190">
        <f t="shared" si="43"/>
        <v>-15405.246964800004</v>
      </c>
      <c r="AK190" s="29">
        <f>MIN(Q190*(1-U190), Scenario_Control!$B$2*Q190)</f>
        <v>454.68400000000003</v>
      </c>
      <c r="AL190" s="15">
        <f t="shared" si="44"/>
        <v>0</v>
      </c>
      <c r="AM190" s="8">
        <f>DATEDIF(Table1[[#This Row],[Country_FirstMonth]], Table1[[#This Row],[MonthDate]], "m")</f>
        <v>6</v>
      </c>
    </row>
    <row r="191" spans="1:39" x14ac:dyDescent="0.25">
      <c r="A191" t="s">
        <v>203</v>
      </c>
      <c r="B191" s="12">
        <v>45431</v>
      </c>
      <c r="C191" s="12">
        <f t="shared" si="30"/>
        <v>45451</v>
      </c>
      <c r="D191" s="2" t="str">
        <f>IF(Table1[[#This Row],[RequiredDate]]&lt;Table1[[#This Row],[OrderDate]],"Check","OK")</f>
        <v>OK</v>
      </c>
      <c r="E191" s="2">
        <v>45451</v>
      </c>
      <c r="F191" s="15">
        <f t="shared" si="31"/>
        <v>20</v>
      </c>
      <c r="G191" t="s">
        <v>648</v>
      </c>
      <c r="H191" t="s">
        <v>655</v>
      </c>
      <c r="I191" t="s">
        <v>672</v>
      </c>
      <c r="J191" t="s">
        <v>705</v>
      </c>
      <c r="K191" t="s">
        <v>707</v>
      </c>
      <c r="L191" t="s">
        <v>718</v>
      </c>
      <c r="M191" t="s">
        <v>732</v>
      </c>
      <c r="N191" t="s">
        <v>923</v>
      </c>
      <c r="O191" s="29">
        <v>1075.9000000000001</v>
      </c>
      <c r="P191" t="str">
        <f>IF(Table1[[#This Row],[UnitPrice]]&lt;=0,"Check","OK")</f>
        <v>OK</v>
      </c>
      <c r="Q191" s="29">
        <f t="shared" si="32"/>
        <v>1242.1500000000001</v>
      </c>
      <c r="R191">
        <v>1242.1500000000001</v>
      </c>
      <c r="S191" s="5">
        <f>IF(Table1[[#This Row],[Discount_Flag]]="Check", MIN(MAX(Table1[[#This Row],[DiscountPct]],0),0.3), Table1[[#This Row],[DiscountPct]])</f>
        <v>1.2E-2</v>
      </c>
      <c r="T191" t="str">
        <f>IF(OR(Table1[[#This Row],[DiscountPct]]&lt;0,Table1[[#This Row],[DiscountPct]]&gt;0.3),"Check","OK")</f>
        <v>OK</v>
      </c>
      <c r="U191" s="11">
        <v>1.2E-2</v>
      </c>
      <c r="V191" s="15">
        <f t="shared" si="33"/>
        <v>0</v>
      </c>
      <c r="W191" s="11">
        <f t="shared" si="34"/>
        <v>0.12332036280961853</v>
      </c>
      <c r="X191" s="17">
        <f t="shared" si="35"/>
        <v>7531.3000000000011</v>
      </c>
      <c r="Y191" s="17">
        <f t="shared" si="36"/>
        <v>1059.4094000000005</v>
      </c>
      <c r="Z191" s="17">
        <f t="shared" si="37"/>
        <v>8590.7094000000016</v>
      </c>
      <c r="AA191" s="17" t="str">
        <f t="shared" si="38"/>
        <v>Q2-2024</v>
      </c>
      <c r="AB191" s="12" t="str">
        <f t="shared" si="39"/>
        <v>May-2024</v>
      </c>
      <c r="AC191" s="12" t="str">
        <f t="shared" si="40"/>
        <v>Medium</v>
      </c>
      <c r="AD191">
        <v>7</v>
      </c>
      <c r="AE191" s="12">
        <f>_xlfn.MINIFS(Table1[MonthDate], Table1[Country], Table1[[#This Row],[Country]])</f>
        <v>44927</v>
      </c>
      <c r="AF191" s="12">
        <f t="shared" si="41"/>
        <v>45413</v>
      </c>
      <c r="AG191">
        <f>AD191*(1 + Scenario_Control!$B$4)</f>
        <v>7.7000000000000011</v>
      </c>
      <c r="AH191">
        <f>O191*(1 + Scenario_Control!$B$3)</f>
        <v>1129.6950000000002</v>
      </c>
      <c r="AI191">
        <f t="shared" si="42"/>
        <v>1889.9560680000004</v>
      </c>
      <c r="AJ191">
        <f t="shared" si="43"/>
        <v>-6808.6954320000013</v>
      </c>
      <c r="AK191" s="29">
        <f>MIN(Q191*(1-U191), Scenario_Control!$B$2*Q191)</f>
        <v>248.43000000000004</v>
      </c>
      <c r="AL191" s="15">
        <f t="shared" si="44"/>
        <v>0</v>
      </c>
      <c r="AM191" s="8">
        <f>DATEDIF(Table1[[#This Row],[Country_FirstMonth]], Table1[[#This Row],[MonthDate]], "m")</f>
        <v>16</v>
      </c>
    </row>
    <row r="192" spans="1:39" x14ac:dyDescent="0.25">
      <c r="A192" t="s">
        <v>204</v>
      </c>
      <c r="B192" s="12">
        <v>45325</v>
      </c>
      <c r="C192" s="12">
        <f t="shared" si="30"/>
        <v>45341</v>
      </c>
      <c r="D192" s="2" t="str">
        <f>IF(Table1[[#This Row],[RequiredDate]]&lt;Table1[[#This Row],[OrderDate]],"Check","OK")</f>
        <v>OK</v>
      </c>
      <c r="E192" s="2">
        <v>45341</v>
      </c>
      <c r="F192" s="15">
        <f t="shared" si="31"/>
        <v>16</v>
      </c>
      <c r="G192" t="s">
        <v>647</v>
      </c>
      <c r="H192" t="s">
        <v>659</v>
      </c>
      <c r="I192" t="s">
        <v>676</v>
      </c>
      <c r="J192" t="s">
        <v>705</v>
      </c>
      <c r="K192" t="s">
        <v>708</v>
      </c>
      <c r="L192" t="s">
        <v>722</v>
      </c>
      <c r="M192" t="s">
        <v>731</v>
      </c>
      <c r="N192" t="s">
        <v>924</v>
      </c>
      <c r="O192" s="29">
        <v>993.75</v>
      </c>
      <c r="P192" t="str">
        <f>IF(Table1[[#This Row],[UnitPrice]]&lt;=0,"Check","OK")</f>
        <v>OK</v>
      </c>
      <c r="Q192" s="29">
        <f t="shared" si="32"/>
        <v>1310.29</v>
      </c>
      <c r="R192">
        <v>1310.29</v>
      </c>
      <c r="S192" s="5">
        <f>IF(Table1[[#This Row],[Discount_Flag]]="Check", MIN(MAX(Table1[[#This Row],[DiscountPct]],0),0.3), Table1[[#This Row],[DiscountPct]])</f>
        <v>0.215</v>
      </c>
      <c r="T192" t="str">
        <f>IF(OR(Table1[[#This Row],[DiscountPct]]&lt;0,Table1[[#This Row],[DiscountPct]]&gt;0.3),"Check","OK")</f>
        <v>OK</v>
      </c>
      <c r="U192" s="11">
        <v>0.215</v>
      </c>
      <c r="V192" s="15">
        <f t="shared" si="33"/>
        <v>1</v>
      </c>
      <c r="W192" s="11">
        <f t="shared" si="34"/>
        <v>3.3860010471742245E-2</v>
      </c>
      <c r="X192" s="17">
        <f t="shared" si="35"/>
        <v>18881.25</v>
      </c>
      <c r="Y192" s="17">
        <f t="shared" si="36"/>
        <v>661.72535000000062</v>
      </c>
      <c r="Z192" s="17">
        <f t="shared" si="37"/>
        <v>19542.975350000001</v>
      </c>
      <c r="AA192" s="17" t="str">
        <f t="shared" si="38"/>
        <v>Q1-2024</v>
      </c>
      <c r="AB192" s="12" t="str">
        <f t="shared" si="39"/>
        <v>Feb-2024</v>
      </c>
      <c r="AC192" s="12" t="str">
        <f t="shared" si="40"/>
        <v>Medium</v>
      </c>
      <c r="AD192">
        <v>19</v>
      </c>
      <c r="AE192" s="12">
        <f>_xlfn.MINIFS(Table1[MonthDate], Table1[Country], Table1[[#This Row],[Country]])</f>
        <v>44927</v>
      </c>
      <c r="AF192" s="12">
        <f t="shared" si="41"/>
        <v>45323</v>
      </c>
      <c r="AG192">
        <f>AD192*(1 + Scenario_Control!$B$4)</f>
        <v>20.900000000000002</v>
      </c>
      <c r="AH192">
        <f>O192*(1 + Scenario_Control!$B$3)</f>
        <v>1043.4375</v>
      </c>
      <c r="AI192">
        <f t="shared" si="42"/>
        <v>4299.4545770000004</v>
      </c>
      <c r="AJ192">
        <f t="shared" si="43"/>
        <v>-17508.389173000003</v>
      </c>
      <c r="AK192" s="29">
        <f>MIN(Q192*(1-U192), Scenario_Control!$B$2*Q192)</f>
        <v>262.05799999999999</v>
      </c>
      <c r="AL192" s="15">
        <f t="shared" si="44"/>
        <v>0</v>
      </c>
      <c r="AM192" s="8">
        <f>DATEDIF(Table1[[#This Row],[Country_FirstMonth]], Table1[[#This Row],[MonthDate]], "m")</f>
        <v>13</v>
      </c>
    </row>
    <row r="193" spans="1:39" x14ac:dyDescent="0.25">
      <c r="A193" t="s">
        <v>205</v>
      </c>
      <c r="B193" s="12">
        <v>45146</v>
      </c>
      <c r="C193" s="12">
        <f t="shared" si="30"/>
        <v>45160</v>
      </c>
      <c r="D193" s="2" t="str">
        <f>IF(Table1[[#This Row],[RequiredDate]]&lt;Table1[[#This Row],[OrderDate]],"Check","OK")</f>
        <v>OK</v>
      </c>
      <c r="E193" s="2">
        <v>45160</v>
      </c>
      <c r="F193" s="15">
        <f t="shared" si="31"/>
        <v>14</v>
      </c>
      <c r="G193" t="s">
        <v>649</v>
      </c>
      <c r="H193" t="s">
        <v>658</v>
      </c>
      <c r="I193" t="s">
        <v>674</v>
      </c>
      <c r="J193" t="s">
        <v>703</v>
      </c>
      <c r="K193" t="s">
        <v>711</v>
      </c>
      <c r="L193" t="s">
        <v>725</v>
      </c>
      <c r="M193" t="s">
        <v>732</v>
      </c>
      <c r="N193" t="s">
        <v>925</v>
      </c>
      <c r="O193" s="29">
        <v>446.69</v>
      </c>
      <c r="P193" t="str">
        <f>IF(Table1[[#This Row],[UnitPrice]]&lt;=0,"Check","OK")</f>
        <v>OK</v>
      </c>
      <c r="Q193" s="29">
        <f t="shared" si="32"/>
        <v>967.25</v>
      </c>
      <c r="R193">
        <v>967.25</v>
      </c>
      <c r="S193" s="5">
        <f>IF(Table1[[#This Row],[Discount_Flag]]="Check", MIN(MAX(Table1[[#This Row],[DiscountPct]],0),0.3), Table1[[#This Row],[DiscountPct]])</f>
        <v>9.4E-2</v>
      </c>
      <c r="T193" t="str">
        <f>IF(OR(Table1[[#This Row],[DiscountPct]]&lt;0,Table1[[#This Row],[DiscountPct]]&gt;0.3),"Check","OK")</f>
        <v>OK</v>
      </c>
      <c r="U193" s="11">
        <v>9.4E-2</v>
      </c>
      <c r="V193" s="15">
        <f t="shared" si="33"/>
        <v>0</v>
      </c>
      <c r="W193" s="11">
        <f t="shared" si="34"/>
        <v>0.49027105702941309</v>
      </c>
      <c r="X193" s="17">
        <f t="shared" si="35"/>
        <v>4466.8999999999996</v>
      </c>
      <c r="Y193" s="17">
        <f t="shared" si="36"/>
        <v>4296.3850000000002</v>
      </c>
      <c r="Z193" s="17">
        <f t="shared" si="37"/>
        <v>8763.2849999999999</v>
      </c>
      <c r="AA193" s="17" t="str">
        <f t="shared" si="38"/>
        <v>Q3-2023</v>
      </c>
      <c r="AB193" s="12" t="str">
        <f t="shared" si="39"/>
        <v>Aug-2023</v>
      </c>
      <c r="AC193" s="12" t="str">
        <f t="shared" si="40"/>
        <v>Medium</v>
      </c>
      <c r="AD193">
        <v>10</v>
      </c>
      <c r="AE193" s="12">
        <f>_xlfn.MINIFS(Table1[MonthDate], Table1[Country], Table1[[#This Row],[Country]])</f>
        <v>44927</v>
      </c>
      <c r="AF193" s="12">
        <f t="shared" si="41"/>
        <v>45139</v>
      </c>
      <c r="AG193">
        <f>AD193*(1 + Scenario_Control!$B$4)</f>
        <v>11</v>
      </c>
      <c r="AH193">
        <f>O193*(1 + Scenario_Control!$B$3)</f>
        <v>469.02449999999999</v>
      </c>
      <c r="AI193">
        <f t="shared" si="42"/>
        <v>1927.9227000000003</v>
      </c>
      <c r="AJ193">
        <f t="shared" si="43"/>
        <v>-3231.3468000000003</v>
      </c>
      <c r="AK193" s="29">
        <f>MIN(Q193*(1-U193), Scenario_Control!$B$2*Q193)</f>
        <v>193.45000000000002</v>
      </c>
      <c r="AL193" s="15">
        <f t="shared" si="44"/>
        <v>0</v>
      </c>
      <c r="AM193" s="8">
        <f>DATEDIF(Table1[[#This Row],[Country_FirstMonth]], Table1[[#This Row],[MonthDate]], "m")</f>
        <v>7</v>
      </c>
    </row>
    <row r="194" spans="1:39" x14ac:dyDescent="0.25">
      <c r="A194" t="s">
        <v>206</v>
      </c>
      <c r="B194" s="12">
        <v>45516</v>
      </c>
      <c r="C194" s="12">
        <f t="shared" ref="C194:C257" si="45">IF(D194="Check",B194+7,E194)</f>
        <v>45538</v>
      </c>
      <c r="D194" s="2" t="str">
        <f>IF(Table1[[#This Row],[RequiredDate]]&lt;Table1[[#This Row],[OrderDate]],"Check","OK")</f>
        <v>OK</v>
      </c>
      <c r="E194" s="2">
        <v>45538</v>
      </c>
      <c r="F194" s="15">
        <f t="shared" ref="F194:F257" si="46">C194-B194</f>
        <v>22</v>
      </c>
      <c r="G194" t="s">
        <v>648</v>
      </c>
      <c r="H194" t="s">
        <v>660</v>
      </c>
      <c r="I194" t="s">
        <v>697</v>
      </c>
      <c r="J194" t="s">
        <v>704</v>
      </c>
      <c r="K194" t="s">
        <v>710</v>
      </c>
      <c r="L194" t="s">
        <v>714</v>
      </c>
      <c r="M194" t="s">
        <v>731</v>
      </c>
      <c r="N194" t="s">
        <v>926</v>
      </c>
      <c r="O194" s="29">
        <v>797.8</v>
      </c>
      <c r="P194" t="str">
        <f>IF(Table1[[#This Row],[UnitPrice]]&lt;=0,"Check","OK")</f>
        <v>OK</v>
      </c>
      <c r="Q194" s="29">
        <f t="shared" ref="Q194:Q257" si="47">IF(R194&lt;0,0,R194)</f>
        <v>886.22</v>
      </c>
      <c r="R194">
        <v>886.22</v>
      </c>
      <c r="S194" s="5">
        <f>IF(Table1[[#This Row],[Discount_Flag]]="Check", MIN(MAX(Table1[[#This Row],[DiscountPct]],0),0.3), Table1[[#This Row],[DiscountPct]])</f>
        <v>0.23599999999999999</v>
      </c>
      <c r="T194" t="str">
        <f>IF(OR(Table1[[#This Row],[DiscountPct]]&lt;0,Table1[[#This Row],[DiscountPct]]&gt;0.3),"Check","OK")</f>
        <v>OK</v>
      </c>
      <c r="U194" s="11">
        <v>0.23599999999999999</v>
      </c>
      <c r="V194" s="15">
        <f t="shared" ref="V194:V257" si="48">IF(U194&gt;0.2,1,0)</f>
        <v>1</v>
      </c>
      <c r="W194" s="11">
        <f t="shared" ref="W194:W257" si="49">IF(Z194=0, 0, Y194/Z194)</f>
        <v>-0.17830881462428633</v>
      </c>
      <c r="X194" s="17">
        <f t="shared" ref="X194:X257" si="50">O194*AD194</f>
        <v>28720.799999999999</v>
      </c>
      <c r="Y194" s="17">
        <f t="shared" ref="Y194:Y257" si="51">Z194-X194</f>
        <v>-4346.2051199999987</v>
      </c>
      <c r="Z194" s="17">
        <f t="shared" ref="Z194:Z257" si="52">Q194*AD194*(1-S194)</f>
        <v>24374.594880000001</v>
      </c>
      <c r="AA194" s="17" t="str">
        <f t="shared" ref="AA194:AA257" si="53">"Q"&amp;ROUNDUP(MONTH(B194)/3,0)&amp;"-"&amp;YEAR(B194)</f>
        <v>Q3-2024</v>
      </c>
      <c r="AB194" s="12" t="str">
        <f t="shared" ref="AB194:AB257" si="54">TEXT(B194,"MMM-YYYY")</f>
        <v>Aug-2024</v>
      </c>
      <c r="AC194" s="12" t="str">
        <f t="shared" ref="AC194:AC257" si="55">IF(Q194&lt;=$AE$639,"Low",IF(Q194&lt;=$AE$641,"Medium","High"))</f>
        <v>Medium</v>
      </c>
      <c r="AD194">
        <v>36</v>
      </c>
      <c r="AE194" s="12">
        <f>_xlfn.MINIFS(Table1[MonthDate], Table1[Country], Table1[[#This Row],[Country]])</f>
        <v>44927</v>
      </c>
      <c r="AF194" s="12">
        <f t="shared" ref="AF194:AF257" si="56">DATE(YEAR(B194), MONTH(B194), 1)</f>
        <v>45505</v>
      </c>
      <c r="AG194">
        <f>AD194*(1 + Scenario_Control!$B$4)</f>
        <v>39.6</v>
      </c>
      <c r="AH194">
        <f>O194*(1 + Scenario_Control!$B$3)</f>
        <v>837.68999999999994</v>
      </c>
      <c r="AI194">
        <f t="shared" ref="AI194:AI257" si="57">AK194 * AG194 * (1 - U194)</f>
        <v>5362.4108736000017</v>
      </c>
      <c r="AJ194">
        <f t="shared" ref="AJ194:AJ257" si="58">AI194 - (AH194 * AG194)</f>
        <v>-27810.113126399996</v>
      </c>
      <c r="AK194" s="29">
        <f>MIN(Q194*(1-U194), Scenario_Control!$B$2*Q194)</f>
        <v>177.24400000000003</v>
      </c>
      <c r="AL194" s="15">
        <f t="shared" ref="AL194:AL257" si="59">IF(F194&lt;=7,1,0)</f>
        <v>0</v>
      </c>
      <c r="AM194" s="8">
        <f>DATEDIF(Table1[[#This Row],[Country_FirstMonth]], Table1[[#This Row],[MonthDate]], "m")</f>
        <v>19</v>
      </c>
    </row>
    <row r="195" spans="1:39" x14ac:dyDescent="0.25">
      <c r="A195" t="s">
        <v>207</v>
      </c>
      <c r="B195" s="12">
        <v>45214</v>
      </c>
      <c r="C195" s="12">
        <f t="shared" si="45"/>
        <v>45243</v>
      </c>
      <c r="D195" s="2" t="str">
        <f>IF(Table1[[#This Row],[RequiredDate]]&lt;Table1[[#This Row],[OrderDate]],"Check","OK")</f>
        <v>OK</v>
      </c>
      <c r="E195" s="2">
        <v>45243</v>
      </c>
      <c r="F195" s="15">
        <f t="shared" si="46"/>
        <v>29</v>
      </c>
      <c r="G195" t="s">
        <v>647</v>
      </c>
      <c r="H195" t="s">
        <v>659</v>
      </c>
      <c r="I195" t="s">
        <v>676</v>
      </c>
      <c r="J195" t="s">
        <v>703</v>
      </c>
      <c r="K195" t="s">
        <v>710</v>
      </c>
      <c r="L195" t="s">
        <v>713</v>
      </c>
      <c r="M195" t="s">
        <v>728</v>
      </c>
      <c r="N195" t="s">
        <v>927</v>
      </c>
      <c r="O195" s="29">
        <v>986.44</v>
      </c>
      <c r="P195" t="str">
        <f>IF(Table1[[#This Row],[UnitPrice]]&lt;=0,"Check","OK")</f>
        <v>OK</v>
      </c>
      <c r="Q195" s="29">
        <f t="shared" si="47"/>
        <v>790.61</v>
      </c>
      <c r="R195">
        <v>790.61</v>
      </c>
      <c r="S195" s="5">
        <f>IF(Table1[[#This Row],[Discount_Flag]]="Check", MIN(MAX(Table1[[#This Row],[DiscountPct]],0),0.3), Table1[[#This Row],[DiscountPct]])</f>
        <v>7.1999999999999995E-2</v>
      </c>
      <c r="T195" t="str">
        <f>IF(OR(Table1[[#This Row],[DiscountPct]]&lt;0,Table1[[#This Row],[DiscountPct]]&gt;0.3),"Check","OK")</f>
        <v>OK</v>
      </c>
      <c r="U195" s="11">
        <v>7.1999999999999995E-2</v>
      </c>
      <c r="V195" s="15">
        <f t="shared" si="48"/>
        <v>0</v>
      </c>
      <c r="W195" s="11">
        <f t="shared" si="49"/>
        <v>-0.34449872621271499</v>
      </c>
      <c r="X195" s="17">
        <f t="shared" si="50"/>
        <v>5918.64</v>
      </c>
      <c r="Y195" s="17">
        <f t="shared" si="51"/>
        <v>-1516.5235200000006</v>
      </c>
      <c r="Z195" s="17">
        <f t="shared" si="52"/>
        <v>4402.1164799999997</v>
      </c>
      <c r="AA195" s="17" t="str">
        <f t="shared" si="53"/>
        <v>Q4-2023</v>
      </c>
      <c r="AB195" s="12" t="str">
        <f t="shared" si="54"/>
        <v>Oct-2023</v>
      </c>
      <c r="AC195" s="12" t="str">
        <f t="shared" si="55"/>
        <v>Medium</v>
      </c>
      <c r="AD195">
        <v>6</v>
      </c>
      <c r="AE195" s="12">
        <f>_xlfn.MINIFS(Table1[MonthDate], Table1[Country], Table1[[#This Row],[Country]])</f>
        <v>44927</v>
      </c>
      <c r="AF195" s="12">
        <f t="shared" si="56"/>
        <v>45200</v>
      </c>
      <c r="AG195">
        <f>AD195*(1 + Scenario_Control!$B$4)</f>
        <v>6.6000000000000005</v>
      </c>
      <c r="AH195">
        <f>O195*(1 + Scenario_Control!$B$3)</f>
        <v>1035.7620000000002</v>
      </c>
      <c r="AI195">
        <f t="shared" si="57"/>
        <v>968.46562560000018</v>
      </c>
      <c r="AJ195">
        <f t="shared" si="58"/>
        <v>-5867.5635744000019</v>
      </c>
      <c r="AK195" s="29">
        <f>MIN(Q195*(1-U195), Scenario_Control!$B$2*Q195)</f>
        <v>158.12200000000001</v>
      </c>
      <c r="AL195" s="15">
        <f t="shared" si="59"/>
        <v>0</v>
      </c>
      <c r="AM195" s="8">
        <f>DATEDIF(Table1[[#This Row],[Country_FirstMonth]], Table1[[#This Row],[MonthDate]], "m")</f>
        <v>9</v>
      </c>
    </row>
    <row r="196" spans="1:39" x14ac:dyDescent="0.25">
      <c r="A196" t="s">
        <v>208</v>
      </c>
      <c r="B196" s="12">
        <v>45050</v>
      </c>
      <c r="C196" s="12">
        <f t="shared" si="45"/>
        <v>45072</v>
      </c>
      <c r="D196" s="2" t="str">
        <f>IF(Table1[[#This Row],[RequiredDate]]&lt;Table1[[#This Row],[OrderDate]],"Check","OK")</f>
        <v>OK</v>
      </c>
      <c r="E196" s="2">
        <v>45072</v>
      </c>
      <c r="F196" s="15">
        <f t="shared" si="46"/>
        <v>22</v>
      </c>
      <c r="G196" t="s">
        <v>648</v>
      </c>
      <c r="H196" t="s">
        <v>660</v>
      </c>
      <c r="I196" t="s">
        <v>686</v>
      </c>
      <c r="J196" t="s">
        <v>706</v>
      </c>
      <c r="K196" t="s">
        <v>708</v>
      </c>
      <c r="L196" t="s">
        <v>713</v>
      </c>
      <c r="M196" t="s">
        <v>729</v>
      </c>
      <c r="N196" t="s">
        <v>928</v>
      </c>
      <c r="O196" s="29">
        <v>249.71</v>
      </c>
      <c r="P196" t="str">
        <f>IF(Table1[[#This Row],[UnitPrice]]&lt;=0,"Check","OK")</f>
        <v>OK</v>
      </c>
      <c r="Q196" s="29">
        <f t="shared" si="47"/>
        <v>361.33</v>
      </c>
      <c r="R196">
        <v>361.33</v>
      </c>
      <c r="S196" s="5">
        <f>IF(Table1[[#This Row],[Discount_Flag]]="Check", MIN(MAX(Table1[[#This Row],[DiscountPct]],0),0.3), Table1[[#This Row],[DiscountPct]])</f>
        <v>9.4E-2</v>
      </c>
      <c r="T196" t="str">
        <f>IF(OR(Table1[[#This Row],[DiscountPct]]&lt;0,Table1[[#This Row],[DiscountPct]]&gt;0.3),"Check","OK")</f>
        <v>OK</v>
      </c>
      <c r="U196" s="11">
        <v>9.4E-2</v>
      </c>
      <c r="V196" s="15">
        <f t="shared" si="48"/>
        <v>0</v>
      </c>
      <c r="W196" s="11">
        <f t="shared" si="49"/>
        <v>0.23721223937881206</v>
      </c>
      <c r="X196" s="17">
        <f t="shared" si="50"/>
        <v>2996.52</v>
      </c>
      <c r="Y196" s="17">
        <f t="shared" si="51"/>
        <v>931.85976000000028</v>
      </c>
      <c r="Z196" s="17">
        <f t="shared" si="52"/>
        <v>3928.3797600000003</v>
      </c>
      <c r="AA196" s="17" t="str">
        <f t="shared" si="53"/>
        <v>Q2-2023</v>
      </c>
      <c r="AB196" s="12" t="str">
        <f t="shared" si="54"/>
        <v>May-2023</v>
      </c>
      <c r="AC196" s="12" t="str">
        <f t="shared" si="55"/>
        <v>Low</v>
      </c>
      <c r="AD196">
        <v>12</v>
      </c>
      <c r="AE196" s="12">
        <f>_xlfn.MINIFS(Table1[MonthDate], Table1[Country], Table1[[#This Row],[Country]])</f>
        <v>44927</v>
      </c>
      <c r="AF196" s="12">
        <f t="shared" si="56"/>
        <v>45047</v>
      </c>
      <c r="AG196">
        <f>AD196*(1 + Scenario_Control!$B$4)</f>
        <v>13.200000000000001</v>
      </c>
      <c r="AH196">
        <f>O196*(1 + Scenario_Control!$B$3)</f>
        <v>262.19550000000004</v>
      </c>
      <c r="AI196">
        <f t="shared" si="57"/>
        <v>864.24354720000008</v>
      </c>
      <c r="AJ196">
        <f t="shared" si="58"/>
        <v>-2596.7370528000006</v>
      </c>
      <c r="AK196" s="29">
        <f>MIN(Q196*(1-U196), Scenario_Control!$B$2*Q196)</f>
        <v>72.266000000000005</v>
      </c>
      <c r="AL196" s="15">
        <f t="shared" si="59"/>
        <v>0</v>
      </c>
      <c r="AM196" s="8">
        <f>DATEDIF(Table1[[#This Row],[Country_FirstMonth]], Table1[[#This Row],[MonthDate]], "m")</f>
        <v>4</v>
      </c>
    </row>
    <row r="197" spans="1:39" x14ac:dyDescent="0.25">
      <c r="A197" t="s">
        <v>209</v>
      </c>
      <c r="B197" s="12">
        <v>45557</v>
      </c>
      <c r="C197" s="12">
        <f t="shared" si="45"/>
        <v>45566</v>
      </c>
      <c r="D197" s="2" t="str">
        <f>IF(Table1[[#This Row],[RequiredDate]]&lt;Table1[[#This Row],[OrderDate]],"Check","OK")</f>
        <v>OK</v>
      </c>
      <c r="E197" s="2">
        <v>45566</v>
      </c>
      <c r="F197" s="15">
        <f t="shared" si="46"/>
        <v>9</v>
      </c>
      <c r="G197" t="s">
        <v>648</v>
      </c>
      <c r="H197" t="s">
        <v>655</v>
      </c>
      <c r="I197" t="s">
        <v>670</v>
      </c>
      <c r="J197" t="s">
        <v>703</v>
      </c>
      <c r="K197" t="s">
        <v>708</v>
      </c>
      <c r="L197" t="s">
        <v>723</v>
      </c>
      <c r="M197" t="s">
        <v>732</v>
      </c>
      <c r="N197" t="s">
        <v>929</v>
      </c>
      <c r="O197" s="29">
        <v>1378.8</v>
      </c>
      <c r="P197" t="str">
        <f>IF(Table1[[#This Row],[UnitPrice]]&lt;=0,"Check","OK")</f>
        <v>OK</v>
      </c>
      <c r="Q197" s="29">
        <f t="shared" si="47"/>
        <v>1952.04</v>
      </c>
      <c r="R197">
        <v>1952.04</v>
      </c>
      <c r="S197" s="5">
        <f>IF(Table1[[#This Row],[Discount_Flag]]="Check", MIN(MAX(Table1[[#This Row],[DiscountPct]],0),0.3), Table1[[#This Row],[DiscountPct]])</f>
        <v>0.159</v>
      </c>
      <c r="T197" t="str">
        <f>IF(OR(Table1[[#This Row],[DiscountPct]]&lt;0,Table1[[#This Row],[DiscountPct]]&gt;0.3),"Check","OK")</f>
        <v>OK</v>
      </c>
      <c r="U197" s="11">
        <v>0.159</v>
      </c>
      <c r="V197" s="15">
        <f t="shared" si="48"/>
        <v>0</v>
      </c>
      <c r="W197" s="11">
        <f t="shared" si="49"/>
        <v>0.16012130216723058</v>
      </c>
      <c r="X197" s="17">
        <f t="shared" si="50"/>
        <v>26197.200000000001</v>
      </c>
      <c r="Y197" s="17">
        <f t="shared" si="51"/>
        <v>4994.4471599999997</v>
      </c>
      <c r="Z197" s="17">
        <f t="shared" si="52"/>
        <v>31191.64716</v>
      </c>
      <c r="AA197" s="17" t="str">
        <f t="shared" si="53"/>
        <v>Q3-2024</v>
      </c>
      <c r="AB197" s="12" t="str">
        <f t="shared" si="54"/>
        <v>Sept-2024</v>
      </c>
      <c r="AC197" s="12" t="str">
        <f t="shared" si="55"/>
        <v>High</v>
      </c>
      <c r="AD197">
        <v>19</v>
      </c>
      <c r="AE197" s="12">
        <f>_xlfn.MINIFS(Table1[MonthDate], Table1[Country], Table1[[#This Row],[Country]])</f>
        <v>44927</v>
      </c>
      <c r="AF197" s="12">
        <f t="shared" si="56"/>
        <v>45536</v>
      </c>
      <c r="AG197">
        <f>AD197*(1 + Scenario_Control!$B$4)</f>
        <v>20.900000000000002</v>
      </c>
      <c r="AH197">
        <f>O197*(1 + Scenario_Control!$B$3)</f>
        <v>1447.74</v>
      </c>
      <c r="AI197">
        <f t="shared" si="57"/>
        <v>6862.1623752000005</v>
      </c>
      <c r="AJ197">
        <f t="shared" si="58"/>
        <v>-23395.603624800002</v>
      </c>
      <c r="AK197" s="29">
        <f>MIN(Q197*(1-U197), Scenario_Control!$B$2*Q197)</f>
        <v>390.40800000000002</v>
      </c>
      <c r="AL197" s="15">
        <f t="shared" si="59"/>
        <v>0</v>
      </c>
      <c r="AM197" s="8">
        <f>DATEDIF(Table1[[#This Row],[Country_FirstMonth]], Table1[[#This Row],[MonthDate]], "m")</f>
        <v>20</v>
      </c>
    </row>
    <row r="198" spans="1:39" x14ac:dyDescent="0.25">
      <c r="A198" t="s">
        <v>210</v>
      </c>
      <c r="B198" s="12">
        <v>45588</v>
      </c>
      <c r="C198" s="12">
        <f t="shared" si="45"/>
        <v>45610</v>
      </c>
      <c r="D198" s="2" t="str">
        <f>IF(Table1[[#This Row],[RequiredDate]]&lt;Table1[[#This Row],[OrderDate]],"Check","OK")</f>
        <v>OK</v>
      </c>
      <c r="E198" s="2">
        <v>45610</v>
      </c>
      <c r="F198" s="15">
        <f t="shared" si="46"/>
        <v>22</v>
      </c>
      <c r="G198" t="s">
        <v>647</v>
      </c>
      <c r="H198" t="s">
        <v>652</v>
      </c>
      <c r="I198" t="s">
        <v>666</v>
      </c>
      <c r="J198" t="s">
        <v>703</v>
      </c>
      <c r="K198" t="s">
        <v>711</v>
      </c>
      <c r="L198" t="s">
        <v>717</v>
      </c>
      <c r="M198" t="s">
        <v>730</v>
      </c>
      <c r="N198" t="s">
        <v>930</v>
      </c>
      <c r="O198" s="29">
        <v>1406.4</v>
      </c>
      <c r="P198" t="str">
        <f>IF(Table1[[#This Row],[UnitPrice]]&lt;=0,"Check","OK")</f>
        <v>OK</v>
      </c>
      <c r="Q198" s="29">
        <f t="shared" si="47"/>
        <v>1564.76</v>
      </c>
      <c r="R198">
        <v>1564.76</v>
      </c>
      <c r="S198" s="5">
        <f>IF(Table1[[#This Row],[Discount_Flag]]="Check", MIN(MAX(Table1[[#This Row],[DiscountPct]],0),0.3), Table1[[#This Row],[DiscountPct]])</f>
        <v>0.185</v>
      </c>
      <c r="T198" t="str">
        <f>IF(OR(Table1[[#This Row],[DiscountPct]]&lt;0,Table1[[#This Row],[DiscountPct]]&gt;0.3),"Check","OK")</f>
        <v>OK</v>
      </c>
      <c r="U198" s="11">
        <v>0.185</v>
      </c>
      <c r="V198" s="15">
        <f t="shared" si="48"/>
        <v>0</v>
      </c>
      <c r="W198" s="11">
        <f t="shared" si="49"/>
        <v>-0.10281715520536151</v>
      </c>
      <c r="X198" s="17">
        <f t="shared" si="50"/>
        <v>23908.800000000003</v>
      </c>
      <c r="Y198" s="17">
        <f t="shared" si="51"/>
        <v>-2229.0502000000051</v>
      </c>
      <c r="Z198" s="17">
        <f t="shared" si="52"/>
        <v>21679.749799999998</v>
      </c>
      <c r="AA198" s="17" t="str">
        <f t="shared" si="53"/>
        <v>Q4-2024</v>
      </c>
      <c r="AB198" s="12" t="str">
        <f t="shared" si="54"/>
        <v>Oct-2024</v>
      </c>
      <c r="AC198" s="12" t="str">
        <f t="shared" si="55"/>
        <v>Medium</v>
      </c>
      <c r="AD198">
        <v>17</v>
      </c>
      <c r="AE198" s="12">
        <f>_xlfn.MINIFS(Table1[MonthDate], Table1[Country], Table1[[#This Row],[Country]])</f>
        <v>44986</v>
      </c>
      <c r="AF198" s="12">
        <f t="shared" si="56"/>
        <v>45566</v>
      </c>
      <c r="AG198">
        <f>AD198*(1 + Scenario_Control!$B$4)</f>
        <v>18.700000000000003</v>
      </c>
      <c r="AH198">
        <f>O198*(1 + Scenario_Control!$B$3)</f>
        <v>1476.7200000000003</v>
      </c>
      <c r="AI198">
        <f t="shared" si="57"/>
        <v>4769.5449560000006</v>
      </c>
      <c r="AJ198">
        <f t="shared" si="58"/>
        <v>-22845.119044000006</v>
      </c>
      <c r="AK198" s="29">
        <f>MIN(Q198*(1-U198), Scenario_Control!$B$2*Q198)</f>
        <v>312.952</v>
      </c>
      <c r="AL198" s="15">
        <f t="shared" si="59"/>
        <v>0</v>
      </c>
      <c r="AM198" s="8">
        <f>DATEDIF(Table1[[#This Row],[Country_FirstMonth]], Table1[[#This Row],[MonthDate]], "m")</f>
        <v>19</v>
      </c>
    </row>
    <row r="199" spans="1:39" x14ac:dyDescent="0.25">
      <c r="A199" t="s">
        <v>211</v>
      </c>
      <c r="B199" s="12">
        <v>45333</v>
      </c>
      <c r="C199" s="12">
        <f t="shared" si="45"/>
        <v>45354</v>
      </c>
      <c r="D199" s="2" t="str">
        <f>IF(Table1[[#This Row],[RequiredDate]]&lt;Table1[[#This Row],[OrderDate]],"Check","OK")</f>
        <v>OK</v>
      </c>
      <c r="E199" s="2">
        <v>45354</v>
      </c>
      <c r="F199" s="15">
        <f t="shared" si="46"/>
        <v>21</v>
      </c>
      <c r="G199" t="s">
        <v>646</v>
      </c>
      <c r="H199" t="s">
        <v>650</v>
      </c>
      <c r="I199" t="s">
        <v>662</v>
      </c>
      <c r="J199" t="s">
        <v>706</v>
      </c>
      <c r="K199" t="s">
        <v>708</v>
      </c>
      <c r="L199" t="s">
        <v>717</v>
      </c>
      <c r="M199" t="s">
        <v>730</v>
      </c>
      <c r="N199" t="s">
        <v>931</v>
      </c>
      <c r="O199" s="29">
        <v>516.86</v>
      </c>
      <c r="P199" t="str">
        <f>IF(Table1[[#This Row],[UnitPrice]]&lt;=0,"Check","OK")</f>
        <v>OK</v>
      </c>
      <c r="Q199" s="29">
        <f t="shared" si="47"/>
        <v>852.54</v>
      </c>
      <c r="R199">
        <v>852.54</v>
      </c>
      <c r="S199" s="5">
        <f>IF(Table1[[#This Row],[Discount_Flag]]="Check", MIN(MAX(Table1[[#This Row],[DiscountPct]],0),0.3), Table1[[#This Row],[DiscountPct]])</f>
        <v>5.0999999999999997E-2</v>
      </c>
      <c r="T199" t="str">
        <f>IF(OR(Table1[[#This Row],[DiscountPct]]&lt;0,Table1[[#This Row],[DiscountPct]]&gt;0.3),"Check","OK")</f>
        <v>OK</v>
      </c>
      <c r="U199" s="11">
        <v>5.0999999999999997E-2</v>
      </c>
      <c r="V199" s="15">
        <f t="shared" si="48"/>
        <v>0</v>
      </c>
      <c r="W199" s="11">
        <f t="shared" si="49"/>
        <v>0.36116022775355994</v>
      </c>
      <c r="X199" s="17">
        <f t="shared" si="50"/>
        <v>7236.04</v>
      </c>
      <c r="Y199" s="17">
        <f t="shared" si="51"/>
        <v>4090.8064399999994</v>
      </c>
      <c r="Z199" s="17">
        <f t="shared" si="52"/>
        <v>11326.846439999999</v>
      </c>
      <c r="AA199" s="17" t="str">
        <f t="shared" si="53"/>
        <v>Q1-2024</v>
      </c>
      <c r="AB199" s="12" t="str">
        <f t="shared" si="54"/>
        <v>Feb-2024</v>
      </c>
      <c r="AC199" s="12" t="str">
        <f t="shared" si="55"/>
        <v>Medium</v>
      </c>
      <c r="AD199">
        <v>14</v>
      </c>
      <c r="AE199" s="12">
        <f>_xlfn.MINIFS(Table1[MonthDate], Table1[Country], Table1[[#This Row],[Country]])</f>
        <v>44927</v>
      </c>
      <c r="AF199" s="12">
        <f t="shared" si="56"/>
        <v>45323</v>
      </c>
      <c r="AG199">
        <f>AD199*(1 + Scenario_Control!$B$4)</f>
        <v>15.400000000000002</v>
      </c>
      <c r="AH199">
        <f>O199*(1 + Scenario_Control!$B$3)</f>
        <v>542.70300000000009</v>
      </c>
      <c r="AI199">
        <f t="shared" si="57"/>
        <v>2491.9062168000005</v>
      </c>
      <c r="AJ199">
        <f t="shared" si="58"/>
        <v>-5865.7199832000024</v>
      </c>
      <c r="AK199" s="29">
        <f>MIN(Q199*(1-U199), Scenario_Control!$B$2*Q199)</f>
        <v>170.50800000000001</v>
      </c>
      <c r="AL199" s="15">
        <f t="shared" si="59"/>
        <v>0</v>
      </c>
      <c r="AM199" s="8">
        <f>DATEDIF(Table1[[#This Row],[Country_FirstMonth]], Table1[[#This Row],[MonthDate]], "m")</f>
        <v>13</v>
      </c>
    </row>
    <row r="200" spans="1:39" x14ac:dyDescent="0.25">
      <c r="A200" t="s">
        <v>212</v>
      </c>
      <c r="B200" s="12">
        <v>44956</v>
      </c>
      <c r="C200" s="12">
        <f t="shared" si="45"/>
        <v>44978</v>
      </c>
      <c r="D200" s="2" t="str">
        <f>IF(Table1[[#This Row],[RequiredDate]]&lt;Table1[[#This Row],[OrderDate]],"Check","OK")</f>
        <v>OK</v>
      </c>
      <c r="E200" s="2">
        <v>44978</v>
      </c>
      <c r="F200" s="15">
        <f t="shared" si="46"/>
        <v>22</v>
      </c>
      <c r="G200" t="s">
        <v>649</v>
      </c>
      <c r="H200" t="s">
        <v>656</v>
      </c>
      <c r="I200" t="s">
        <v>684</v>
      </c>
      <c r="J200" t="s">
        <v>705</v>
      </c>
      <c r="K200" t="s">
        <v>709</v>
      </c>
      <c r="L200" t="s">
        <v>715</v>
      </c>
      <c r="M200" t="s">
        <v>729</v>
      </c>
      <c r="N200" t="s">
        <v>932</v>
      </c>
      <c r="O200" s="29">
        <v>1142.8800000000001</v>
      </c>
      <c r="P200" t="str">
        <f>IF(Table1[[#This Row],[UnitPrice]]&lt;=0,"Check","OK")</f>
        <v>OK</v>
      </c>
      <c r="Q200" s="29">
        <f t="shared" si="47"/>
        <v>1465.29</v>
      </c>
      <c r="R200">
        <v>1465.29</v>
      </c>
      <c r="S200" s="5">
        <f>IF(Table1[[#This Row],[Discount_Flag]]="Check", MIN(MAX(Table1[[#This Row],[DiscountPct]],0),0.3), Table1[[#This Row],[DiscountPct]])</f>
        <v>0.186</v>
      </c>
      <c r="T200" t="str">
        <f>IF(OR(Table1[[#This Row],[DiscountPct]]&lt;0,Table1[[#This Row],[DiscountPct]]&gt;0.3),"Check","OK")</f>
        <v>OK</v>
      </c>
      <c r="U200" s="11">
        <v>0.186</v>
      </c>
      <c r="V200" s="15">
        <f t="shared" si="48"/>
        <v>0</v>
      </c>
      <c r="W200" s="11">
        <f t="shared" si="49"/>
        <v>4.1807775915017401E-2</v>
      </c>
      <c r="X200" s="17">
        <f t="shared" si="50"/>
        <v>8000.1600000000008</v>
      </c>
      <c r="Y200" s="17">
        <f t="shared" si="51"/>
        <v>349.06241999999929</v>
      </c>
      <c r="Z200" s="17">
        <f t="shared" si="52"/>
        <v>8349.2224200000001</v>
      </c>
      <c r="AA200" s="17" t="str">
        <f t="shared" si="53"/>
        <v>Q1-2023</v>
      </c>
      <c r="AB200" s="12" t="str">
        <f t="shared" si="54"/>
        <v>Jan-2023</v>
      </c>
      <c r="AC200" s="12" t="str">
        <f t="shared" si="55"/>
        <v>Medium</v>
      </c>
      <c r="AD200">
        <v>7</v>
      </c>
      <c r="AE200" s="12">
        <f>_xlfn.MINIFS(Table1[MonthDate], Table1[Country], Table1[[#This Row],[Country]])</f>
        <v>44927</v>
      </c>
      <c r="AF200" s="12">
        <f t="shared" si="56"/>
        <v>44927</v>
      </c>
      <c r="AG200">
        <f>AD200*(1 + Scenario_Control!$B$4)</f>
        <v>7.7000000000000011</v>
      </c>
      <c r="AH200">
        <f>O200*(1 + Scenario_Control!$B$3)</f>
        <v>1200.0240000000001</v>
      </c>
      <c r="AI200">
        <f t="shared" si="57"/>
        <v>1836.8289324000002</v>
      </c>
      <c r="AJ200">
        <f t="shared" si="58"/>
        <v>-7403.355867600003</v>
      </c>
      <c r="AK200" s="29">
        <f>MIN(Q200*(1-U200), Scenario_Control!$B$2*Q200)</f>
        <v>293.05799999999999</v>
      </c>
      <c r="AL200" s="15">
        <f t="shared" si="59"/>
        <v>0</v>
      </c>
      <c r="AM200" s="8">
        <f>DATEDIF(Table1[[#This Row],[Country_FirstMonth]], Table1[[#This Row],[MonthDate]], "m")</f>
        <v>0</v>
      </c>
    </row>
    <row r="201" spans="1:39" x14ac:dyDescent="0.25">
      <c r="A201" t="s">
        <v>213</v>
      </c>
      <c r="B201" s="12">
        <v>45030</v>
      </c>
      <c r="C201" s="12">
        <f t="shared" si="45"/>
        <v>45059</v>
      </c>
      <c r="D201" s="2" t="str">
        <f>IF(Table1[[#This Row],[RequiredDate]]&lt;Table1[[#This Row],[OrderDate]],"Check","OK")</f>
        <v>OK</v>
      </c>
      <c r="E201" s="2">
        <v>45059</v>
      </c>
      <c r="F201" s="15">
        <f t="shared" si="46"/>
        <v>29</v>
      </c>
      <c r="G201" t="s">
        <v>649</v>
      </c>
      <c r="H201" t="s">
        <v>656</v>
      </c>
      <c r="I201" t="s">
        <v>698</v>
      </c>
      <c r="J201" t="s">
        <v>704</v>
      </c>
      <c r="K201" t="s">
        <v>711</v>
      </c>
      <c r="L201" t="s">
        <v>713</v>
      </c>
      <c r="M201" t="s">
        <v>728</v>
      </c>
      <c r="N201" t="s">
        <v>933</v>
      </c>
      <c r="O201" s="29">
        <v>1320.33</v>
      </c>
      <c r="P201" t="str">
        <f>IF(Table1[[#This Row],[UnitPrice]]&lt;=0,"Check","OK")</f>
        <v>OK</v>
      </c>
      <c r="Q201" s="29">
        <f t="shared" si="47"/>
        <v>2645.23</v>
      </c>
      <c r="R201">
        <v>2645.23</v>
      </c>
      <c r="S201" s="5">
        <f>IF(Table1[[#This Row],[Discount_Flag]]="Check", MIN(MAX(Table1[[#This Row],[DiscountPct]],0),0.3), Table1[[#This Row],[DiscountPct]])</f>
        <v>0.155</v>
      </c>
      <c r="T201" t="str">
        <f>IF(OR(Table1[[#This Row],[DiscountPct]]&lt;0,Table1[[#This Row],[DiscountPct]]&gt;0.3),"Check","OK")</f>
        <v>OK</v>
      </c>
      <c r="U201" s="11">
        <v>0.155</v>
      </c>
      <c r="V201" s="15">
        <f t="shared" si="48"/>
        <v>0</v>
      </c>
      <c r="W201" s="11">
        <f t="shared" si="49"/>
        <v>0.40930629470436536</v>
      </c>
      <c r="X201" s="17">
        <f t="shared" si="50"/>
        <v>33008.25</v>
      </c>
      <c r="Y201" s="17">
        <f t="shared" si="51"/>
        <v>22872.233749999999</v>
      </c>
      <c r="Z201" s="17">
        <f t="shared" si="52"/>
        <v>55880.483749999999</v>
      </c>
      <c r="AA201" s="17" t="str">
        <f t="shared" si="53"/>
        <v>Q2-2023</v>
      </c>
      <c r="AB201" s="12" t="str">
        <f t="shared" si="54"/>
        <v>Apr-2023</v>
      </c>
      <c r="AC201" s="12" t="str">
        <f t="shared" si="55"/>
        <v>High</v>
      </c>
      <c r="AD201">
        <v>25</v>
      </c>
      <c r="AE201" s="12">
        <f>_xlfn.MINIFS(Table1[MonthDate], Table1[Country], Table1[[#This Row],[Country]])</f>
        <v>44927</v>
      </c>
      <c r="AF201" s="12">
        <f t="shared" si="56"/>
        <v>45017</v>
      </c>
      <c r="AG201">
        <f>AD201*(1 + Scenario_Control!$B$4)</f>
        <v>27.500000000000004</v>
      </c>
      <c r="AH201">
        <f>O201*(1 + Scenario_Control!$B$3)</f>
        <v>1386.3464999999999</v>
      </c>
      <c r="AI201">
        <f t="shared" si="57"/>
        <v>12293.706425000002</v>
      </c>
      <c r="AJ201">
        <f t="shared" si="58"/>
        <v>-25830.822325000001</v>
      </c>
      <c r="AK201" s="29">
        <f>MIN(Q201*(1-U201), Scenario_Control!$B$2*Q201)</f>
        <v>529.04600000000005</v>
      </c>
      <c r="AL201" s="15">
        <f t="shared" si="59"/>
        <v>0</v>
      </c>
      <c r="AM201" s="8">
        <f>DATEDIF(Table1[[#This Row],[Country_FirstMonth]], Table1[[#This Row],[MonthDate]], "m")</f>
        <v>3</v>
      </c>
    </row>
    <row r="202" spans="1:39" x14ac:dyDescent="0.25">
      <c r="A202" t="s">
        <v>214</v>
      </c>
      <c r="B202" s="12">
        <v>44939</v>
      </c>
      <c r="C202" s="12">
        <f t="shared" si="45"/>
        <v>44945</v>
      </c>
      <c r="D202" s="2" t="str">
        <f>IF(Table1[[#This Row],[RequiredDate]]&lt;Table1[[#This Row],[OrderDate]],"Check","OK")</f>
        <v>OK</v>
      </c>
      <c r="E202" s="2">
        <v>44945</v>
      </c>
      <c r="F202" s="15">
        <f t="shared" si="46"/>
        <v>6</v>
      </c>
      <c r="G202" t="s">
        <v>648</v>
      </c>
      <c r="H202" t="s">
        <v>660</v>
      </c>
      <c r="I202" t="s">
        <v>677</v>
      </c>
      <c r="J202" t="s">
        <v>701</v>
      </c>
      <c r="K202" t="s">
        <v>711</v>
      </c>
      <c r="L202" t="s">
        <v>722</v>
      </c>
      <c r="M202" t="s">
        <v>730</v>
      </c>
      <c r="N202" t="s">
        <v>934</v>
      </c>
      <c r="O202" s="29">
        <v>833.57</v>
      </c>
      <c r="P202" t="str">
        <f>IF(Table1[[#This Row],[UnitPrice]]&lt;=0,"Check","OK")</f>
        <v>OK</v>
      </c>
      <c r="Q202" s="29">
        <f t="shared" si="47"/>
        <v>881.57</v>
      </c>
      <c r="R202">
        <v>881.57</v>
      </c>
      <c r="S202" s="5">
        <f>IF(Table1[[#This Row],[Discount_Flag]]="Check", MIN(MAX(Table1[[#This Row],[DiscountPct]],0),0.3), Table1[[#This Row],[DiscountPct]])</f>
        <v>5.7000000000000002E-2</v>
      </c>
      <c r="T202" t="str">
        <f>IF(OR(Table1[[#This Row],[DiscountPct]]&lt;0,Table1[[#This Row],[DiscountPct]]&gt;0.3),"Check","OK")</f>
        <v>OK</v>
      </c>
      <c r="U202" s="11">
        <v>5.7000000000000002E-2</v>
      </c>
      <c r="V202" s="15">
        <f t="shared" si="48"/>
        <v>0</v>
      </c>
      <c r="W202" s="11">
        <f t="shared" si="49"/>
        <v>-2.7059238560107821E-3</v>
      </c>
      <c r="X202" s="17">
        <f t="shared" si="50"/>
        <v>15004.26</v>
      </c>
      <c r="Y202" s="17">
        <f t="shared" si="51"/>
        <v>-40.490820000000895</v>
      </c>
      <c r="Z202" s="17">
        <f t="shared" si="52"/>
        <v>14963.769179999999</v>
      </c>
      <c r="AA202" s="17" t="str">
        <f t="shared" si="53"/>
        <v>Q1-2023</v>
      </c>
      <c r="AB202" s="12" t="str">
        <f t="shared" si="54"/>
        <v>Jan-2023</v>
      </c>
      <c r="AC202" s="12" t="str">
        <f t="shared" si="55"/>
        <v>Medium</v>
      </c>
      <c r="AD202">
        <v>18</v>
      </c>
      <c r="AE202" s="12">
        <f>_xlfn.MINIFS(Table1[MonthDate], Table1[Country], Table1[[#This Row],[Country]])</f>
        <v>44927</v>
      </c>
      <c r="AF202" s="12">
        <f t="shared" si="56"/>
        <v>44927</v>
      </c>
      <c r="AG202">
        <f>AD202*(1 + Scenario_Control!$B$4)</f>
        <v>19.8</v>
      </c>
      <c r="AH202">
        <f>O202*(1 + Scenario_Control!$B$3)</f>
        <v>875.24850000000004</v>
      </c>
      <c r="AI202">
        <f t="shared" si="57"/>
        <v>3292.0292196000005</v>
      </c>
      <c r="AJ202">
        <f t="shared" si="58"/>
        <v>-14037.891080400001</v>
      </c>
      <c r="AK202" s="29">
        <f>MIN(Q202*(1-U202), Scenario_Control!$B$2*Q202)</f>
        <v>176.31400000000002</v>
      </c>
      <c r="AL202" s="15">
        <f t="shared" si="59"/>
        <v>1</v>
      </c>
      <c r="AM202" s="8">
        <f>DATEDIF(Table1[[#This Row],[Country_FirstMonth]], Table1[[#This Row],[MonthDate]], "m")</f>
        <v>0</v>
      </c>
    </row>
    <row r="203" spans="1:39" x14ac:dyDescent="0.25">
      <c r="A203" t="s">
        <v>215</v>
      </c>
      <c r="B203" s="12">
        <v>45303</v>
      </c>
      <c r="C203" s="12">
        <f t="shared" si="45"/>
        <v>45320</v>
      </c>
      <c r="D203" s="2" t="str">
        <f>IF(Table1[[#This Row],[RequiredDate]]&lt;Table1[[#This Row],[OrderDate]],"Check","OK")</f>
        <v>OK</v>
      </c>
      <c r="E203" s="2">
        <v>45320</v>
      </c>
      <c r="F203" s="15">
        <f t="shared" si="46"/>
        <v>17</v>
      </c>
      <c r="G203" t="s">
        <v>648</v>
      </c>
      <c r="H203" t="s">
        <v>660</v>
      </c>
      <c r="I203" t="s">
        <v>677</v>
      </c>
      <c r="J203" t="s">
        <v>702</v>
      </c>
      <c r="K203" t="s">
        <v>710</v>
      </c>
      <c r="L203" t="s">
        <v>720</v>
      </c>
      <c r="M203" t="s">
        <v>728</v>
      </c>
      <c r="N203" t="s">
        <v>935</v>
      </c>
      <c r="O203" s="29">
        <v>493.76</v>
      </c>
      <c r="P203" t="str">
        <f>IF(Table1[[#This Row],[UnitPrice]]&lt;=0,"Check","OK")</f>
        <v>OK</v>
      </c>
      <c r="Q203" s="29">
        <f t="shared" si="47"/>
        <v>625.04</v>
      </c>
      <c r="R203">
        <v>625.04</v>
      </c>
      <c r="S203" s="5">
        <f>IF(Table1[[#This Row],[Discount_Flag]]="Check", MIN(MAX(Table1[[#This Row],[DiscountPct]],0),0.3), Table1[[#This Row],[DiscountPct]])</f>
        <v>0.25800000000000001</v>
      </c>
      <c r="T203" t="str">
        <f>IF(OR(Table1[[#This Row],[DiscountPct]]&lt;0,Table1[[#This Row],[DiscountPct]]&gt;0.3),"Check","OK")</f>
        <v>OK</v>
      </c>
      <c r="U203" s="11">
        <v>0.25800000000000001</v>
      </c>
      <c r="V203" s="15">
        <f t="shared" si="48"/>
        <v>1</v>
      </c>
      <c r="W203" s="11">
        <f t="shared" si="49"/>
        <v>-6.464345311549663E-2</v>
      </c>
      <c r="X203" s="17">
        <f t="shared" si="50"/>
        <v>4937.6000000000004</v>
      </c>
      <c r="Y203" s="17">
        <f t="shared" si="51"/>
        <v>-299.80320000000029</v>
      </c>
      <c r="Z203" s="17">
        <f t="shared" si="52"/>
        <v>4637.7968000000001</v>
      </c>
      <c r="AA203" s="17" t="str">
        <f t="shared" si="53"/>
        <v>Q1-2024</v>
      </c>
      <c r="AB203" s="12" t="str">
        <f t="shared" si="54"/>
        <v>Jan-2024</v>
      </c>
      <c r="AC203" s="12" t="str">
        <f t="shared" si="55"/>
        <v>Medium</v>
      </c>
      <c r="AD203">
        <v>10</v>
      </c>
      <c r="AE203" s="12">
        <f>_xlfn.MINIFS(Table1[MonthDate], Table1[Country], Table1[[#This Row],[Country]])</f>
        <v>44927</v>
      </c>
      <c r="AF203" s="12">
        <f t="shared" si="56"/>
        <v>45292</v>
      </c>
      <c r="AG203">
        <f>AD203*(1 + Scenario_Control!$B$4)</f>
        <v>11</v>
      </c>
      <c r="AH203">
        <f>O203*(1 + Scenario_Control!$B$3)</f>
        <v>518.44799999999998</v>
      </c>
      <c r="AI203">
        <f t="shared" si="57"/>
        <v>1020.315296</v>
      </c>
      <c r="AJ203">
        <f t="shared" si="58"/>
        <v>-4682.6127040000001</v>
      </c>
      <c r="AK203" s="29">
        <f>MIN(Q203*(1-U203), Scenario_Control!$B$2*Q203)</f>
        <v>125.008</v>
      </c>
      <c r="AL203" s="15">
        <f t="shared" si="59"/>
        <v>0</v>
      </c>
      <c r="AM203" s="8">
        <f>DATEDIF(Table1[[#This Row],[Country_FirstMonth]], Table1[[#This Row],[MonthDate]], "m")</f>
        <v>12</v>
      </c>
    </row>
    <row r="204" spans="1:39" x14ac:dyDescent="0.25">
      <c r="A204" t="s">
        <v>216</v>
      </c>
      <c r="B204" s="12">
        <v>45153</v>
      </c>
      <c r="C204" s="12">
        <f t="shared" si="45"/>
        <v>45176</v>
      </c>
      <c r="D204" s="2" t="str">
        <f>IF(Table1[[#This Row],[RequiredDate]]&lt;Table1[[#This Row],[OrderDate]],"Check","OK")</f>
        <v>OK</v>
      </c>
      <c r="E204" s="2">
        <v>45176</v>
      </c>
      <c r="F204" s="15">
        <f t="shared" si="46"/>
        <v>23</v>
      </c>
      <c r="G204" t="s">
        <v>648</v>
      </c>
      <c r="H204" t="s">
        <v>660</v>
      </c>
      <c r="I204" t="s">
        <v>700</v>
      </c>
      <c r="J204" t="s">
        <v>706</v>
      </c>
      <c r="K204" t="s">
        <v>708</v>
      </c>
      <c r="L204" t="s">
        <v>723</v>
      </c>
      <c r="M204" t="s">
        <v>730</v>
      </c>
      <c r="N204" t="s">
        <v>936</v>
      </c>
      <c r="O204" s="29">
        <v>590.33000000000004</v>
      </c>
      <c r="P204" t="str">
        <f>IF(Table1[[#This Row],[UnitPrice]]&lt;=0,"Check","OK")</f>
        <v>OK</v>
      </c>
      <c r="Q204" s="29">
        <f t="shared" si="47"/>
        <v>973.04</v>
      </c>
      <c r="R204">
        <v>973.04</v>
      </c>
      <c r="S204" s="5">
        <f>IF(Table1[[#This Row],[Discount_Flag]]="Check", MIN(MAX(Table1[[#This Row],[DiscountPct]],0),0.3), Table1[[#This Row],[DiscountPct]])</f>
        <v>0</v>
      </c>
      <c r="T204" t="str">
        <f>IF(OR(Table1[[#This Row],[DiscountPct]]&lt;0,Table1[[#This Row],[DiscountPct]]&gt;0.3),"Check","OK")</f>
        <v>OK</v>
      </c>
      <c r="U204" s="11">
        <v>0</v>
      </c>
      <c r="V204" s="15">
        <f t="shared" si="48"/>
        <v>0</v>
      </c>
      <c r="W204" s="11">
        <f t="shared" si="49"/>
        <v>0.39331373838691108</v>
      </c>
      <c r="X204" s="17">
        <f t="shared" si="50"/>
        <v>15348.580000000002</v>
      </c>
      <c r="Y204" s="17">
        <f t="shared" si="51"/>
        <v>9950.4599999999991</v>
      </c>
      <c r="Z204" s="17">
        <f t="shared" si="52"/>
        <v>25299.040000000001</v>
      </c>
      <c r="AA204" s="17" t="str">
        <f t="shared" si="53"/>
        <v>Q3-2023</v>
      </c>
      <c r="AB204" s="12" t="str">
        <f t="shared" si="54"/>
        <v>Aug-2023</v>
      </c>
      <c r="AC204" s="12" t="str">
        <f t="shared" si="55"/>
        <v>Medium</v>
      </c>
      <c r="AD204">
        <v>26</v>
      </c>
      <c r="AE204" s="12">
        <f>_xlfn.MINIFS(Table1[MonthDate], Table1[Country], Table1[[#This Row],[Country]])</f>
        <v>44927</v>
      </c>
      <c r="AF204" s="12">
        <f t="shared" si="56"/>
        <v>45139</v>
      </c>
      <c r="AG204">
        <f>AD204*(1 + Scenario_Control!$B$4)</f>
        <v>28.6</v>
      </c>
      <c r="AH204">
        <f>O204*(1 + Scenario_Control!$B$3)</f>
        <v>619.84650000000011</v>
      </c>
      <c r="AI204">
        <f t="shared" si="57"/>
        <v>5565.7888000000003</v>
      </c>
      <c r="AJ204">
        <f t="shared" si="58"/>
        <v>-12161.821100000003</v>
      </c>
      <c r="AK204" s="29">
        <f>MIN(Q204*(1-U204), Scenario_Control!$B$2*Q204)</f>
        <v>194.608</v>
      </c>
      <c r="AL204" s="15">
        <f t="shared" si="59"/>
        <v>0</v>
      </c>
      <c r="AM204" s="8">
        <f>DATEDIF(Table1[[#This Row],[Country_FirstMonth]], Table1[[#This Row],[MonthDate]], "m")</f>
        <v>7</v>
      </c>
    </row>
    <row r="205" spans="1:39" x14ac:dyDescent="0.25">
      <c r="A205" t="s">
        <v>217</v>
      </c>
      <c r="B205" s="12">
        <v>44946</v>
      </c>
      <c r="C205" s="12">
        <f t="shared" si="45"/>
        <v>44960</v>
      </c>
      <c r="D205" s="2" t="str">
        <f>IF(Table1[[#This Row],[RequiredDate]]&lt;Table1[[#This Row],[OrderDate]],"Check","OK")</f>
        <v>OK</v>
      </c>
      <c r="E205" s="2">
        <v>44960</v>
      </c>
      <c r="F205" s="15">
        <f t="shared" si="46"/>
        <v>14</v>
      </c>
      <c r="G205" t="s">
        <v>646</v>
      </c>
      <c r="H205" t="s">
        <v>650</v>
      </c>
      <c r="I205" t="s">
        <v>662</v>
      </c>
      <c r="J205" t="s">
        <v>701</v>
      </c>
      <c r="K205" t="s">
        <v>707</v>
      </c>
      <c r="L205" t="s">
        <v>724</v>
      </c>
      <c r="M205" t="s">
        <v>729</v>
      </c>
      <c r="N205" t="s">
        <v>937</v>
      </c>
      <c r="O205" s="29">
        <v>884.36</v>
      </c>
      <c r="P205" t="str">
        <f>IF(Table1[[#This Row],[UnitPrice]]&lt;=0,"Check","OK")</f>
        <v>OK</v>
      </c>
      <c r="Q205" s="29">
        <f t="shared" si="47"/>
        <v>1545.34</v>
      </c>
      <c r="R205">
        <v>1545.34</v>
      </c>
      <c r="S205" s="5">
        <f>IF(Table1[[#This Row],[Discount_Flag]]="Check", MIN(MAX(Table1[[#This Row],[DiscountPct]],0),0.3), Table1[[#This Row],[DiscountPct]])</f>
        <v>0.24299999999999999</v>
      </c>
      <c r="T205" t="str">
        <f>IF(OR(Table1[[#This Row],[DiscountPct]]&lt;0,Table1[[#This Row],[DiscountPct]]&gt;0.3),"Check","OK")</f>
        <v>OK</v>
      </c>
      <c r="U205" s="11">
        <v>0.24299999999999999</v>
      </c>
      <c r="V205" s="15">
        <f t="shared" si="48"/>
        <v>1</v>
      </c>
      <c r="W205" s="11">
        <f t="shared" si="49"/>
        <v>0.24402198562827965</v>
      </c>
      <c r="X205" s="17">
        <f t="shared" si="50"/>
        <v>36258.76</v>
      </c>
      <c r="Y205" s="17">
        <f t="shared" si="51"/>
        <v>11703.957579999995</v>
      </c>
      <c r="Z205" s="17">
        <f t="shared" si="52"/>
        <v>47962.717579999997</v>
      </c>
      <c r="AA205" s="17" t="str">
        <f t="shared" si="53"/>
        <v>Q1-2023</v>
      </c>
      <c r="AB205" s="12" t="str">
        <f t="shared" si="54"/>
        <v>Jan-2023</v>
      </c>
      <c r="AC205" s="12" t="str">
        <f t="shared" si="55"/>
        <v>Medium</v>
      </c>
      <c r="AD205">
        <v>41</v>
      </c>
      <c r="AE205" s="12">
        <f>_xlfn.MINIFS(Table1[MonthDate], Table1[Country], Table1[[#This Row],[Country]])</f>
        <v>44927</v>
      </c>
      <c r="AF205" s="12">
        <f t="shared" si="56"/>
        <v>44927</v>
      </c>
      <c r="AG205">
        <f>AD205*(1 + Scenario_Control!$B$4)</f>
        <v>45.1</v>
      </c>
      <c r="AH205">
        <f>O205*(1 + Scenario_Control!$B$3)</f>
        <v>928.57800000000009</v>
      </c>
      <c r="AI205">
        <f t="shared" si="57"/>
        <v>10551.7978676</v>
      </c>
      <c r="AJ205">
        <f t="shared" si="58"/>
        <v>-31327.069932400009</v>
      </c>
      <c r="AK205" s="29">
        <f>MIN(Q205*(1-U205), Scenario_Control!$B$2*Q205)</f>
        <v>309.06799999999998</v>
      </c>
      <c r="AL205" s="15">
        <f t="shared" si="59"/>
        <v>0</v>
      </c>
      <c r="AM205" s="8">
        <f>DATEDIF(Table1[[#This Row],[Country_FirstMonth]], Table1[[#This Row],[MonthDate]], "m")</f>
        <v>0</v>
      </c>
    </row>
    <row r="206" spans="1:39" x14ac:dyDescent="0.25">
      <c r="A206" t="s">
        <v>218</v>
      </c>
      <c r="B206" s="12">
        <v>45692</v>
      </c>
      <c r="C206" s="12">
        <f t="shared" si="45"/>
        <v>45713</v>
      </c>
      <c r="D206" s="2" t="str">
        <f>IF(Table1[[#This Row],[RequiredDate]]&lt;Table1[[#This Row],[OrderDate]],"Check","OK")</f>
        <v>OK</v>
      </c>
      <c r="E206" s="2">
        <v>45713</v>
      </c>
      <c r="F206" s="15">
        <f t="shared" si="46"/>
        <v>21</v>
      </c>
      <c r="G206" t="s">
        <v>649</v>
      </c>
      <c r="H206" t="s">
        <v>658</v>
      </c>
      <c r="I206" t="s">
        <v>674</v>
      </c>
      <c r="J206" t="s">
        <v>701</v>
      </c>
      <c r="K206" t="s">
        <v>709</v>
      </c>
      <c r="L206" t="s">
        <v>726</v>
      </c>
      <c r="M206" t="s">
        <v>732</v>
      </c>
      <c r="N206" t="s">
        <v>938</v>
      </c>
      <c r="O206" s="29">
        <v>1016.32</v>
      </c>
      <c r="P206" t="str">
        <f>IF(Table1[[#This Row],[UnitPrice]]&lt;=0,"Check","OK")</f>
        <v>OK</v>
      </c>
      <c r="Q206" s="29">
        <f t="shared" si="47"/>
        <v>2253.42</v>
      </c>
      <c r="R206">
        <v>2253.42</v>
      </c>
      <c r="S206" s="5">
        <f>IF(Table1[[#This Row],[Discount_Flag]]="Check", MIN(MAX(Table1[[#This Row],[DiscountPct]],0),0.3), Table1[[#This Row],[DiscountPct]])</f>
        <v>5.5E-2</v>
      </c>
      <c r="T206" t="str">
        <f>IF(OR(Table1[[#This Row],[DiscountPct]]&lt;0,Table1[[#This Row],[DiscountPct]]&gt;0.3),"Check","OK")</f>
        <v>OK</v>
      </c>
      <c r="U206" s="11">
        <v>5.5E-2</v>
      </c>
      <c r="V206" s="15">
        <f t="shared" si="48"/>
        <v>0</v>
      </c>
      <c r="W206" s="11">
        <f t="shared" si="49"/>
        <v>0.52273837124419797</v>
      </c>
      <c r="X206" s="17">
        <f t="shared" si="50"/>
        <v>12195.84</v>
      </c>
      <c r="Y206" s="17">
        <f t="shared" si="51"/>
        <v>13357.942800000001</v>
      </c>
      <c r="Z206" s="17">
        <f t="shared" si="52"/>
        <v>25553.782800000001</v>
      </c>
      <c r="AA206" s="17" t="str">
        <f t="shared" si="53"/>
        <v>Q1-2025</v>
      </c>
      <c r="AB206" s="12" t="str">
        <f t="shared" si="54"/>
        <v>Feb-2025</v>
      </c>
      <c r="AC206" s="12" t="str">
        <f t="shared" si="55"/>
        <v>High</v>
      </c>
      <c r="AD206">
        <v>12</v>
      </c>
      <c r="AE206" s="12">
        <f>_xlfn.MINIFS(Table1[MonthDate], Table1[Country], Table1[[#This Row],[Country]])</f>
        <v>44927</v>
      </c>
      <c r="AF206" s="12">
        <f t="shared" si="56"/>
        <v>45689</v>
      </c>
      <c r="AG206">
        <f>AD206*(1 + Scenario_Control!$B$4)</f>
        <v>13.200000000000001</v>
      </c>
      <c r="AH206">
        <f>O206*(1 + Scenario_Control!$B$3)</f>
        <v>1067.1360000000002</v>
      </c>
      <c r="AI206">
        <f t="shared" si="57"/>
        <v>5621.8322160000007</v>
      </c>
      <c r="AJ206">
        <f t="shared" si="58"/>
        <v>-8464.3629840000031</v>
      </c>
      <c r="AK206" s="29">
        <f>MIN(Q206*(1-U206), Scenario_Control!$B$2*Q206)</f>
        <v>450.68400000000003</v>
      </c>
      <c r="AL206" s="15">
        <f t="shared" si="59"/>
        <v>0</v>
      </c>
      <c r="AM206" s="8">
        <f>DATEDIF(Table1[[#This Row],[Country_FirstMonth]], Table1[[#This Row],[MonthDate]], "m")</f>
        <v>25</v>
      </c>
    </row>
    <row r="207" spans="1:39" x14ac:dyDescent="0.25">
      <c r="A207" t="s">
        <v>219</v>
      </c>
      <c r="B207" s="12">
        <v>45035</v>
      </c>
      <c r="C207" s="12">
        <f t="shared" si="45"/>
        <v>45044</v>
      </c>
      <c r="D207" s="2" t="str">
        <f>IF(Table1[[#This Row],[RequiredDate]]&lt;Table1[[#This Row],[OrderDate]],"Check","OK")</f>
        <v>OK</v>
      </c>
      <c r="E207" s="2">
        <v>45044</v>
      </c>
      <c r="F207" s="15">
        <f t="shared" si="46"/>
        <v>9</v>
      </c>
      <c r="G207" t="s">
        <v>649</v>
      </c>
      <c r="H207" t="s">
        <v>656</v>
      </c>
      <c r="I207" t="s">
        <v>671</v>
      </c>
      <c r="J207" t="s">
        <v>702</v>
      </c>
      <c r="K207" t="s">
        <v>708</v>
      </c>
      <c r="L207" t="s">
        <v>718</v>
      </c>
      <c r="M207" t="s">
        <v>732</v>
      </c>
      <c r="N207" t="s">
        <v>939</v>
      </c>
      <c r="O207" s="29">
        <v>1178.42</v>
      </c>
      <c r="P207" t="str">
        <f>IF(Table1[[#This Row],[UnitPrice]]&lt;=0,"Check","OK")</f>
        <v>OK</v>
      </c>
      <c r="Q207" s="29">
        <f t="shared" si="47"/>
        <v>2446.56</v>
      </c>
      <c r="R207">
        <v>2446.56</v>
      </c>
      <c r="S207" s="5">
        <f>IF(Table1[[#This Row],[Discount_Flag]]="Check", MIN(MAX(Table1[[#This Row],[DiscountPct]],0),0.3), Table1[[#This Row],[DiscountPct]])</f>
        <v>2.9000000000000001E-2</v>
      </c>
      <c r="T207" t="str">
        <f>IF(OR(Table1[[#This Row],[DiscountPct]]&lt;0,Table1[[#This Row],[DiscountPct]]&gt;0.3),"Check","OK")</f>
        <v>OK</v>
      </c>
      <c r="U207" s="11">
        <v>2.9000000000000001E-2</v>
      </c>
      <c r="V207" s="15">
        <f t="shared" si="48"/>
        <v>0</v>
      </c>
      <c r="W207" s="11">
        <f t="shared" si="49"/>
        <v>0.5039505141618883</v>
      </c>
      <c r="X207" s="17">
        <f t="shared" si="50"/>
        <v>12962.62</v>
      </c>
      <c r="Y207" s="17">
        <f t="shared" si="51"/>
        <v>13169.08736</v>
      </c>
      <c r="Z207" s="17">
        <f t="shared" si="52"/>
        <v>26131.70736</v>
      </c>
      <c r="AA207" s="17" t="str">
        <f t="shared" si="53"/>
        <v>Q2-2023</v>
      </c>
      <c r="AB207" s="12" t="str">
        <f t="shared" si="54"/>
        <v>Apr-2023</v>
      </c>
      <c r="AC207" s="12" t="str">
        <f t="shared" si="55"/>
        <v>High</v>
      </c>
      <c r="AD207">
        <v>11</v>
      </c>
      <c r="AE207" s="12">
        <f>_xlfn.MINIFS(Table1[MonthDate], Table1[Country], Table1[[#This Row],[Country]])</f>
        <v>44927</v>
      </c>
      <c r="AF207" s="12">
        <f t="shared" si="56"/>
        <v>45017</v>
      </c>
      <c r="AG207">
        <f>AD207*(1 + Scenario_Control!$B$4)</f>
        <v>12.100000000000001</v>
      </c>
      <c r="AH207">
        <f>O207*(1 + Scenario_Control!$B$3)</f>
        <v>1237.3410000000001</v>
      </c>
      <c r="AI207">
        <f t="shared" si="57"/>
        <v>5748.9756192000004</v>
      </c>
      <c r="AJ207">
        <f t="shared" si="58"/>
        <v>-9222.8504808000034</v>
      </c>
      <c r="AK207" s="29">
        <f>MIN(Q207*(1-U207), Scenario_Control!$B$2*Q207)</f>
        <v>489.31200000000001</v>
      </c>
      <c r="AL207" s="15">
        <f t="shared" si="59"/>
        <v>0</v>
      </c>
      <c r="AM207" s="8">
        <f>DATEDIF(Table1[[#This Row],[Country_FirstMonth]], Table1[[#This Row],[MonthDate]], "m")</f>
        <v>3</v>
      </c>
    </row>
    <row r="208" spans="1:39" x14ac:dyDescent="0.25">
      <c r="A208" t="s">
        <v>220</v>
      </c>
      <c r="B208" s="12">
        <v>45109</v>
      </c>
      <c r="C208" s="12">
        <f t="shared" si="45"/>
        <v>45139</v>
      </c>
      <c r="D208" s="2" t="str">
        <f>IF(Table1[[#This Row],[RequiredDate]]&lt;Table1[[#This Row],[OrderDate]],"Check","OK")</f>
        <v>OK</v>
      </c>
      <c r="E208" s="2">
        <v>45139</v>
      </c>
      <c r="F208" s="15">
        <f t="shared" si="46"/>
        <v>30</v>
      </c>
      <c r="G208" t="s">
        <v>649</v>
      </c>
      <c r="H208" t="s">
        <v>658</v>
      </c>
      <c r="I208" t="s">
        <v>674</v>
      </c>
      <c r="J208" t="s">
        <v>705</v>
      </c>
      <c r="K208" t="s">
        <v>707</v>
      </c>
      <c r="L208" t="s">
        <v>717</v>
      </c>
      <c r="M208" t="s">
        <v>727</v>
      </c>
      <c r="N208" t="s">
        <v>940</v>
      </c>
      <c r="O208" s="29">
        <v>137.46</v>
      </c>
      <c r="P208" t="str">
        <f>IF(Table1[[#This Row],[UnitPrice]]&lt;=0,"Check","OK")</f>
        <v>OK</v>
      </c>
      <c r="Q208" s="29">
        <f t="shared" si="47"/>
        <v>188.3</v>
      </c>
      <c r="R208">
        <v>188.3</v>
      </c>
      <c r="S208" s="5">
        <f>IF(Table1[[#This Row],[Discount_Flag]]="Check", MIN(MAX(Table1[[#This Row],[DiscountPct]],0),0.3), Table1[[#This Row],[DiscountPct]])</f>
        <v>3.7999999999999999E-2</v>
      </c>
      <c r="T208" t="str">
        <f>IF(OR(Table1[[#This Row],[DiscountPct]]&lt;0,Table1[[#This Row],[DiscountPct]]&gt;0.3),"Check","OK")</f>
        <v>OK</v>
      </c>
      <c r="U208" s="11">
        <v>3.7999999999999999E-2</v>
      </c>
      <c r="V208" s="15">
        <f t="shared" si="48"/>
        <v>0</v>
      </c>
      <c r="W208" s="11">
        <f t="shared" si="49"/>
        <v>0.24115872071262398</v>
      </c>
      <c r="X208" s="17">
        <f t="shared" si="50"/>
        <v>5086.0200000000004</v>
      </c>
      <c r="Y208" s="17">
        <f t="shared" si="51"/>
        <v>1616.3301999999994</v>
      </c>
      <c r="Z208" s="17">
        <f t="shared" si="52"/>
        <v>6702.3501999999999</v>
      </c>
      <c r="AA208" s="17" t="str">
        <f t="shared" si="53"/>
        <v>Q3-2023</v>
      </c>
      <c r="AB208" s="12" t="str">
        <f t="shared" si="54"/>
        <v>Jul-2023</v>
      </c>
      <c r="AC208" s="12" t="str">
        <f t="shared" si="55"/>
        <v>Low</v>
      </c>
      <c r="AD208">
        <v>37</v>
      </c>
      <c r="AE208" s="12">
        <f>_xlfn.MINIFS(Table1[MonthDate], Table1[Country], Table1[[#This Row],[Country]])</f>
        <v>44927</v>
      </c>
      <c r="AF208" s="12">
        <f t="shared" si="56"/>
        <v>45108</v>
      </c>
      <c r="AG208">
        <f>AD208*(1 + Scenario_Control!$B$4)</f>
        <v>40.700000000000003</v>
      </c>
      <c r="AH208">
        <f>O208*(1 + Scenario_Control!$B$3)</f>
        <v>144.33300000000003</v>
      </c>
      <c r="AI208">
        <f t="shared" si="57"/>
        <v>1474.5170440000002</v>
      </c>
      <c r="AJ208">
        <f t="shared" si="58"/>
        <v>-4399.836056000001</v>
      </c>
      <c r="AK208" s="29">
        <f>MIN(Q208*(1-U208), Scenario_Control!$B$2*Q208)</f>
        <v>37.660000000000004</v>
      </c>
      <c r="AL208" s="15">
        <f t="shared" si="59"/>
        <v>0</v>
      </c>
      <c r="AM208" s="8">
        <f>DATEDIF(Table1[[#This Row],[Country_FirstMonth]], Table1[[#This Row],[MonthDate]], "m")</f>
        <v>6</v>
      </c>
    </row>
    <row r="209" spans="1:39" x14ac:dyDescent="0.25">
      <c r="A209" t="s">
        <v>221</v>
      </c>
      <c r="B209" s="12">
        <v>45678</v>
      </c>
      <c r="C209" s="12">
        <f t="shared" si="45"/>
        <v>45702</v>
      </c>
      <c r="D209" s="2" t="str">
        <f>IF(Table1[[#This Row],[RequiredDate]]&lt;Table1[[#This Row],[OrderDate]],"Check","OK")</f>
        <v>OK</v>
      </c>
      <c r="E209" s="2">
        <v>45702</v>
      </c>
      <c r="F209" s="15">
        <f t="shared" si="46"/>
        <v>24</v>
      </c>
      <c r="G209" t="s">
        <v>646</v>
      </c>
      <c r="H209" t="s">
        <v>650</v>
      </c>
      <c r="I209" t="s">
        <v>664</v>
      </c>
      <c r="J209" t="s">
        <v>705</v>
      </c>
      <c r="K209" t="s">
        <v>707</v>
      </c>
      <c r="L209" t="s">
        <v>713</v>
      </c>
      <c r="M209" t="s">
        <v>733</v>
      </c>
      <c r="N209" t="s">
        <v>941</v>
      </c>
      <c r="O209" s="29">
        <v>1030.44</v>
      </c>
      <c r="P209" t="str">
        <f>IF(Table1[[#This Row],[UnitPrice]]&lt;=0,"Check","OK")</f>
        <v>OK</v>
      </c>
      <c r="Q209" s="29">
        <f t="shared" si="47"/>
        <v>2562.84</v>
      </c>
      <c r="R209">
        <v>2562.84</v>
      </c>
      <c r="S209" s="5">
        <f>IF(Table1[[#This Row],[Discount_Flag]]="Check", MIN(MAX(Table1[[#This Row],[DiscountPct]],0),0.3), Table1[[#This Row],[DiscountPct]])</f>
        <v>0.14799999999999999</v>
      </c>
      <c r="T209" t="str">
        <f>IF(OR(Table1[[#This Row],[DiscountPct]]&lt;0,Table1[[#This Row],[DiscountPct]]&gt;0.3),"Check","OK")</f>
        <v>OK</v>
      </c>
      <c r="U209" s="11">
        <v>0.14799999999999999</v>
      </c>
      <c r="V209" s="15">
        <f t="shared" si="48"/>
        <v>0</v>
      </c>
      <c r="W209" s="11">
        <f t="shared" si="49"/>
        <v>0.52808734852027039</v>
      </c>
      <c r="X209" s="17">
        <f t="shared" si="50"/>
        <v>13395.720000000001</v>
      </c>
      <c r="Y209" s="17">
        <f t="shared" si="51"/>
        <v>14990.295839999995</v>
      </c>
      <c r="Z209" s="17">
        <f t="shared" si="52"/>
        <v>28386.015839999996</v>
      </c>
      <c r="AA209" s="17" t="str">
        <f t="shared" si="53"/>
        <v>Q1-2025</v>
      </c>
      <c r="AB209" s="12" t="str">
        <f t="shared" si="54"/>
        <v>Jan-2025</v>
      </c>
      <c r="AC209" s="12" t="str">
        <f t="shared" si="55"/>
        <v>High</v>
      </c>
      <c r="AD209">
        <v>13</v>
      </c>
      <c r="AE209" s="12">
        <f>_xlfn.MINIFS(Table1[MonthDate], Table1[Country], Table1[[#This Row],[Country]])</f>
        <v>44927</v>
      </c>
      <c r="AF209" s="12">
        <f t="shared" si="56"/>
        <v>45658</v>
      </c>
      <c r="AG209">
        <f>AD209*(1 + Scenario_Control!$B$4)</f>
        <v>14.3</v>
      </c>
      <c r="AH209">
        <f>O209*(1 + Scenario_Control!$B$3)</f>
        <v>1081.9620000000002</v>
      </c>
      <c r="AI209">
        <f t="shared" si="57"/>
        <v>6244.9234848000015</v>
      </c>
      <c r="AJ209">
        <f t="shared" si="58"/>
        <v>-9227.1331152000021</v>
      </c>
      <c r="AK209" s="29">
        <f>MIN(Q209*(1-U209), Scenario_Control!$B$2*Q209)</f>
        <v>512.5680000000001</v>
      </c>
      <c r="AL209" s="15">
        <f t="shared" si="59"/>
        <v>0</v>
      </c>
      <c r="AM209" s="8">
        <f>DATEDIF(Table1[[#This Row],[Country_FirstMonth]], Table1[[#This Row],[MonthDate]], "m")</f>
        <v>24</v>
      </c>
    </row>
    <row r="210" spans="1:39" x14ac:dyDescent="0.25">
      <c r="A210" t="s">
        <v>222</v>
      </c>
      <c r="B210" s="12">
        <v>45545</v>
      </c>
      <c r="C210" s="12">
        <f t="shared" si="45"/>
        <v>45572</v>
      </c>
      <c r="D210" s="2" t="str">
        <f>IF(Table1[[#This Row],[RequiredDate]]&lt;Table1[[#This Row],[OrderDate]],"Check","OK")</f>
        <v>OK</v>
      </c>
      <c r="E210" s="2">
        <v>45572</v>
      </c>
      <c r="F210" s="15">
        <f t="shared" si="46"/>
        <v>27</v>
      </c>
      <c r="G210" t="s">
        <v>646</v>
      </c>
      <c r="H210" t="s">
        <v>650</v>
      </c>
      <c r="I210" t="s">
        <v>662</v>
      </c>
      <c r="J210" t="s">
        <v>704</v>
      </c>
      <c r="K210" t="s">
        <v>707</v>
      </c>
      <c r="L210" t="s">
        <v>716</v>
      </c>
      <c r="M210" t="s">
        <v>728</v>
      </c>
      <c r="N210" t="s">
        <v>942</v>
      </c>
      <c r="O210" s="29">
        <v>1248.3900000000001</v>
      </c>
      <c r="P210" t="str">
        <f>IF(Table1[[#This Row],[UnitPrice]]&lt;=0,"Check","OK")</f>
        <v>OK</v>
      </c>
      <c r="Q210" s="29">
        <f t="shared" si="47"/>
        <v>1805.11</v>
      </c>
      <c r="R210">
        <v>1805.11</v>
      </c>
      <c r="S210" s="5">
        <f>IF(Table1[[#This Row],[Discount_Flag]]="Check", MIN(MAX(Table1[[#This Row],[DiscountPct]],0),0.3), Table1[[#This Row],[DiscountPct]])</f>
        <v>0.20300000000000001</v>
      </c>
      <c r="T210" t="str">
        <f>IF(OR(Table1[[#This Row],[DiscountPct]]&lt;0,Table1[[#This Row],[DiscountPct]]&gt;0.3),"Check","OK")</f>
        <v>OK</v>
      </c>
      <c r="U210" s="11">
        <v>0.20300000000000001</v>
      </c>
      <c r="V210" s="15">
        <f t="shared" si="48"/>
        <v>1</v>
      </c>
      <c r="W210" s="11">
        <f t="shared" si="49"/>
        <v>0.13226265707820786</v>
      </c>
      <c r="X210" s="17">
        <f t="shared" si="50"/>
        <v>13732.29</v>
      </c>
      <c r="Y210" s="17">
        <f t="shared" si="51"/>
        <v>2093.1093699999965</v>
      </c>
      <c r="Z210" s="17">
        <f t="shared" si="52"/>
        <v>15825.399369999997</v>
      </c>
      <c r="AA210" s="17" t="str">
        <f t="shared" si="53"/>
        <v>Q3-2024</v>
      </c>
      <c r="AB210" s="12" t="str">
        <f t="shared" si="54"/>
        <v>Sept-2024</v>
      </c>
      <c r="AC210" s="12" t="str">
        <f t="shared" si="55"/>
        <v>Medium</v>
      </c>
      <c r="AD210">
        <v>11</v>
      </c>
      <c r="AE210" s="12">
        <f>_xlfn.MINIFS(Table1[MonthDate], Table1[Country], Table1[[#This Row],[Country]])</f>
        <v>44927</v>
      </c>
      <c r="AF210" s="12">
        <f t="shared" si="56"/>
        <v>45536</v>
      </c>
      <c r="AG210">
        <f>AD210*(1 + Scenario_Control!$B$4)</f>
        <v>12.100000000000001</v>
      </c>
      <c r="AH210">
        <f>O210*(1 + Scenario_Control!$B$3)</f>
        <v>1310.8095000000001</v>
      </c>
      <c r="AI210">
        <f t="shared" si="57"/>
        <v>3481.5878613999998</v>
      </c>
      <c r="AJ210">
        <f t="shared" si="58"/>
        <v>-12379.207088600004</v>
      </c>
      <c r="AK210" s="29">
        <f>MIN(Q210*(1-U210), Scenario_Control!$B$2*Q210)</f>
        <v>361.02199999999999</v>
      </c>
      <c r="AL210" s="15">
        <f t="shared" si="59"/>
        <v>0</v>
      </c>
      <c r="AM210" s="8">
        <f>DATEDIF(Table1[[#This Row],[Country_FirstMonth]], Table1[[#This Row],[MonthDate]], "m")</f>
        <v>20</v>
      </c>
    </row>
    <row r="211" spans="1:39" x14ac:dyDescent="0.25">
      <c r="A211" t="s">
        <v>223</v>
      </c>
      <c r="B211" s="12">
        <v>45859</v>
      </c>
      <c r="C211" s="12">
        <f t="shared" si="45"/>
        <v>45876</v>
      </c>
      <c r="D211" s="2" t="str">
        <f>IF(Table1[[#This Row],[RequiredDate]]&lt;Table1[[#This Row],[OrderDate]],"Check","OK")</f>
        <v>OK</v>
      </c>
      <c r="E211" s="2">
        <v>45876</v>
      </c>
      <c r="F211" s="15">
        <f t="shared" si="46"/>
        <v>17</v>
      </c>
      <c r="G211" t="s">
        <v>646</v>
      </c>
      <c r="H211" t="s">
        <v>651</v>
      </c>
      <c r="I211" t="s">
        <v>665</v>
      </c>
      <c r="J211" t="s">
        <v>706</v>
      </c>
      <c r="K211" t="s">
        <v>711</v>
      </c>
      <c r="L211" t="s">
        <v>724</v>
      </c>
      <c r="M211" t="s">
        <v>733</v>
      </c>
      <c r="N211" t="s">
        <v>943</v>
      </c>
      <c r="O211" s="29">
        <v>1204.95</v>
      </c>
      <c r="P211" t="str">
        <f>IF(Table1[[#This Row],[UnitPrice]]&lt;=0,"Check","OK")</f>
        <v>OK</v>
      </c>
      <c r="Q211" s="29">
        <f t="shared" si="47"/>
        <v>2065.73</v>
      </c>
      <c r="R211">
        <v>2065.73</v>
      </c>
      <c r="S211" s="5">
        <f>IF(Table1[[#This Row],[Discount_Flag]]="Check", MIN(MAX(Table1[[#This Row],[DiscountPct]],0),0.3), Table1[[#This Row],[DiscountPct]])</f>
        <v>0.13600000000000001</v>
      </c>
      <c r="T211" t="str">
        <f>IF(OR(Table1[[#This Row],[DiscountPct]]&lt;0,Table1[[#This Row],[DiscountPct]]&gt;0.3),"Check","OK")</f>
        <v>OK</v>
      </c>
      <c r="U211" s="11">
        <v>0.13600000000000001</v>
      </c>
      <c r="V211" s="15">
        <f t="shared" si="48"/>
        <v>0</v>
      </c>
      <c r="W211" s="11">
        <f t="shared" si="49"/>
        <v>0.32487882949100039</v>
      </c>
      <c r="X211" s="17">
        <f t="shared" si="50"/>
        <v>12049.5</v>
      </c>
      <c r="Y211" s="17">
        <f t="shared" si="51"/>
        <v>5798.4071999999978</v>
      </c>
      <c r="Z211" s="17">
        <f t="shared" si="52"/>
        <v>17847.907199999998</v>
      </c>
      <c r="AA211" s="17" t="str">
        <f t="shared" si="53"/>
        <v>Q3-2025</v>
      </c>
      <c r="AB211" s="12" t="str">
        <f t="shared" si="54"/>
        <v>Jul-2025</v>
      </c>
      <c r="AC211" s="12" t="str">
        <f t="shared" si="55"/>
        <v>High</v>
      </c>
      <c r="AD211">
        <v>10</v>
      </c>
      <c r="AE211" s="12">
        <f>_xlfn.MINIFS(Table1[MonthDate], Table1[Country], Table1[[#This Row],[Country]])</f>
        <v>44927</v>
      </c>
      <c r="AF211" s="12">
        <f t="shared" si="56"/>
        <v>45839</v>
      </c>
      <c r="AG211">
        <f>AD211*(1 + Scenario_Control!$B$4)</f>
        <v>11</v>
      </c>
      <c r="AH211">
        <f>O211*(1 + Scenario_Control!$B$3)</f>
        <v>1265.1975</v>
      </c>
      <c r="AI211">
        <f t="shared" si="57"/>
        <v>3926.5395839999996</v>
      </c>
      <c r="AJ211">
        <f t="shared" si="58"/>
        <v>-9990.6329160000005</v>
      </c>
      <c r="AK211" s="29">
        <f>MIN(Q211*(1-U211), Scenario_Control!$B$2*Q211)</f>
        <v>413.14600000000002</v>
      </c>
      <c r="AL211" s="15">
        <f t="shared" si="59"/>
        <v>0</v>
      </c>
      <c r="AM211" s="8">
        <f>DATEDIF(Table1[[#This Row],[Country_FirstMonth]], Table1[[#This Row],[MonthDate]], "m")</f>
        <v>30</v>
      </c>
    </row>
    <row r="212" spans="1:39" x14ac:dyDescent="0.25">
      <c r="A212" t="s">
        <v>224</v>
      </c>
      <c r="B212" s="12">
        <v>45567</v>
      </c>
      <c r="C212" s="12">
        <f t="shared" si="45"/>
        <v>45588</v>
      </c>
      <c r="D212" s="2" t="str">
        <f>IF(Table1[[#This Row],[RequiredDate]]&lt;Table1[[#This Row],[OrderDate]],"Check","OK")</f>
        <v>OK</v>
      </c>
      <c r="E212" s="2">
        <v>45588</v>
      </c>
      <c r="F212" s="15">
        <f t="shared" si="46"/>
        <v>21</v>
      </c>
      <c r="G212" t="s">
        <v>646</v>
      </c>
      <c r="H212" t="s">
        <v>661</v>
      </c>
      <c r="I212" t="s">
        <v>687</v>
      </c>
      <c r="J212" t="s">
        <v>701</v>
      </c>
      <c r="K212" t="s">
        <v>709</v>
      </c>
      <c r="L212" t="s">
        <v>720</v>
      </c>
      <c r="M212" t="s">
        <v>727</v>
      </c>
      <c r="N212" t="s">
        <v>944</v>
      </c>
      <c r="O212" s="29">
        <v>1095.6099999999999</v>
      </c>
      <c r="P212" t="str">
        <f>IF(Table1[[#This Row],[UnitPrice]]&lt;=0,"Check","OK")</f>
        <v>OK</v>
      </c>
      <c r="Q212" s="29">
        <f t="shared" si="47"/>
        <v>2366.5100000000002</v>
      </c>
      <c r="R212">
        <v>2366.5100000000002</v>
      </c>
      <c r="S212" s="5">
        <f>IF(Table1[[#This Row],[Discount_Flag]]="Check", MIN(MAX(Table1[[#This Row],[DiscountPct]],0),0.3), Table1[[#This Row],[DiscountPct]])</f>
        <v>0.152</v>
      </c>
      <c r="T212" t="str">
        <f>IF(OR(Table1[[#This Row],[DiscountPct]]&lt;0,Table1[[#This Row],[DiscountPct]]&gt;0.3),"Check","OK")</f>
        <v>OK</v>
      </c>
      <c r="U212" s="11">
        <v>0.152</v>
      </c>
      <c r="V212" s="15">
        <f t="shared" si="48"/>
        <v>0</v>
      </c>
      <c r="W212" s="11">
        <f t="shared" si="49"/>
        <v>0.4540513564158607</v>
      </c>
      <c r="X212" s="17">
        <f t="shared" si="50"/>
        <v>9860.49</v>
      </c>
      <c r="Y212" s="17">
        <f t="shared" si="51"/>
        <v>8200.7143200000046</v>
      </c>
      <c r="Z212" s="17">
        <f t="shared" si="52"/>
        <v>18061.204320000004</v>
      </c>
      <c r="AA212" s="17" t="str">
        <f t="shared" si="53"/>
        <v>Q4-2024</v>
      </c>
      <c r="AB212" s="12" t="str">
        <f t="shared" si="54"/>
        <v>Oct-2024</v>
      </c>
      <c r="AC212" s="12" t="str">
        <f t="shared" si="55"/>
        <v>High</v>
      </c>
      <c r="AD212">
        <v>9</v>
      </c>
      <c r="AE212" s="12">
        <f>_xlfn.MINIFS(Table1[MonthDate], Table1[Country], Table1[[#This Row],[Country]])</f>
        <v>44927</v>
      </c>
      <c r="AF212" s="12">
        <f t="shared" si="56"/>
        <v>45566</v>
      </c>
      <c r="AG212">
        <f>AD212*(1 + Scenario_Control!$B$4)</f>
        <v>9.9</v>
      </c>
      <c r="AH212">
        <f>O212*(1 + Scenario_Control!$B$3)</f>
        <v>1150.3905</v>
      </c>
      <c r="AI212">
        <f t="shared" si="57"/>
        <v>3973.4649504000008</v>
      </c>
      <c r="AJ212">
        <f t="shared" si="58"/>
        <v>-7415.4009995999986</v>
      </c>
      <c r="AK212" s="29">
        <f>MIN(Q212*(1-U212), Scenario_Control!$B$2*Q212)</f>
        <v>473.30200000000008</v>
      </c>
      <c r="AL212" s="15">
        <f t="shared" si="59"/>
        <v>0</v>
      </c>
      <c r="AM212" s="8">
        <f>DATEDIF(Table1[[#This Row],[Country_FirstMonth]], Table1[[#This Row],[MonthDate]], "m")</f>
        <v>21</v>
      </c>
    </row>
    <row r="213" spans="1:39" x14ac:dyDescent="0.25">
      <c r="A213" t="s">
        <v>225</v>
      </c>
      <c r="B213" s="12">
        <v>45852</v>
      </c>
      <c r="C213" s="12">
        <f t="shared" si="45"/>
        <v>45873</v>
      </c>
      <c r="D213" s="2" t="str">
        <f>IF(Table1[[#This Row],[RequiredDate]]&lt;Table1[[#This Row],[OrderDate]],"Check","OK")</f>
        <v>OK</v>
      </c>
      <c r="E213" s="2">
        <v>45873</v>
      </c>
      <c r="F213" s="15">
        <f t="shared" si="46"/>
        <v>21</v>
      </c>
      <c r="G213" t="s">
        <v>648</v>
      </c>
      <c r="H213" t="s">
        <v>653</v>
      </c>
      <c r="I213" t="s">
        <v>681</v>
      </c>
      <c r="J213" t="s">
        <v>704</v>
      </c>
      <c r="K213" t="s">
        <v>708</v>
      </c>
      <c r="L213" t="s">
        <v>722</v>
      </c>
      <c r="M213" t="s">
        <v>732</v>
      </c>
      <c r="N213" t="s">
        <v>945</v>
      </c>
      <c r="O213" s="29">
        <v>90.3</v>
      </c>
      <c r="P213" t="str">
        <f>IF(Table1[[#This Row],[UnitPrice]]&lt;=0,"Check","OK")</f>
        <v>OK</v>
      </c>
      <c r="Q213" s="29">
        <f t="shared" si="47"/>
        <v>131.76</v>
      </c>
      <c r="R213">
        <v>131.76</v>
      </c>
      <c r="S213" s="5">
        <f>IF(Table1[[#This Row],[Discount_Flag]]="Check", MIN(MAX(Table1[[#This Row],[DiscountPct]],0),0.3), Table1[[#This Row],[DiscountPct]])</f>
        <v>0.10199999999999999</v>
      </c>
      <c r="T213" t="str">
        <f>IF(OR(Table1[[#This Row],[DiscountPct]]&lt;0,Table1[[#This Row],[DiscountPct]]&gt;0.3),"Check","OK")</f>
        <v>OK</v>
      </c>
      <c r="U213" s="11">
        <v>0.10199999999999999</v>
      </c>
      <c r="V213" s="15">
        <f t="shared" si="48"/>
        <v>0</v>
      </c>
      <c r="W213" s="11">
        <f t="shared" si="49"/>
        <v>0.23681851189244668</v>
      </c>
      <c r="X213" s="17">
        <f t="shared" si="50"/>
        <v>1354.5</v>
      </c>
      <c r="Y213" s="17">
        <f t="shared" si="51"/>
        <v>420.30719999999997</v>
      </c>
      <c r="Z213" s="17">
        <f t="shared" si="52"/>
        <v>1774.8072</v>
      </c>
      <c r="AA213" s="17" t="str">
        <f t="shared" si="53"/>
        <v>Q3-2025</v>
      </c>
      <c r="AB213" s="12" t="str">
        <f t="shared" si="54"/>
        <v>Jul-2025</v>
      </c>
      <c r="AC213" s="12" t="str">
        <f t="shared" si="55"/>
        <v>Low</v>
      </c>
      <c r="AD213">
        <v>15</v>
      </c>
      <c r="AE213" s="12">
        <f>_xlfn.MINIFS(Table1[MonthDate], Table1[Country], Table1[[#This Row],[Country]])</f>
        <v>44927</v>
      </c>
      <c r="AF213" s="12">
        <f t="shared" si="56"/>
        <v>45839</v>
      </c>
      <c r="AG213">
        <f>AD213*(1 + Scenario_Control!$B$4)</f>
        <v>16.5</v>
      </c>
      <c r="AH213">
        <f>O213*(1 + Scenario_Control!$B$3)</f>
        <v>94.814999999999998</v>
      </c>
      <c r="AI213">
        <f t="shared" si="57"/>
        <v>390.457584</v>
      </c>
      <c r="AJ213">
        <f t="shared" si="58"/>
        <v>-1173.989916</v>
      </c>
      <c r="AK213" s="29">
        <f>MIN(Q213*(1-U213), Scenario_Control!$B$2*Q213)</f>
        <v>26.352</v>
      </c>
      <c r="AL213" s="15">
        <f t="shared" si="59"/>
        <v>0</v>
      </c>
      <c r="AM213" s="8">
        <f>DATEDIF(Table1[[#This Row],[Country_FirstMonth]], Table1[[#This Row],[MonthDate]], "m")</f>
        <v>30</v>
      </c>
    </row>
    <row r="214" spans="1:39" x14ac:dyDescent="0.25">
      <c r="A214" t="s">
        <v>226</v>
      </c>
      <c r="B214" s="12">
        <v>45544</v>
      </c>
      <c r="C214" s="12">
        <f t="shared" si="45"/>
        <v>45566</v>
      </c>
      <c r="D214" s="2" t="str">
        <f>IF(Table1[[#This Row],[RequiredDate]]&lt;Table1[[#This Row],[OrderDate]],"Check","OK")</f>
        <v>OK</v>
      </c>
      <c r="E214" s="2">
        <v>45566</v>
      </c>
      <c r="F214" s="15">
        <f t="shared" si="46"/>
        <v>22</v>
      </c>
      <c r="G214" t="s">
        <v>647</v>
      </c>
      <c r="H214" t="s">
        <v>659</v>
      </c>
      <c r="I214" t="s">
        <v>676</v>
      </c>
      <c r="J214" t="s">
        <v>704</v>
      </c>
      <c r="K214" t="s">
        <v>711</v>
      </c>
      <c r="L214" t="s">
        <v>716</v>
      </c>
      <c r="M214" t="s">
        <v>728</v>
      </c>
      <c r="N214" t="s">
        <v>946</v>
      </c>
      <c r="O214" s="29">
        <v>1166.18</v>
      </c>
      <c r="P214" t="str">
        <f>IF(Table1[[#This Row],[UnitPrice]]&lt;=0,"Check","OK")</f>
        <v>OK</v>
      </c>
      <c r="Q214" s="29">
        <f t="shared" si="47"/>
        <v>1335.02</v>
      </c>
      <c r="R214">
        <v>1335.02</v>
      </c>
      <c r="S214" s="5">
        <f>IF(Table1[[#This Row],[Discount_Flag]]="Check", MIN(MAX(Table1[[#This Row],[DiscountPct]],0),0.3), Table1[[#This Row],[DiscountPct]])</f>
        <v>0.128</v>
      </c>
      <c r="T214" t="str">
        <f>IF(OR(Table1[[#This Row],[DiscountPct]]&lt;0,Table1[[#This Row],[DiscountPct]]&gt;0.3),"Check","OK")</f>
        <v>OK</v>
      </c>
      <c r="U214" s="11">
        <v>0.128</v>
      </c>
      <c r="V214" s="15">
        <f t="shared" si="48"/>
        <v>0</v>
      </c>
      <c r="W214" s="11">
        <f t="shared" si="49"/>
        <v>-1.7545694604582242E-3</v>
      </c>
      <c r="X214" s="17">
        <f t="shared" si="50"/>
        <v>6997.08</v>
      </c>
      <c r="Y214" s="17">
        <f t="shared" si="51"/>
        <v>-12.25536000000011</v>
      </c>
      <c r="Z214" s="17">
        <f t="shared" si="52"/>
        <v>6984.8246399999998</v>
      </c>
      <c r="AA214" s="17" t="str">
        <f t="shared" si="53"/>
        <v>Q3-2024</v>
      </c>
      <c r="AB214" s="12" t="str">
        <f t="shared" si="54"/>
        <v>Sept-2024</v>
      </c>
      <c r="AC214" s="12" t="str">
        <f t="shared" si="55"/>
        <v>Medium</v>
      </c>
      <c r="AD214">
        <v>6</v>
      </c>
      <c r="AE214" s="12">
        <f>_xlfn.MINIFS(Table1[MonthDate], Table1[Country], Table1[[#This Row],[Country]])</f>
        <v>44927</v>
      </c>
      <c r="AF214" s="12">
        <f t="shared" si="56"/>
        <v>45536</v>
      </c>
      <c r="AG214">
        <f>AD214*(1 + Scenario_Control!$B$4)</f>
        <v>6.6000000000000005</v>
      </c>
      <c r="AH214">
        <f>O214*(1 + Scenario_Control!$B$3)</f>
        <v>1224.489</v>
      </c>
      <c r="AI214">
        <f t="shared" si="57"/>
        <v>1536.6614208000003</v>
      </c>
      <c r="AJ214">
        <f t="shared" si="58"/>
        <v>-6544.9659792000011</v>
      </c>
      <c r="AK214" s="29">
        <f>MIN(Q214*(1-U214), Scenario_Control!$B$2*Q214)</f>
        <v>267.00400000000002</v>
      </c>
      <c r="AL214" s="15">
        <f t="shared" si="59"/>
        <v>0</v>
      </c>
      <c r="AM214" s="8">
        <f>DATEDIF(Table1[[#This Row],[Country_FirstMonth]], Table1[[#This Row],[MonthDate]], "m")</f>
        <v>20</v>
      </c>
    </row>
    <row r="215" spans="1:39" x14ac:dyDescent="0.25">
      <c r="A215" t="s">
        <v>227</v>
      </c>
      <c r="B215" s="12">
        <v>45686</v>
      </c>
      <c r="C215" s="12">
        <f t="shared" si="45"/>
        <v>45694</v>
      </c>
      <c r="D215" s="2" t="str">
        <f>IF(Table1[[#This Row],[RequiredDate]]&lt;Table1[[#This Row],[OrderDate]],"Check","OK")</f>
        <v>OK</v>
      </c>
      <c r="E215" s="2">
        <v>45694</v>
      </c>
      <c r="F215" s="15">
        <f t="shared" si="46"/>
        <v>8</v>
      </c>
      <c r="G215" t="s">
        <v>646</v>
      </c>
      <c r="H215" t="s">
        <v>650</v>
      </c>
      <c r="I215" t="s">
        <v>662</v>
      </c>
      <c r="J215" t="s">
        <v>702</v>
      </c>
      <c r="K215" t="s">
        <v>707</v>
      </c>
      <c r="L215" t="s">
        <v>717</v>
      </c>
      <c r="M215" t="s">
        <v>730</v>
      </c>
      <c r="N215" t="s">
        <v>947</v>
      </c>
      <c r="O215" s="29">
        <v>1445.27</v>
      </c>
      <c r="P215" t="str">
        <f>IF(Table1[[#This Row],[UnitPrice]]&lt;=0,"Check","OK")</f>
        <v>OK</v>
      </c>
      <c r="Q215" s="29">
        <f t="shared" si="47"/>
        <v>2691.45</v>
      </c>
      <c r="R215">
        <v>2691.45</v>
      </c>
      <c r="S215" s="5">
        <f>IF(Table1[[#This Row],[Discount_Flag]]="Check", MIN(MAX(Table1[[#This Row],[DiscountPct]],0),0.3), Table1[[#This Row],[DiscountPct]])</f>
        <v>0</v>
      </c>
      <c r="T215" t="str">
        <f>IF(OR(Table1[[#This Row],[DiscountPct]]&lt;0,Table1[[#This Row],[DiscountPct]]&gt;0.3),"Check","OK")</f>
        <v>OK</v>
      </c>
      <c r="U215" s="11">
        <v>0</v>
      </c>
      <c r="V215" s="15">
        <f t="shared" si="48"/>
        <v>0</v>
      </c>
      <c r="W215" s="11">
        <f t="shared" si="49"/>
        <v>0.46301436028906351</v>
      </c>
      <c r="X215" s="17">
        <f t="shared" si="50"/>
        <v>13007.43</v>
      </c>
      <c r="Y215" s="17">
        <f t="shared" si="51"/>
        <v>11215.619999999999</v>
      </c>
      <c r="Z215" s="17">
        <f t="shared" si="52"/>
        <v>24223.05</v>
      </c>
      <c r="AA215" s="17" t="str">
        <f t="shared" si="53"/>
        <v>Q1-2025</v>
      </c>
      <c r="AB215" s="12" t="str">
        <f t="shared" si="54"/>
        <v>Jan-2025</v>
      </c>
      <c r="AC215" s="12" t="str">
        <f t="shared" si="55"/>
        <v>High</v>
      </c>
      <c r="AD215">
        <v>9</v>
      </c>
      <c r="AE215" s="12">
        <f>_xlfn.MINIFS(Table1[MonthDate], Table1[Country], Table1[[#This Row],[Country]])</f>
        <v>44927</v>
      </c>
      <c r="AF215" s="12">
        <f t="shared" si="56"/>
        <v>45658</v>
      </c>
      <c r="AG215">
        <f>AD215*(1 + Scenario_Control!$B$4)</f>
        <v>9.9</v>
      </c>
      <c r="AH215">
        <f>O215*(1 + Scenario_Control!$B$3)</f>
        <v>1517.5335</v>
      </c>
      <c r="AI215">
        <f t="shared" si="57"/>
        <v>5329.0709999999999</v>
      </c>
      <c r="AJ215">
        <f t="shared" si="58"/>
        <v>-9694.5106500000002</v>
      </c>
      <c r="AK215" s="29">
        <f>MIN(Q215*(1-U215), Scenario_Control!$B$2*Q215)</f>
        <v>538.29</v>
      </c>
      <c r="AL215" s="15">
        <f t="shared" si="59"/>
        <v>0</v>
      </c>
      <c r="AM215" s="8">
        <f>DATEDIF(Table1[[#This Row],[Country_FirstMonth]], Table1[[#This Row],[MonthDate]], "m")</f>
        <v>24</v>
      </c>
    </row>
    <row r="216" spans="1:39" x14ac:dyDescent="0.25">
      <c r="A216" t="s">
        <v>228</v>
      </c>
      <c r="B216" s="12">
        <v>45240</v>
      </c>
      <c r="C216" s="12">
        <f t="shared" si="45"/>
        <v>45258</v>
      </c>
      <c r="D216" s="2" t="str">
        <f>IF(Table1[[#This Row],[RequiredDate]]&lt;Table1[[#This Row],[OrderDate]],"Check","OK")</f>
        <v>OK</v>
      </c>
      <c r="E216" s="2">
        <v>45258</v>
      </c>
      <c r="F216" s="15">
        <f t="shared" si="46"/>
        <v>18</v>
      </c>
      <c r="G216" t="s">
        <v>648</v>
      </c>
      <c r="H216" t="s">
        <v>655</v>
      </c>
      <c r="I216" t="s">
        <v>672</v>
      </c>
      <c r="J216" t="s">
        <v>702</v>
      </c>
      <c r="K216" t="s">
        <v>709</v>
      </c>
      <c r="L216" t="s">
        <v>716</v>
      </c>
      <c r="M216" t="s">
        <v>733</v>
      </c>
      <c r="N216" t="s">
        <v>948</v>
      </c>
      <c r="O216" s="29">
        <v>388.51</v>
      </c>
      <c r="P216" t="str">
        <f>IF(Table1[[#This Row],[UnitPrice]]&lt;=0,"Check","OK")</f>
        <v>OK</v>
      </c>
      <c r="Q216" s="29">
        <f t="shared" si="47"/>
        <v>776.46</v>
      </c>
      <c r="R216">
        <v>776.46</v>
      </c>
      <c r="S216" s="5">
        <f>IF(Table1[[#This Row],[Discount_Flag]]="Check", MIN(MAX(Table1[[#This Row],[DiscountPct]],0),0.3), Table1[[#This Row],[DiscountPct]])</f>
        <v>0.157</v>
      </c>
      <c r="T216" t="str">
        <f>IF(OR(Table1[[#This Row],[DiscountPct]]&lt;0,Table1[[#This Row],[DiscountPct]]&gt;0.3),"Check","OK")</f>
        <v>OK</v>
      </c>
      <c r="U216" s="11">
        <v>0.157</v>
      </c>
      <c r="V216" s="15">
        <f t="shared" si="48"/>
        <v>0</v>
      </c>
      <c r="W216" s="11">
        <f t="shared" si="49"/>
        <v>0.40645241876864946</v>
      </c>
      <c r="X216" s="17">
        <f t="shared" si="50"/>
        <v>4662.12</v>
      </c>
      <c r="Y216" s="17">
        <f t="shared" si="51"/>
        <v>3192.54936</v>
      </c>
      <c r="Z216" s="17">
        <f t="shared" si="52"/>
        <v>7854.6693599999999</v>
      </c>
      <c r="AA216" s="17" t="str">
        <f t="shared" si="53"/>
        <v>Q4-2023</v>
      </c>
      <c r="AB216" s="12" t="str">
        <f t="shared" si="54"/>
        <v>Nov-2023</v>
      </c>
      <c r="AC216" s="12" t="str">
        <f t="shared" si="55"/>
        <v>Medium</v>
      </c>
      <c r="AD216">
        <v>12</v>
      </c>
      <c r="AE216" s="12">
        <f>_xlfn.MINIFS(Table1[MonthDate], Table1[Country], Table1[[#This Row],[Country]])</f>
        <v>44927</v>
      </c>
      <c r="AF216" s="12">
        <f t="shared" si="56"/>
        <v>45231</v>
      </c>
      <c r="AG216">
        <f>AD216*(1 + Scenario_Control!$B$4)</f>
        <v>13.200000000000001</v>
      </c>
      <c r="AH216">
        <f>O216*(1 + Scenario_Control!$B$3)</f>
        <v>407.93549999999999</v>
      </c>
      <c r="AI216">
        <f t="shared" si="57"/>
        <v>1728.0272592000006</v>
      </c>
      <c r="AJ216">
        <f t="shared" si="58"/>
        <v>-3656.7213407999993</v>
      </c>
      <c r="AK216" s="29">
        <f>MIN(Q216*(1-U216), Scenario_Control!$B$2*Q216)</f>
        <v>155.29200000000003</v>
      </c>
      <c r="AL216" s="15">
        <f t="shared" si="59"/>
        <v>0</v>
      </c>
      <c r="AM216" s="8">
        <f>DATEDIF(Table1[[#This Row],[Country_FirstMonth]], Table1[[#This Row],[MonthDate]], "m")</f>
        <v>10</v>
      </c>
    </row>
    <row r="217" spans="1:39" x14ac:dyDescent="0.25">
      <c r="A217" t="s">
        <v>229</v>
      </c>
      <c r="B217" s="12">
        <v>45351</v>
      </c>
      <c r="C217" s="12">
        <f t="shared" si="45"/>
        <v>45381</v>
      </c>
      <c r="D217" s="2" t="str">
        <f>IF(Table1[[#This Row],[RequiredDate]]&lt;Table1[[#This Row],[OrderDate]],"Check","OK")</f>
        <v>OK</v>
      </c>
      <c r="E217" s="2">
        <v>45381</v>
      </c>
      <c r="F217" s="15">
        <f t="shared" si="46"/>
        <v>30</v>
      </c>
      <c r="G217" t="s">
        <v>647</v>
      </c>
      <c r="H217" t="s">
        <v>652</v>
      </c>
      <c r="I217" t="s">
        <v>694</v>
      </c>
      <c r="J217" t="s">
        <v>705</v>
      </c>
      <c r="K217" t="s">
        <v>711</v>
      </c>
      <c r="L217" t="s">
        <v>714</v>
      </c>
      <c r="M217" t="s">
        <v>729</v>
      </c>
      <c r="N217" t="s">
        <v>949</v>
      </c>
      <c r="O217" s="29">
        <v>231.11</v>
      </c>
      <c r="P217" t="str">
        <f>IF(Table1[[#This Row],[UnitPrice]]&lt;=0,"Check","OK")</f>
        <v>OK</v>
      </c>
      <c r="Q217" s="29">
        <f t="shared" si="47"/>
        <v>318.17</v>
      </c>
      <c r="R217">
        <v>318.17</v>
      </c>
      <c r="S217" s="5">
        <f>IF(Table1[[#This Row],[Discount_Flag]]="Check", MIN(MAX(Table1[[#This Row],[DiscountPct]],0),0.3), Table1[[#This Row],[DiscountPct]])</f>
        <v>0.20100000000000001</v>
      </c>
      <c r="T217" t="str">
        <f>IF(OR(Table1[[#This Row],[DiscountPct]]&lt;0,Table1[[#This Row],[DiscountPct]]&gt;0.3),"Check","OK")</f>
        <v>OK</v>
      </c>
      <c r="U217" s="11">
        <v>0.20100000000000001</v>
      </c>
      <c r="V217" s="15">
        <f t="shared" si="48"/>
        <v>1</v>
      </c>
      <c r="W217" s="11">
        <f t="shared" si="49"/>
        <v>9.0897754889969692E-2</v>
      </c>
      <c r="X217" s="17">
        <f t="shared" si="50"/>
        <v>13866.6</v>
      </c>
      <c r="Y217" s="17">
        <f t="shared" si="51"/>
        <v>1386.4697999999989</v>
      </c>
      <c r="Z217" s="17">
        <f t="shared" si="52"/>
        <v>15253.069799999999</v>
      </c>
      <c r="AA217" s="17" t="str">
        <f t="shared" si="53"/>
        <v>Q1-2024</v>
      </c>
      <c r="AB217" s="12" t="str">
        <f t="shared" si="54"/>
        <v>Feb-2024</v>
      </c>
      <c r="AC217" s="12" t="str">
        <f t="shared" si="55"/>
        <v>Low</v>
      </c>
      <c r="AD217">
        <v>60</v>
      </c>
      <c r="AE217" s="12">
        <f>_xlfn.MINIFS(Table1[MonthDate], Table1[Country], Table1[[#This Row],[Country]])</f>
        <v>44986</v>
      </c>
      <c r="AF217" s="12">
        <f t="shared" si="56"/>
        <v>45323</v>
      </c>
      <c r="AG217">
        <f>AD217*(1 + Scenario_Control!$B$4)</f>
        <v>66</v>
      </c>
      <c r="AH217">
        <f>O217*(1 + Scenario_Control!$B$3)</f>
        <v>242.66550000000004</v>
      </c>
      <c r="AI217">
        <f t="shared" si="57"/>
        <v>3355.6753559999997</v>
      </c>
      <c r="AJ217">
        <f t="shared" si="58"/>
        <v>-12660.247644000003</v>
      </c>
      <c r="AK217" s="29">
        <f>MIN(Q217*(1-U217), Scenario_Control!$B$2*Q217)</f>
        <v>63.634000000000007</v>
      </c>
      <c r="AL217" s="15">
        <f t="shared" si="59"/>
        <v>0</v>
      </c>
      <c r="AM217" s="8">
        <f>DATEDIF(Table1[[#This Row],[Country_FirstMonth]], Table1[[#This Row],[MonthDate]], "m")</f>
        <v>11</v>
      </c>
    </row>
    <row r="218" spans="1:39" x14ac:dyDescent="0.25">
      <c r="A218" t="s">
        <v>230</v>
      </c>
      <c r="B218" s="12">
        <v>45280</v>
      </c>
      <c r="C218" s="12">
        <f t="shared" si="45"/>
        <v>45305</v>
      </c>
      <c r="D218" s="2" t="str">
        <f>IF(Table1[[#This Row],[RequiredDate]]&lt;Table1[[#This Row],[OrderDate]],"Check","OK")</f>
        <v>OK</v>
      </c>
      <c r="E218" s="2">
        <v>45305</v>
      </c>
      <c r="F218" s="15">
        <f t="shared" si="46"/>
        <v>25</v>
      </c>
      <c r="G218" t="s">
        <v>647</v>
      </c>
      <c r="H218" t="s">
        <v>654</v>
      </c>
      <c r="I218" t="s">
        <v>691</v>
      </c>
      <c r="J218" t="s">
        <v>703</v>
      </c>
      <c r="K218" t="s">
        <v>709</v>
      </c>
      <c r="L218" t="s">
        <v>716</v>
      </c>
      <c r="M218" t="s">
        <v>732</v>
      </c>
      <c r="N218" t="s">
        <v>950</v>
      </c>
      <c r="O218" s="29">
        <v>1085.6099999999999</v>
      </c>
      <c r="P218" t="str">
        <f>IF(Table1[[#This Row],[UnitPrice]]&lt;=0,"Check","OK")</f>
        <v>OK</v>
      </c>
      <c r="Q218" s="29">
        <f t="shared" si="47"/>
        <v>1246.4100000000001</v>
      </c>
      <c r="R218">
        <v>1246.4100000000001</v>
      </c>
      <c r="S218" s="5">
        <f>IF(Table1[[#This Row],[Discount_Flag]]="Check", MIN(MAX(Table1[[#This Row],[DiscountPct]],0),0.3), Table1[[#This Row],[DiscountPct]])</f>
        <v>0.113</v>
      </c>
      <c r="T218" t="str">
        <f>IF(OR(Table1[[#This Row],[DiscountPct]]&lt;0,Table1[[#This Row],[DiscountPct]]&gt;0.3),"Check","OK")</f>
        <v>OK</v>
      </c>
      <c r="U218" s="11">
        <v>0.113</v>
      </c>
      <c r="V218" s="15">
        <f t="shared" si="48"/>
        <v>0</v>
      </c>
      <c r="W218" s="11">
        <f t="shared" si="49"/>
        <v>1.8050189637310417E-2</v>
      </c>
      <c r="X218" s="17">
        <f t="shared" si="50"/>
        <v>7599.2699999999995</v>
      </c>
      <c r="Y218" s="17">
        <f t="shared" si="51"/>
        <v>139.68969000000106</v>
      </c>
      <c r="Z218" s="17">
        <f t="shared" si="52"/>
        <v>7738.9596900000006</v>
      </c>
      <c r="AA218" s="17" t="str">
        <f t="shared" si="53"/>
        <v>Q4-2023</v>
      </c>
      <c r="AB218" s="12" t="str">
        <f t="shared" si="54"/>
        <v>Dec-2023</v>
      </c>
      <c r="AC218" s="12" t="str">
        <f t="shared" si="55"/>
        <v>Medium</v>
      </c>
      <c r="AD218">
        <v>7</v>
      </c>
      <c r="AE218" s="12">
        <f>_xlfn.MINIFS(Table1[MonthDate], Table1[Country], Table1[[#This Row],[Country]])</f>
        <v>44927</v>
      </c>
      <c r="AF218" s="12">
        <f t="shared" si="56"/>
        <v>45261</v>
      </c>
      <c r="AG218">
        <f>AD218*(1 + Scenario_Control!$B$4)</f>
        <v>7.7000000000000011</v>
      </c>
      <c r="AH218">
        <f>O218*(1 + Scenario_Control!$B$3)</f>
        <v>1139.8905</v>
      </c>
      <c r="AI218">
        <f t="shared" si="57"/>
        <v>1702.5711318000006</v>
      </c>
      <c r="AJ218">
        <f t="shared" si="58"/>
        <v>-7074.5857182000009</v>
      </c>
      <c r="AK218" s="29">
        <f>MIN(Q218*(1-U218), Scenario_Control!$B$2*Q218)</f>
        <v>249.28200000000004</v>
      </c>
      <c r="AL218" s="15">
        <f t="shared" si="59"/>
        <v>0</v>
      </c>
      <c r="AM218" s="8">
        <f>DATEDIF(Table1[[#This Row],[Country_FirstMonth]], Table1[[#This Row],[MonthDate]], "m")</f>
        <v>11</v>
      </c>
    </row>
    <row r="219" spans="1:39" x14ac:dyDescent="0.25">
      <c r="A219" t="s">
        <v>231</v>
      </c>
      <c r="B219" s="12">
        <v>44948</v>
      </c>
      <c r="C219" s="12">
        <f t="shared" si="45"/>
        <v>44955</v>
      </c>
      <c r="D219" s="2" t="str">
        <f>IF(Table1[[#This Row],[RequiredDate]]&lt;Table1[[#This Row],[OrderDate]],"Check","OK")</f>
        <v>Check</v>
      </c>
      <c r="E219" s="2">
        <v>44947</v>
      </c>
      <c r="F219" s="15">
        <f t="shared" si="46"/>
        <v>7</v>
      </c>
      <c r="G219" t="s">
        <v>649</v>
      </c>
      <c r="H219" t="s">
        <v>656</v>
      </c>
      <c r="I219" t="s">
        <v>684</v>
      </c>
      <c r="J219" t="s">
        <v>701</v>
      </c>
      <c r="K219" t="s">
        <v>711</v>
      </c>
      <c r="L219" t="s">
        <v>721</v>
      </c>
      <c r="M219" t="s">
        <v>732</v>
      </c>
      <c r="N219" t="s">
        <v>951</v>
      </c>
      <c r="O219" s="29">
        <v>150.86000000000001</v>
      </c>
      <c r="P219" t="str">
        <f>IF(Table1[[#This Row],[UnitPrice]]&lt;=0,"Check","OK")</f>
        <v>OK</v>
      </c>
      <c r="Q219" s="29">
        <f t="shared" si="47"/>
        <v>346.96</v>
      </c>
      <c r="R219">
        <v>346.96</v>
      </c>
      <c r="S219" s="5">
        <f>IF(Table1[[#This Row],[Discount_Flag]]="Check", MIN(MAX(Table1[[#This Row],[DiscountPct]],0),0.3), Table1[[#This Row],[DiscountPct]])</f>
        <v>0.19600000000000001</v>
      </c>
      <c r="T219" t="str">
        <f>IF(OR(Table1[[#This Row],[DiscountPct]]&lt;0,Table1[[#This Row],[DiscountPct]]&gt;0.3),"Check","OK")</f>
        <v>OK</v>
      </c>
      <c r="U219" s="11">
        <v>0.19600000000000001</v>
      </c>
      <c r="V219" s="15">
        <f t="shared" si="48"/>
        <v>0</v>
      </c>
      <c r="W219" s="11">
        <f t="shared" si="49"/>
        <v>0.45919755614365343</v>
      </c>
      <c r="X219" s="17">
        <f t="shared" si="50"/>
        <v>1206.8800000000001</v>
      </c>
      <c r="Y219" s="17">
        <f t="shared" si="51"/>
        <v>1024.7667200000001</v>
      </c>
      <c r="Z219" s="17">
        <f t="shared" si="52"/>
        <v>2231.6467200000002</v>
      </c>
      <c r="AA219" s="17" t="str">
        <f t="shared" si="53"/>
        <v>Q1-2023</v>
      </c>
      <c r="AB219" s="12" t="str">
        <f t="shared" si="54"/>
        <v>Jan-2023</v>
      </c>
      <c r="AC219" s="12" t="str">
        <f t="shared" si="55"/>
        <v>Low</v>
      </c>
      <c r="AD219">
        <v>8</v>
      </c>
      <c r="AE219" s="12">
        <f>_xlfn.MINIFS(Table1[MonthDate], Table1[Country], Table1[[#This Row],[Country]])</f>
        <v>44927</v>
      </c>
      <c r="AF219" s="12">
        <f t="shared" si="56"/>
        <v>44927</v>
      </c>
      <c r="AG219">
        <f>AD219*(1 + Scenario_Control!$B$4)</f>
        <v>8.8000000000000007</v>
      </c>
      <c r="AH219">
        <f>O219*(1 + Scenario_Control!$B$3)</f>
        <v>158.40300000000002</v>
      </c>
      <c r="AI219">
        <f t="shared" si="57"/>
        <v>490.9622784</v>
      </c>
      <c r="AJ219">
        <f t="shared" si="58"/>
        <v>-902.98412160000021</v>
      </c>
      <c r="AK219" s="29">
        <f>MIN(Q219*(1-U219), Scenario_Control!$B$2*Q219)</f>
        <v>69.391999999999996</v>
      </c>
      <c r="AL219" s="15">
        <f t="shared" si="59"/>
        <v>1</v>
      </c>
      <c r="AM219" s="8">
        <f>DATEDIF(Table1[[#This Row],[Country_FirstMonth]], Table1[[#This Row],[MonthDate]], "m")</f>
        <v>0</v>
      </c>
    </row>
    <row r="220" spans="1:39" x14ac:dyDescent="0.25">
      <c r="A220" t="s">
        <v>232</v>
      </c>
      <c r="B220" s="12">
        <v>45576</v>
      </c>
      <c r="C220" s="12">
        <f t="shared" si="45"/>
        <v>45605</v>
      </c>
      <c r="D220" s="2" t="str">
        <f>IF(Table1[[#This Row],[RequiredDate]]&lt;Table1[[#This Row],[OrderDate]],"Check","OK")</f>
        <v>OK</v>
      </c>
      <c r="E220" s="2">
        <v>45605</v>
      </c>
      <c r="F220" s="15">
        <f t="shared" si="46"/>
        <v>29</v>
      </c>
      <c r="G220" t="s">
        <v>647</v>
      </c>
      <c r="H220" t="s">
        <v>659</v>
      </c>
      <c r="I220" t="s">
        <v>685</v>
      </c>
      <c r="J220" t="s">
        <v>703</v>
      </c>
      <c r="K220" t="s">
        <v>708</v>
      </c>
      <c r="L220" t="s">
        <v>721</v>
      </c>
      <c r="M220" t="s">
        <v>728</v>
      </c>
      <c r="N220" t="s">
        <v>952</v>
      </c>
      <c r="O220" s="29">
        <v>391.64</v>
      </c>
      <c r="P220" t="str">
        <f>IF(Table1[[#This Row],[UnitPrice]]&lt;=0,"Check","OK")</f>
        <v>OK</v>
      </c>
      <c r="Q220" s="29">
        <f t="shared" si="47"/>
        <v>504.76</v>
      </c>
      <c r="R220">
        <v>504.76</v>
      </c>
      <c r="S220" s="5">
        <f>IF(Table1[[#This Row],[Discount_Flag]]="Check", MIN(MAX(Table1[[#This Row],[DiscountPct]],0),0.3), Table1[[#This Row],[DiscountPct]])</f>
        <v>4.0000000000000001E-3</v>
      </c>
      <c r="T220" t="str">
        <f>IF(OR(Table1[[#This Row],[DiscountPct]]&lt;0,Table1[[#This Row],[DiscountPct]]&gt;0.3),"Check","OK")</f>
        <v>OK</v>
      </c>
      <c r="U220" s="11">
        <v>4.0000000000000001E-3</v>
      </c>
      <c r="V220" s="15">
        <f t="shared" si="48"/>
        <v>0</v>
      </c>
      <c r="W220" s="11">
        <f t="shared" si="49"/>
        <v>0.22099046793402319</v>
      </c>
      <c r="X220" s="17">
        <f t="shared" si="50"/>
        <v>5091.32</v>
      </c>
      <c r="Y220" s="17">
        <f t="shared" si="51"/>
        <v>1444.3124800000005</v>
      </c>
      <c r="Z220" s="17">
        <f t="shared" si="52"/>
        <v>6535.6324800000002</v>
      </c>
      <c r="AA220" s="17" t="str">
        <f t="shared" si="53"/>
        <v>Q4-2024</v>
      </c>
      <c r="AB220" s="12" t="str">
        <f t="shared" si="54"/>
        <v>Oct-2024</v>
      </c>
      <c r="AC220" s="12" t="str">
        <f t="shared" si="55"/>
        <v>Low</v>
      </c>
      <c r="AD220">
        <v>13</v>
      </c>
      <c r="AE220" s="12">
        <f>_xlfn.MINIFS(Table1[MonthDate], Table1[Country], Table1[[#This Row],[Country]])</f>
        <v>44927</v>
      </c>
      <c r="AF220" s="12">
        <f t="shared" si="56"/>
        <v>45566</v>
      </c>
      <c r="AG220">
        <f>AD220*(1 + Scenario_Control!$B$4)</f>
        <v>14.3</v>
      </c>
      <c r="AH220">
        <f>O220*(1 + Scenario_Control!$B$3)</f>
        <v>411.22199999999998</v>
      </c>
      <c r="AI220">
        <f t="shared" si="57"/>
        <v>1437.8391456000002</v>
      </c>
      <c r="AJ220">
        <f t="shared" si="58"/>
        <v>-4442.6354543999996</v>
      </c>
      <c r="AK220" s="29">
        <f>MIN(Q220*(1-U220), Scenario_Control!$B$2*Q220)</f>
        <v>100.952</v>
      </c>
      <c r="AL220" s="15">
        <f t="shared" si="59"/>
        <v>0</v>
      </c>
      <c r="AM220" s="8">
        <f>DATEDIF(Table1[[#This Row],[Country_FirstMonth]], Table1[[#This Row],[MonthDate]], "m")</f>
        <v>21</v>
      </c>
    </row>
    <row r="221" spans="1:39" x14ac:dyDescent="0.25">
      <c r="A221" t="s">
        <v>233</v>
      </c>
      <c r="B221" s="12">
        <v>45554</v>
      </c>
      <c r="C221" s="12">
        <f t="shared" si="45"/>
        <v>45579</v>
      </c>
      <c r="D221" s="2" t="str">
        <f>IF(Table1[[#This Row],[RequiredDate]]&lt;Table1[[#This Row],[OrderDate]],"Check","OK")</f>
        <v>OK</v>
      </c>
      <c r="E221" s="2">
        <v>45579</v>
      </c>
      <c r="F221" s="15">
        <f t="shared" si="46"/>
        <v>25</v>
      </c>
      <c r="G221" t="s">
        <v>648</v>
      </c>
      <c r="H221" t="s">
        <v>655</v>
      </c>
      <c r="I221" t="s">
        <v>692</v>
      </c>
      <c r="J221" t="s">
        <v>705</v>
      </c>
      <c r="K221" t="s">
        <v>707</v>
      </c>
      <c r="L221" t="s">
        <v>723</v>
      </c>
      <c r="M221" t="s">
        <v>728</v>
      </c>
      <c r="N221" t="s">
        <v>953</v>
      </c>
      <c r="O221" s="29">
        <v>386.96</v>
      </c>
      <c r="P221" t="str">
        <f>IF(Table1[[#This Row],[UnitPrice]]&lt;=0,"Check","OK")</f>
        <v>OK</v>
      </c>
      <c r="Q221" s="29">
        <f t="shared" si="47"/>
        <v>937.46</v>
      </c>
      <c r="R221">
        <v>937.46</v>
      </c>
      <c r="S221" s="5">
        <f>IF(Table1[[#This Row],[Discount_Flag]]="Check", MIN(MAX(Table1[[#This Row],[DiscountPct]],0),0.3), Table1[[#This Row],[DiscountPct]])</f>
        <v>0.26600000000000001</v>
      </c>
      <c r="T221" t="str">
        <f>IF(OR(Table1[[#This Row],[DiscountPct]]&lt;0,Table1[[#This Row],[DiscountPct]]&gt;0.3),"Check","OK")</f>
        <v>OK</v>
      </c>
      <c r="U221" s="11">
        <v>0.26600000000000001</v>
      </c>
      <c r="V221" s="15">
        <f t="shared" si="48"/>
        <v>1</v>
      </c>
      <c r="W221" s="11">
        <f t="shared" si="49"/>
        <v>0.43763631462626335</v>
      </c>
      <c r="X221" s="17">
        <f t="shared" si="50"/>
        <v>15865.359999999999</v>
      </c>
      <c r="Y221" s="17">
        <f t="shared" si="51"/>
        <v>12346.561240000001</v>
      </c>
      <c r="Z221" s="17">
        <f t="shared" si="52"/>
        <v>28211.92124</v>
      </c>
      <c r="AA221" s="17" t="str">
        <f t="shared" si="53"/>
        <v>Q3-2024</v>
      </c>
      <c r="AB221" s="12" t="str">
        <f t="shared" si="54"/>
        <v>Sept-2024</v>
      </c>
      <c r="AC221" s="12" t="str">
        <f t="shared" si="55"/>
        <v>Medium</v>
      </c>
      <c r="AD221">
        <v>41</v>
      </c>
      <c r="AE221" s="12">
        <f>_xlfn.MINIFS(Table1[MonthDate], Table1[Country], Table1[[#This Row],[Country]])</f>
        <v>44927</v>
      </c>
      <c r="AF221" s="12">
        <f t="shared" si="56"/>
        <v>45536</v>
      </c>
      <c r="AG221">
        <f>AD221*(1 + Scenario_Control!$B$4)</f>
        <v>45.1</v>
      </c>
      <c r="AH221">
        <f>O221*(1 + Scenario_Control!$B$3)</f>
        <v>406.30799999999999</v>
      </c>
      <c r="AI221">
        <f t="shared" si="57"/>
        <v>6206.6226728000011</v>
      </c>
      <c r="AJ221">
        <f t="shared" si="58"/>
        <v>-12117.868127199999</v>
      </c>
      <c r="AK221" s="29">
        <f>MIN(Q221*(1-U221), Scenario_Control!$B$2*Q221)</f>
        <v>187.49200000000002</v>
      </c>
      <c r="AL221" s="15">
        <f t="shared" si="59"/>
        <v>0</v>
      </c>
      <c r="AM221" s="8">
        <f>DATEDIF(Table1[[#This Row],[Country_FirstMonth]], Table1[[#This Row],[MonthDate]], "m")</f>
        <v>20</v>
      </c>
    </row>
    <row r="222" spans="1:39" x14ac:dyDescent="0.25">
      <c r="A222" t="s">
        <v>234</v>
      </c>
      <c r="B222" s="12">
        <v>45894</v>
      </c>
      <c r="C222" s="12">
        <f t="shared" si="45"/>
        <v>45924</v>
      </c>
      <c r="D222" s="2" t="str">
        <f>IF(Table1[[#This Row],[RequiredDate]]&lt;Table1[[#This Row],[OrderDate]],"Check","OK")</f>
        <v>OK</v>
      </c>
      <c r="E222" s="2">
        <v>45924</v>
      </c>
      <c r="F222" s="15">
        <f t="shared" si="46"/>
        <v>30</v>
      </c>
      <c r="G222" t="s">
        <v>646</v>
      </c>
      <c r="H222" t="s">
        <v>650</v>
      </c>
      <c r="I222" t="s">
        <v>664</v>
      </c>
      <c r="J222" t="s">
        <v>704</v>
      </c>
      <c r="K222" t="s">
        <v>711</v>
      </c>
      <c r="L222" t="s">
        <v>717</v>
      </c>
      <c r="M222" t="s">
        <v>727</v>
      </c>
      <c r="N222" t="s">
        <v>954</v>
      </c>
      <c r="O222" s="29">
        <v>589.14</v>
      </c>
      <c r="P222" t="str">
        <f>IF(Table1[[#This Row],[UnitPrice]]&lt;=0,"Check","OK")</f>
        <v>OK</v>
      </c>
      <c r="Q222" s="29">
        <f t="shared" si="47"/>
        <v>1300.58</v>
      </c>
      <c r="R222">
        <v>1300.58</v>
      </c>
      <c r="S222" s="5">
        <f>IF(Table1[[#This Row],[Discount_Flag]]="Check", MIN(MAX(Table1[[#This Row],[DiscountPct]],0),0.3), Table1[[#This Row],[DiscountPct]])</f>
        <v>5.5E-2</v>
      </c>
      <c r="T222" t="str">
        <f>IF(OR(Table1[[#This Row],[DiscountPct]]&lt;0,Table1[[#This Row],[DiscountPct]]&gt;0.3),"Check","OK")</f>
        <v>OK</v>
      </c>
      <c r="U222" s="11">
        <v>5.5E-2</v>
      </c>
      <c r="V222" s="15">
        <f t="shared" si="48"/>
        <v>0</v>
      </c>
      <c r="W222" s="11">
        <f t="shared" si="49"/>
        <v>0.52065342275863724</v>
      </c>
      <c r="X222" s="17">
        <f t="shared" si="50"/>
        <v>6480.54</v>
      </c>
      <c r="Y222" s="17">
        <f t="shared" si="51"/>
        <v>7038.989099999998</v>
      </c>
      <c r="Z222" s="17">
        <f t="shared" si="52"/>
        <v>13519.529099999998</v>
      </c>
      <c r="AA222" s="17" t="str">
        <f t="shared" si="53"/>
        <v>Q3-2025</v>
      </c>
      <c r="AB222" s="12" t="str">
        <f t="shared" si="54"/>
        <v>Aug-2025</v>
      </c>
      <c r="AC222" s="12" t="str">
        <f t="shared" si="55"/>
        <v>Medium</v>
      </c>
      <c r="AD222">
        <v>11</v>
      </c>
      <c r="AE222" s="12">
        <f>_xlfn.MINIFS(Table1[MonthDate], Table1[Country], Table1[[#This Row],[Country]])</f>
        <v>44927</v>
      </c>
      <c r="AF222" s="12">
        <f t="shared" si="56"/>
        <v>45870</v>
      </c>
      <c r="AG222">
        <f>AD222*(1 + Scenario_Control!$B$4)</f>
        <v>12.100000000000001</v>
      </c>
      <c r="AH222">
        <f>O222*(1 + Scenario_Control!$B$3)</f>
        <v>618.59699999999998</v>
      </c>
      <c r="AI222">
        <f t="shared" si="57"/>
        <v>2974.2964019999999</v>
      </c>
      <c r="AJ222">
        <f t="shared" si="58"/>
        <v>-4510.7272980000007</v>
      </c>
      <c r="AK222" s="29">
        <f>MIN(Q222*(1-U222), Scenario_Control!$B$2*Q222)</f>
        <v>260.11599999999999</v>
      </c>
      <c r="AL222" s="15">
        <f t="shared" si="59"/>
        <v>0</v>
      </c>
      <c r="AM222" s="8">
        <f>DATEDIF(Table1[[#This Row],[Country_FirstMonth]], Table1[[#This Row],[MonthDate]], "m")</f>
        <v>31</v>
      </c>
    </row>
    <row r="223" spans="1:39" x14ac:dyDescent="0.25">
      <c r="A223" t="s">
        <v>235</v>
      </c>
      <c r="B223" s="12">
        <v>45194</v>
      </c>
      <c r="C223" s="12">
        <f t="shared" si="45"/>
        <v>45201</v>
      </c>
      <c r="D223" s="2" t="str">
        <f>IF(Table1[[#This Row],[RequiredDate]]&lt;Table1[[#This Row],[OrderDate]],"Check","OK")</f>
        <v>OK</v>
      </c>
      <c r="E223" s="2">
        <v>45201</v>
      </c>
      <c r="F223" s="15">
        <f t="shared" si="46"/>
        <v>7</v>
      </c>
      <c r="G223" t="s">
        <v>648</v>
      </c>
      <c r="H223" t="s">
        <v>660</v>
      </c>
      <c r="I223" t="s">
        <v>700</v>
      </c>
      <c r="J223" t="s">
        <v>702</v>
      </c>
      <c r="K223" t="s">
        <v>709</v>
      </c>
      <c r="L223" t="s">
        <v>714</v>
      </c>
      <c r="M223" t="s">
        <v>733</v>
      </c>
      <c r="N223" t="s">
        <v>955</v>
      </c>
      <c r="O223" s="29">
        <v>145.58000000000001</v>
      </c>
      <c r="P223" t="str">
        <f>IF(Table1[[#This Row],[UnitPrice]]&lt;=0,"Check","OK")</f>
        <v>OK</v>
      </c>
      <c r="Q223" s="29">
        <f t="shared" si="47"/>
        <v>228.15</v>
      </c>
      <c r="R223">
        <v>228.15</v>
      </c>
      <c r="S223" s="5">
        <f>IF(Table1[[#This Row],[Discount_Flag]]="Check", MIN(MAX(Table1[[#This Row],[DiscountPct]],0),0.3), Table1[[#This Row],[DiscountPct]])</f>
        <v>0.20399999999999999</v>
      </c>
      <c r="T223" t="str">
        <f>IF(OR(Table1[[#This Row],[DiscountPct]]&lt;0,Table1[[#This Row],[DiscountPct]]&gt;0.3),"Check","OK")</f>
        <v>OK</v>
      </c>
      <c r="U223" s="11">
        <v>0.20399999999999999</v>
      </c>
      <c r="V223" s="15">
        <f t="shared" si="48"/>
        <v>1</v>
      </c>
      <c r="W223" s="11">
        <f t="shared" si="49"/>
        <v>0.19838068272548359</v>
      </c>
      <c r="X223" s="17">
        <f t="shared" si="50"/>
        <v>727.90000000000009</v>
      </c>
      <c r="Y223" s="17">
        <f t="shared" si="51"/>
        <v>180.13699999999994</v>
      </c>
      <c r="Z223" s="17">
        <f t="shared" si="52"/>
        <v>908.03700000000003</v>
      </c>
      <c r="AA223" s="17" t="str">
        <f t="shared" si="53"/>
        <v>Q3-2023</v>
      </c>
      <c r="AB223" s="12" t="str">
        <f t="shared" si="54"/>
        <v>Sept-2023</v>
      </c>
      <c r="AC223" s="12" t="str">
        <f t="shared" si="55"/>
        <v>Low</v>
      </c>
      <c r="AD223">
        <v>5</v>
      </c>
      <c r="AE223" s="12">
        <f>_xlfn.MINIFS(Table1[MonthDate], Table1[Country], Table1[[#This Row],[Country]])</f>
        <v>44927</v>
      </c>
      <c r="AF223" s="12">
        <f t="shared" si="56"/>
        <v>45170</v>
      </c>
      <c r="AG223">
        <f>AD223*(1 + Scenario_Control!$B$4)</f>
        <v>5.5</v>
      </c>
      <c r="AH223">
        <f>O223*(1 + Scenario_Control!$B$3)</f>
        <v>152.85900000000001</v>
      </c>
      <c r="AI223">
        <f t="shared" si="57"/>
        <v>199.76814000000002</v>
      </c>
      <c r="AJ223">
        <f t="shared" si="58"/>
        <v>-640.95636000000002</v>
      </c>
      <c r="AK223" s="29">
        <f>MIN(Q223*(1-U223), Scenario_Control!$B$2*Q223)</f>
        <v>45.63</v>
      </c>
      <c r="AL223" s="15">
        <f t="shared" si="59"/>
        <v>1</v>
      </c>
      <c r="AM223" s="8">
        <f>DATEDIF(Table1[[#This Row],[Country_FirstMonth]], Table1[[#This Row],[MonthDate]], "m")</f>
        <v>8</v>
      </c>
    </row>
    <row r="224" spans="1:39" x14ac:dyDescent="0.25">
      <c r="A224" t="s">
        <v>236</v>
      </c>
      <c r="B224" s="12">
        <v>45164</v>
      </c>
      <c r="C224" s="12">
        <f t="shared" si="45"/>
        <v>45179</v>
      </c>
      <c r="D224" s="2" t="str">
        <f>IF(Table1[[#This Row],[RequiredDate]]&lt;Table1[[#This Row],[OrderDate]],"Check","OK")</f>
        <v>OK</v>
      </c>
      <c r="E224" s="2">
        <v>45179</v>
      </c>
      <c r="F224" s="15">
        <f t="shared" si="46"/>
        <v>15</v>
      </c>
      <c r="G224" t="s">
        <v>646</v>
      </c>
      <c r="H224" t="s">
        <v>661</v>
      </c>
      <c r="I224" t="s">
        <v>695</v>
      </c>
      <c r="J224" t="s">
        <v>703</v>
      </c>
      <c r="K224" t="s">
        <v>711</v>
      </c>
      <c r="L224" t="s">
        <v>725</v>
      </c>
      <c r="M224" t="s">
        <v>727</v>
      </c>
      <c r="N224" t="s">
        <v>956</v>
      </c>
      <c r="O224" s="29">
        <v>241.14</v>
      </c>
      <c r="P224" t="str">
        <f>IF(Table1[[#This Row],[UnitPrice]]&lt;=0,"Check","OK")</f>
        <v>OK</v>
      </c>
      <c r="Q224" s="29">
        <f t="shared" si="47"/>
        <v>496.52</v>
      </c>
      <c r="R224">
        <v>496.52</v>
      </c>
      <c r="S224" s="5">
        <f>IF(Table1[[#This Row],[Discount_Flag]]="Check", MIN(MAX(Table1[[#This Row],[DiscountPct]],0),0.3), Table1[[#This Row],[DiscountPct]])</f>
        <v>9.2999999999999999E-2</v>
      </c>
      <c r="T224" t="str">
        <f>IF(OR(Table1[[#This Row],[DiscountPct]]&lt;0,Table1[[#This Row],[DiscountPct]]&gt;0.3),"Check","OK")</f>
        <v>OK</v>
      </c>
      <c r="U224" s="11">
        <v>9.2999999999999999E-2</v>
      </c>
      <c r="V224" s="15">
        <f t="shared" si="48"/>
        <v>0</v>
      </c>
      <c r="W224" s="11">
        <f t="shared" si="49"/>
        <v>0.46454223268257994</v>
      </c>
      <c r="X224" s="17">
        <f t="shared" si="50"/>
        <v>2411.3999999999996</v>
      </c>
      <c r="Y224" s="17">
        <f t="shared" si="51"/>
        <v>2092.0364</v>
      </c>
      <c r="Z224" s="17">
        <f t="shared" si="52"/>
        <v>4503.4363999999996</v>
      </c>
      <c r="AA224" s="17" t="str">
        <f t="shared" si="53"/>
        <v>Q3-2023</v>
      </c>
      <c r="AB224" s="12" t="str">
        <f t="shared" si="54"/>
        <v>Aug-2023</v>
      </c>
      <c r="AC224" s="12" t="str">
        <f t="shared" si="55"/>
        <v>Low</v>
      </c>
      <c r="AD224">
        <v>10</v>
      </c>
      <c r="AE224" s="12">
        <f>_xlfn.MINIFS(Table1[MonthDate], Table1[Country], Table1[[#This Row],[Country]])</f>
        <v>44927</v>
      </c>
      <c r="AF224" s="12">
        <f t="shared" si="56"/>
        <v>45139</v>
      </c>
      <c r="AG224">
        <f>AD224*(1 + Scenario_Control!$B$4)</f>
        <v>11</v>
      </c>
      <c r="AH224">
        <f>O224*(1 + Scenario_Control!$B$3)</f>
        <v>253.197</v>
      </c>
      <c r="AI224">
        <f t="shared" si="57"/>
        <v>990.75600800000007</v>
      </c>
      <c r="AJ224">
        <f t="shared" si="58"/>
        <v>-1794.4109919999999</v>
      </c>
      <c r="AK224" s="29">
        <f>MIN(Q224*(1-U224), Scenario_Control!$B$2*Q224)</f>
        <v>99.304000000000002</v>
      </c>
      <c r="AL224" s="15">
        <f t="shared" si="59"/>
        <v>0</v>
      </c>
      <c r="AM224" s="8">
        <f>DATEDIF(Table1[[#This Row],[Country_FirstMonth]], Table1[[#This Row],[MonthDate]], "m")</f>
        <v>7</v>
      </c>
    </row>
    <row r="225" spans="1:39" x14ac:dyDescent="0.25">
      <c r="A225" t="s">
        <v>237</v>
      </c>
      <c r="B225" s="12">
        <v>45854</v>
      </c>
      <c r="C225" s="12">
        <f t="shared" si="45"/>
        <v>45855</v>
      </c>
      <c r="D225" s="2" t="str">
        <f>IF(Table1[[#This Row],[RequiredDate]]&lt;Table1[[#This Row],[OrderDate]],"Check","OK")</f>
        <v>OK</v>
      </c>
      <c r="E225" s="2">
        <v>45855</v>
      </c>
      <c r="F225" s="15">
        <f t="shared" si="46"/>
        <v>1</v>
      </c>
      <c r="G225" t="s">
        <v>646</v>
      </c>
      <c r="H225" t="s">
        <v>661</v>
      </c>
      <c r="I225" t="s">
        <v>687</v>
      </c>
      <c r="J225" t="s">
        <v>705</v>
      </c>
      <c r="K225" t="s">
        <v>710</v>
      </c>
      <c r="L225" t="s">
        <v>717</v>
      </c>
      <c r="M225" t="s">
        <v>729</v>
      </c>
      <c r="N225" t="s">
        <v>957</v>
      </c>
      <c r="O225" s="29">
        <v>1198.9000000000001</v>
      </c>
      <c r="P225" t="str">
        <f>IF(Table1[[#This Row],[UnitPrice]]&lt;=0,"Check","OK")</f>
        <v>OK</v>
      </c>
      <c r="Q225" s="29">
        <f t="shared" si="47"/>
        <v>2941.2</v>
      </c>
      <c r="R225">
        <v>2941.2</v>
      </c>
      <c r="S225" s="5">
        <f>IF(Table1[[#This Row],[Discount_Flag]]="Check", MIN(MAX(Table1[[#This Row],[DiscountPct]],0),0.3), Table1[[#This Row],[DiscountPct]])</f>
        <v>5.0999999999999997E-2</v>
      </c>
      <c r="T225" t="str">
        <f>IF(OR(Table1[[#This Row],[DiscountPct]]&lt;0,Table1[[#This Row],[DiscountPct]]&gt;0.3),"Check","OK")</f>
        <v>OK</v>
      </c>
      <c r="U225" s="11">
        <v>5.0999999999999997E-2</v>
      </c>
      <c r="V225" s="15">
        <f t="shared" si="48"/>
        <v>0</v>
      </c>
      <c r="W225" s="11">
        <f t="shared" si="49"/>
        <v>0.57047129713583977</v>
      </c>
      <c r="X225" s="17">
        <f t="shared" si="50"/>
        <v>28773.600000000002</v>
      </c>
      <c r="Y225" s="17">
        <f t="shared" si="51"/>
        <v>38215.171199999982</v>
      </c>
      <c r="Z225" s="17">
        <f t="shared" si="52"/>
        <v>66988.771199999988</v>
      </c>
      <c r="AA225" s="17" t="str">
        <f t="shared" si="53"/>
        <v>Q3-2025</v>
      </c>
      <c r="AB225" s="12" t="str">
        <f t="shared" si="54"/>
        <v>Jul-2025</v>
      </c>
      <c r="AC225" s="12" t="str">
        <f t="shared" si="55"/>
        <v>High</v>
      </c>
      <c r="AD225">
        <v>24</v>
      </c>
      <c r="AE225" s="12">
        <f>_xlfn.MINIFS(Table1[MonthDate], Table1[Country], Table1[[#This Row],[Country]])</f>
        <v>44927</v>
      </c>
      <c r="AF225" s="12">
        <f t="shared" si="56"/>
        <v>45839</v>
      </c>
      <c r="AG225">
        <f>AD225*(1 + Scenario_Control!$B$4)</f>
        <v>26.400000000000002</v>
      </c>
      <c r="AH225">
        <f>O225*(1 + Scenario_Control!$B$3)</f>
        <v>1258.8450000000003</v>
      </c>
      <c r="AI225">
        <f t="shared" si="57"/>
        <v>14737.529664000002</v>
      </c>
      <c r="AJ225">
        <f t="shared" si="58"/>
        <v>-18495.978336000007</v>
      </c>
      <c r="AK225" s="29">
        <f>MIN(Q225*(1-U225), Scenario_Control!$B$2*Q225)</f>
        <v>588.24</v>
      </c>
      <c r="AL225" s="15">
        <f t="shared" si="59"/>
        <v>1</v>
      </c>
      <c r="AM225" s="8">
        <f>DATEDIF(Table1[[#This Row],[Country_FirstMonth]], Table1[[#This Row],[MonthDate]], "m")</f>
        <v>30</v>
      </c>
    </row>
    <row r="226" spans="1:39" x14ac:dyDescent="0.25">
      <c r="A226" t="s">
        <v>238</v>
      </c>
      <c r="B226" s="12">
        <v>45035</v>
      </c>
      <c r="C226" s="12">
        <f t="shared" si="45"/>
        <v>45053</v>
      </c>
      <c r="D226" s="2" t="str">
        <f>IF(Table1[[#This Row],[RequiredDate]]&lt;Table1[[#This Row],[OrderDate]],"Check","OK")</f>
        <v>OK</v>
      </c>
      <c r="E226" s="2">
        <v>45053</v>
      </c>
      <c r="F226" s="15">
        <f t="shared" si="46"/>
        <v>18</v>
      </c>
      <c r="G226" t="s">
        <v>649</v>
      </c>
      <c r="H226" t="s">
        <v>658</v>
      </c>
      <c r="I226" t="s">
        <v>674</v>
      </c>
      <c r="J226" t="s">
        <v>706</v>
      </c>
      <c r="K226" t="s">
        <v>707</v>
      </c>
      <c r="L226" t="s">
        <v>725</v>
      </c>
      <c r="M226" t="s">
        <v>731</v>
      </c>
      <c r="N226" t="s">
        <v>958</v>
      </c>
      <c r="O226" s="29">
        <v>1089.1500000000001</v>
      </c>
      <c r="P226" t="str">
        <f>IF(Table1[[#This Row],[UnitPrice]]&lt;=0,"Check","OK")</f>
        <v>OK</v>
      </c>
      <c r="Q226" s="29">
        <f t="shared" si="47"/>
        <v>1088.2</v>
      </c>
      <c r="R226">
        <v>1088.2</v>
      </c>
      <c r="S226" s="5">
        <f>IF(Table1[[#This Row],[Discount_Flag]]="Check", MIN(MAX(Table1[[#This Row],[DiscountPct]],0),0.3), Table1[[#This Row],[DiscountPct]])</f>
        <v>5.0999999999999997E-2</v>
      </c>
      <c r="T226" t="str">
        <f>IF(OR(Table1[[#This Row],[DiscountPct]]&lt;0,Table1[[#This Row],[DiscountPct]]&gt;0.3),"Check","OK")</f>
        <v>OK</v>
      </c>
      <c r="U226" s="11">
        <v>5.0999999999999997E-2</v>
      </c>
      <c r="V226" s="15">
        <f t="shared" si="48"/>
        <v>0</v>
      </c>
      <c r="W226" s="11">
        <f t="shared" si="49"/>
        <v>-5.4660696824582002E-2</v>
      </c>
      <c r="X226" s="17">
        <f t="shared" si="50"/>
        <v>16337.250000000002</v>
      </c>
      <c r="Y226" s="17">
        <f t="shared" si="51"/>
        <v>-846.72300000000178</v>
      </c>
      <c r="Z226" s="17">
        <f t="shared" si="52"/>
        <v>15490.527</v>
      </c>
      <c r="AA226" s="17" t="str">
        <f t="shared" si="53"/>
        <v>Q2-2023</v>
      </c>
      <c r="AB226" s="12" t="str">
        <f t="shared" si="54"/>
        <v>Apr-2023</v>
      </c>
      <c r="AC226" s="12" t="str">
        <f t="shared" si="55"/>
        <v>Medium</v>
      </c>
      <c r="AD226">
        <v>15</v>
      </c>
      <c r="AE226" s="12">
        <f>_xlfn.MINIFS(Table1[MonthDate], Table1[Country], Table1[[#This Row],[Country]])</f>
        <v>44927</v>
      </c>
      <c r="AF226" s="12">
        <f t="shared" si="56"/>
        <v>45017</v>
      </c>
      <c r="AG226">
        <f>AD226*(1 + Scenario_Control!$B$4)</f>
        <v>16.5</v>
      </c>
      <c r="AH226">
        <f>O226*(1 + Scenario_Control!$B$3)</f>
        <v>1143.6075000000001</v>
      </c>
      <c r="AI226">
        <f t="shared" si="57"/>
        <v>3407.9159400000003</v>
      </c>
      <c r="AJ226">
        <f t="shared" si="58"/>
        <v>-15461.60781</v>
      </c>
      <c r="AK226" s="29">
        <f>MIN(Q226*(1-U226), Scenario_Control!$B$2*Q226)</f>
        <v>217.64000000000001</v>
      </c>
      <c r="AL226" s="15">
        <f t="shared" si="59"/>
        <v>0</v>
      </c>
      <c r="AM226" s="8">
        <f>DATEDIF(Table1[[#This Row],[Country_FirstMonth]], Table1[[#This Row],[MonthDate]], "m")</f>
        <v>3</v>
      </c>
    </row>
    <row r="227" spans="1:39" x14ac:dyDescent="0.25">
      <c r="A227" t="s">
        <v>239</v>
      </c>
      <c r="B227" s="12">
        <v>45279</v>
      </c>
      <c r="C227" s="12">
        <f t="shared" si="45"/>
        <v>45280</v>
      </c>
      <c r="D227" s="2" t="str">
        <f>IF(Table1[[#This Row],[RequiredDate]]&lt;Table1[[#This Row],[OrderDate]],"Check","OK")</f>
        <v>OK</v>
      </c>
      <c r="E227" s="2">
        <v>45280</v>
      </c>
      <c r="F227" s="15">
        <f t="shared" si="46"/>
        <v>1</v>
      </c>
      <c r="G227" t="s">
        <v>648</v>
      </c>
      <c r="H227" t="s">
        <v>655</v>
      </c>
      <c r="I227" t="s">
        <v>692</v>
      </c>
      <c r="J227" t="s">
        <v>704</v>
      </c>
      <c r="K227" t="s">
        <v>710</v>
      </c>
      <c r="L227" t="s">
        <v>713</v>
      </c>
      <c r="M227" t="s">
        <v>730</v>
      </c>
      <c r="N227" t="s">
        <v>959</v>
      </c>
      <c r="O227" s="29">
        <v>1080.43</v>
      </c>
      <c r="P227" t="str">
        <f>IF(Table1[[#This Row],[UnitPrice]]&lt;=0,"Check","OK")</f>
        <v>OK</v>
      </c>
      <c r="Q227" s="29">
        <f t="shared" si="47"/>
        <v>2529.15</v>
      </c>
      <c r="R227">
        <v>2529.15</v>
      </c>
      <c r="S227" s="5">
        <f>IF(Table1[[#This Row],[Discount_Flag]]="Check", MIN(MAX(Table1[[#This Row],[DiscountPct]],0),0.3), Table1[[#This Row],[DiscountPct]])</f>
        <v>0.14699999999999999</v>
      </c>
      <c r="T227" t="str">
        <f>IF(OR(Table1[[#This Row],[DiscountPct]]&lt;0,Table1[[#This Row],[DiscountPct]]&gt;0.3),"Check","OK")</f>
        <v>OK</v>
      </c>
      <c r="U227" s="11">
        <v>0.14699999999999999</v>
      </c>
      <c r="V227" s="15">
        <f t="shared" si="48"/>
        <v>0</v>
      </c>
      <c r="W227" s="11">
        <f t="shared" si="49"/>
        <v>0.49918997247081437</v>
      </c>
      <c r="X227" s="17">
        <f t="shared" si="50"/>
        <v>10804.300000000001</v>
      </c>
      <c r="Y227" s="17">
        <f t="shared" si="51"/>
        <v>10769.349499999998</v>
      </c>
      <c r="Z227" s="17">
        <f t="shared" si="52"/>
        <v>21573.6495</v>
      </c>
      <c r="AA227" s="17" t="str">
        <f t="shared" si="53"/>
        <v>Q4-2023</v>
      </c>
      <c r="AB227" s="12" t="str">
        <f t="shared" si="54"/>
        <v>Dec-2023</v>
      </c>
      <c r="AC227" s="12" t="str">
        <f t="shared" si="55"/>
        <v>High</v>
      </c>
      <c r="AD227">
        <v>10</v>
      </c>
      <c r="AE227" s="12">
        <f>_xlfn.MINIFS(Table1[MonthDate], Table1[Country], Table1[[#This Row],[Country]])</f>
        <v>44927</v>
      </c>
      <c r="AF227" s="12">
        <f t="shared" si="56"/>
        <v>45261</v>
      </c>
      <c r="AG227">
        <f>AD227*(1 + Scenario_Control!$B$4)</f>
        <v>11</v>
      </c>
      <c r="AH227">
        <f>O227*(1 + Scenario_Control!$B$3)</f>
        <v>1134.4515000000001</v>
      </c>
      <c r="AI227">
        <f t="shared" si="57"/>
        <v>4746.2028899999996</v>
      </c>
      <c r="AJ227">
        <f t="shared" si="58"/>
        <v>-7732.7636100000027</v>
      </c>
      <c r="AK227" s="29">
        <f>MIN(Q227*(1-U227), Scenario_Control!$B$2*Q227)</f>
        <v>505.83000000000004</v>
      </c>
      <c r="AL227" s="15">
        <f t="shared" si="59"/>
        <v>1</v>
      </c>
      <c r="AM227" s="8">
        <f>DATEDIF(Table1[[#This Row],[Country_FirstMonth]], Table1[[#This Row],[MonthDate]], "m")</f>
        <v>11</v>
      </c>
    </row>
    <row r="228" spans="1:39" x14ac:dyDescent="0.25">
      <c r="A228" t="s">
        <v>240</v>
      </c>
      <c r="B228" s="12">
        <v>45137</v>
      </c>
      <c r="C228" s="12">
        <f t="shared" si="45"/>
        <v>45145</v>
      </c>
      <c r="D228" s="2" t="str">
        <f>IF(Table1[[#This Row],[RequiredDate]]&lt;Table1[[#This Row],[OrderDate]],"Check","OK")</f>
        <v>OK</v>
      </c>
      <c r="E228" s="2">
        <v>45145</v>
      </c>
      <c r="F228" s="15">
        <f t="shared" si="46"/>
        <v>8</v>
      </c>
      <c r="G228" t="s">
        <v>647</v>
      </c>
      <c r="H228" t="s">
        <v>652</v>
      </c>
      <c r="I228" t="s">
        <v>694</v>
      </c>
      <c r="J228" t="s">
        <v>702</v>
      </c>
      <c r="K228" t="s">
        <v>709</v>
      </c>
      <c r="L228" t="s">
        <v>720</v>
      </c>
      <c r="M228" t="s">
        <v>729</v>
      </c>
      <c r="N228" t="s">
        <v>960</v>
      </c>
      <c r="O228" s="29">
        <v>1352.44</v>
      </c>
      <c r="P228" t="str">
        <f>IF(Table1[[#This Row],[UnitPrice]]&lt;=0,"Check","OK")</f>
        <v>OK</v>
      </c>
      <c r="Q228" s="29">
        <f t="shared" si="47"/>
        <v>2698.01</v>
      </c>
      <c r="R228">
        <v>2698.01</v>
      </c>
      <c r="S228" s="5">
        <f>IF(Table1[[#This Row],[Discount_Flag]]="Check", MIN(MAX(Table1[[#This Row],[DiscountPct]],0),0.3), Table1[[#This Row],[DiscountPct]])</f>
        <v>0.13100000000000001</v>
      </c>
      <c r="T228" t="str">
        <f>IF(OR(Table1[[#This Row],[DiscountPct]]&lt;0,Table1[[#This Row],[DiscountPct]]&gt;0.3),"Check","OK")</f>
        <v>OK</v>
      </c>
      <c r="U228" s="11">
        <v>0.13100000000000001</v>
      </c>
      <c r="V228" s="15">
        <f t="shared" si="48"/>
        <v>0</v>
      </c>
      <c r="W228" s="11">
        <f t="shared" si="49"/>
        <v>0.42316091992090887</v>
      </c>
      <c r="X228" s="17">
        <f t="shared" si="50"/>
        <v>17581.72</v>
      </c>
      <c r="Y228" s="17">
        <f t="shared" si="51"/>
        <v>12897.698970000001</v>
      </c>
      <c r="Z228" s="17">
        <f t="shared" si="52"/>
        <v>30479.418970000002</v>
      </c>
      <c r="AA228" s="17" t="str">
        <f t="shared" si="53"/>
        <v>Q3-2023</v>
      </c>
      <c r="AB228" s="12" t="str">
        <f t="shared" si="54"/>
        <v>Jul-2023</v>
      </c>
      <c r="AC228" s="12" t="str">
        <f t="shared" si="55"/>
        <v>High</v>
      </c>
      <c r="AD228">
        <v>13</v>
      </c>
      <c r="AE228" s="12">
        <f>_xlfn.MINIFS(Table1[MonthDate], Table1[Country], Table1[[#This Row],[Country]])</f>
        <v>44986</v>
      </c>
      <c r="AF228" s="12">
        <f t="shared" si="56"/>
        <v>45108</v>
      </c>
      <c r="AG228">
        <f>AD228*(1 + Scenario_Control!$B$4)</f>
        <v>14.3</v>
      </c>
      <c r="AH228">
        <f>O228*(1 + Scenario_Control!$B$3)</f>
        <v>1420.0620000000001</v>
      </c>
      <c r="AI228">
        <f t="shared" si="57"/>
        <v>6705.4721734000013</v>
      </c>
      <c r="AJ228">
        <f t="shared" si="58"/>
        <v>-13601.4144266</v>
      </c>
      <c r="AK228" s="29">
        <f>MIN(Q228*(1-U228), Scenario_Control!$B$2*Q228)</f>
        <v>539.60200000000009</v>
      </c>
      <c r="AL228" s="15">
        <f t="shared" si="59"/>
        <v>0</v>
      </c>
      <c r="AM228" s="8">
        <f>DATEDIF(Table1[[#This Row],[Country_FirstMonth]], Table1[[#This Row],[MonthDate]], "m")</f>
        <v>4</v>
      </c>
    </row>
    <row r="229" spans="1:39" x14ac:dyDescent="0.25">
      <c r="A229" t="s">
        <v>241</v>
      </c>
      <c r="B229" s="12">
        <v>45203</v>
      </c>
      <c r="C229" s="12">
        <f t="shared" si="45"/>
        <v>45228</v>
      </c>
      <c r="D229" s="2" t="str">
        <f>IF(Table1[[#This Row],[RequiredDate]]&lt;Table1[[#This Row],[OrderDate]],"Check","OK")</f>
        <v>OK</v>
      </c>
      <c r="E229" s="2">
        <v>45228</v>
      </c>
      <c r="F229" s="15">
        <f t="shared" si="46"/>
        <v>25</v>
      </c>
      <c r="G229" t="s">
        <v>648</v>
      </c>
      <c r="H229" t="s">
        <v>660</v>
      </c>
      <c r="I229" t="s">
        <v>686</v>
      </c>
      <c r="J229" t="s">
        <v>705</v>
      </c>
      <c r="K229" t="s">
        <v>710</v>
      </c>
      <c r="L229" t="s">
        <v>719</v>
      </c>
      <c r="M229" t="s">
        <v>733</v>
      </c>
      <c r="N229" t="s">
        <v>961</v>
      </c>
      <c r="O229" s="29">
        <v>1239.8399999999999</v>
      </c>
      <c r="P229" t="str">
        <f>IF(Table1[[#This Row],[UnitPrice]]&lt;=0,"Check","OK")</f>
        <v>OK</v>
      </c>
      <c r="Q229" s="29">
        <f t="shared" si="47"/>
        <v>1482.75</v>
      </c>
      <c r="R229">
        <v>1482.75</v>
      </c>
      <c r="S229" s="5">
        <f>IF(Table1[[#This Row],[Discount_Flag]]="Check", MIN(MAX(Table1[[#This Row],[DiscountPct]],0),0.3), Table1[[#This Row],[DiscountPct]])</f>
        <v>6.7000000000000004E-2</v>
      </c>
      <c r="T229" t="str">
        <f>IF(OR(Table1[[#This Row],[DiscountPct]]&lt;0,Table1[[#This Row],[DiscountPct]]&gt;0.3),"Check","OK")</f>
        <v>OK</v>
      </c>
      <c r="U229" s="11">
        <v>6.7000000000000004E-2</v>
      </c>
      <c r="V229" s="15">
        <f t="shared" si="48"/>
        <v>0</v>
      </c>
      <c r="W229" s="11">
        <f t="shared" si="49"/>
        <v>0.10377703721413634</v>
      </c>
      <c r="X229" s="17">
        <f t="shared" si="50"/>
        <v>4959.3599999999997</v>
      </c>
      <c r="Y229" s="17">
        <f t="shared" si="51"/>
        <v>574.26300000000083</v>
      </c>
      <c r="Z229" s="17">
        <f t="shared" si="52"/>
        <v>5533.6230000000005</v>
      </c>
      <c r="AA229" s="17" t="str">
        <f t="shared" si="53"/>
        <v>Q4-2023</v>
      </c>
      <c r="AB229" s="12" t="str">
        <f t="shared" si="54"/>
        <v>Oct-2023</v>
      </c>
      <c r="AC229" s="12" t="str">
        <f t="shared" si="55"/>
        <v>Medium</v>
      </c>
      <c r="AD229">
        <v>4</v>
      </c>
      <c r="AE229" s="12">
        <f>_xlfn.MINIFS(Table1[MonthDate], Table1[Country], Table1[[#This Row],[Country]])</f>
        <v>44927</v>
      </c>
      <c r="AF229" s="12">
        <f t="shared" si="56"/>
        <v>45200</v>
      </c>
      <c r="AG229">
        <f>AD229*(1 + Scenario_Control!$B$4)</f>
        <v>4.4000000000000004</v>
      </c>
      <c r="AH229">
        <f>O229*(1 + Scenario_Control!$B$3)</f>
        <v>1301.8319999999999</v>
      </c>
      <c r="AI229">
        <f t="shared" si="57"/>
        <v>1217.3970600000002</v>
      </c>
      <c r="AJ229">
        <f t="shared" si="58"/>
        <v>-4510.66374</v>
      </c>
      <c r="AK229" s="29">
        <f>MIN(Q229*(1-U229), Scenario_Control!$B$2*Q229)</f>
        <v>296.55</v>
      </c>
      <c r="AL229" s="15">
        <f t="shared" si="59"/>
        <v>0</v>
      </c>
      <c r="AM229" s="8">
        <f>DATEDIF(Table1[[#This Row],[Country_FirstMonth]], Table1[[#This Row],[MonthDate]], "m")</f>
        <v>9</v>
      </c>
    </row>
    <row r="230" spans="1:39" x14ac:dyDescent="0.25">
      <c r="A230" t="s">
        <v>242</v>
      </c>
      <c r="B230" s="12">
        <v>45879</v>
      </c>
      <c r="C230" s="12">
        <f t="shared" si="45"/>
        <v>45899</v>
      </c>
      <c r="D230" s="2" t="str">
        <f>IF(Table1[[#This Row],[RequiredDate]]&lt;Table1[[#This Row],[OrderDate]],"Check","OK")</f>
        <v>OK</v>
      </c>
      <c r="E230" s="2">
        <v>45899</v>
      </c>
      <c r="F230" s="15">
        <f t="shared" si="46"/>
        <v>20</v>
      </c>
      <c r="G230" t="s">
        <v>648</v>
      </c>
      <c r="H230" t="s">
        <v>660</v>
      </c>
      <c r="I230" t="s">
        <v>686</v>
      </c>
      <c r="J230" t="s">
        <v>701</v>
      </c>
      <c r="K230" t="s">
        <v>709</v>
      </c>
      <c r="L230" t="s">
        <v>723</v>
      </c>
      <c r="M230" t="s">
        <v>728</v>
      </c>
      <c r="N230" t="s">
        <v>962</v>
      </c>
      <c r="O230" s="29">
        <v>933.29</v>
      </c>
      <c r="P230" t="str">
        <f>IF(Table1[[#This Row],[UnitPrice]]&lt;=0,"Check","OK")</f>
        <v>OK</v>
      </c>
      <c r="Q230" s="29">
        <f t="shared" si="47"/>
        <v>1456.81</v>
      </c>
      <c r="R230">
        <v>1456.81</v>
      </c>
      <c r="S230" s="5">
        <f>IF(Table1[[#This Row],[Discount_Flag]]="Check", MIN(MAX(Table1[[#This Row],[DiscountPct]],0),0.3), Table1[[#This Row],[DiscountPct]])</f>
        <v>0.123</v>
      </c>
      <c r="T230" t="str">
        <f>IF(OR(Table1[[#This Row],[DiscountPct]]&lt;0,Table1[[#This Row],[DiscountPct]]&gt;0.3),"Check","OK")</f>
        <v>OK</v>
      </c>
      <c r="U230" s="11">
        <v>0.123</v>
      </c>
      <c r="V230" s="15">
        <f t="shared" si="48"/>
        <v>0</v>
      </c>
      <c r="W230" s="11">
        <f t="shared" si="49"/>
        <v>0.26951028573489977</v>
      </c>
      <c r="X230" s="17">
        <f t="shared" si="50"/>
        <v>12132.77</v>
      </c>
      <c r="Y230" s="17">
        <f t="shared" si="51"/>
        <v>4476.3208099999974</v>
      </c>
      <c r="Z230" s="17">
        <f t="shared" si="52"/>
        <v>16609.090809999998</v>
      </c>
      <c r="AA230" s="17" t="str">
        <f t="shared" si="53"/>
        <v>Q3-2025</v>
      </c>
      <c r="AB230" s="12" t="str">
        <f t="shared" si="54"/>
        <v>Aug-2025</v>
      </c>
      <c r="AC230" s="12" t="str">
        <f t="shared" si="55"/>
        <v>Medium</v>
      </c>
      <c r="AD230">
        <v>13</v>
      </c>
      <c r="AE230" s="12">
        <f>_xlfn.MINIFS(Table1[MonthDate], Table1[Country], Table1[[#This Row],[Country]])</f>
        <v>44927</v>
      </c>
      <c r="AF230" s="12">
        <f t="shared" si="56"/>
        <v>45870</v>
      </c>
      <c r="AG230">
        <f>AD230*(1 + Scenario_Control!$B$4)</f>
        <v>14.3</v>
      </c>
      <c r="AH230">
        <f>O230*(1 + Scenario_Control!$B$3)</f>
        <v>979.95450000000005</v>
      </c>
      <c r="AI230">
        <f t="shared" si="57"/>
        <v>3653.9999782000009</v>
      </c>
      <c r="AJ230">
        <f t="shared" si="58"/>
        <v>-10359.349371800001</v>
      </c>
      <c r="AK230" s="29">
        <f>MIN(Q230*(1-U230), Scenario_Control!$B$2*Q230)</f>
        <v>291.36200000000002</v>
      </c>
      <c r="AL230" s="15">
        <f t="shared" si="59"/>
        <v>0</v>
      </c>
      <c r="AM230" s="8">
        <f>DATEDIF(Table1[[#This Row],[Country_FirstMonth]], Table1[[#This Row],[MonthDate]], "m")</f>
        <v>31</v>
      </c>
    </row>
    <row r="231" spans="1:39" x14ac:dyDescent="0.25">
      <c r="A231" t="s">
        <v>243</v>
      </c>
      <c r="B231" s="12">
        <v>44992</v>
      </c>
      <c r="C231" s="12">
        <f t="shared" si="45"/>
        <v>45017</v>
      </c>
      <c r="D231" s="2" t="str">
        <f>IF(Table1[[#This Row],[RequiredDate]]&lt;Table1[[#This Row],[OrderDate]],"Check","OK")</f>
        <v>OK</v>
      </c>
      <c r="E231" s="2">
        <v>45017</v>
      </c>
      <c r="F231" s="15">
        <f t="shared" si="46"/>
        <v>25</v>
      </c>
      <c r="G231" t="s">
        <v>646</v>
      </c>
      <c r="H231" t="s">
        <v>650</v>
      </c>
      <c r="I231" t="s">
        <v>664</v>
      </c>
      <c r="J231" t="s">
        <v>704</v>
      </c>
      <c r="K231" t="s">
        <v>709</v>
      </c>
      <c r="L231" t="s">
        <v>726</v>
      </c>
      <c r="M231" t="s">
        <v>728</v>
      </c>
      <c r="N231" t="s">
        <v>963</v>
      </c>
      <c r="O231" s="29">
        <v>1024.0999999999999</v>
      </c>
      <c r="P231" t="str">
        <f>IF(Table1[[#This Row],[UnitPrice]]&lt;=0,"Check","OK")</f>
        <v>OK</v>
      </c>
      <c r="Q231" s="29">
        <f t="shared" si="47"/>
        <v>918.19</v>
      </c>
      <c r="R231">
        <v>918.19</v>
      </c>
      <c r="S231" s="5">
        <f>IF(Table1[[#This Row],[Discount_Flag]]="Check", MIN(MAX(Table1[[#This Row],[DiscountPct]],0),0.3), Table1[[#This Row],[DiscountPct]])</f>
        <v>0.189</v>
      </c>
      <c r="T231" t="str">
        <f>IF(OR(Table1[[#This Row],[DiscountPct]]&lt;0,Table1[[#This Row],[DiscountPct]]&gt;0.3),"Check","OK")</f>
        <v>OK</v>
      </c>
      <c r="U231" s="11">
        <v>0.189</v>
      </c>
      <c r="V231" s="15">
        <f t="shared" si="48"/>
        <v>0</v>
      </c>
      <c r="W231" s="11">
        <f t="shared" si="49"/>
        <v>-0.37527311579827827</v>
      </c>
      <c r="X231" s="17">
        <f t="shared" si="50"/>
        <v>10241</v>
      </c>
      <c r="Y231" s="17">
        <f t="shared" si="51"/>
        <v>-2794.4790999999996</v>
      </c>
      <c r="Z231" s="17">
        <f t="shared" si="52"/>
        <v>7446.5209000000004</v>
      </c>
      <c r="AA231" s="17" t="str">
        <f t="shared" si="53"/>
        <v>Q1-2023</v>
      </c>
      <c r="AB231" s="12" t="str">
        <f t="shared" si="54"/>
        <v>Mar-2023</v>
      </c>
      <c r="AC231" s="12" t="str">
        <f t="shared" si="55"/>
        <v>Medium</v>
      </c>
      <c r="AD231">
        <v>10</v>
      </c>
      <c r="AE231" s="12">
        <f>_xlfn.MINIFS(Table1[MonthDate], Table1[Country], Table1[[#This Row],[Country]])</f>
        <v>44927</v>
      </c>
      <c r="AF231" s="12">
        <f t="shared" si="56"/>
        <v>44986</v>
      </c>
      <c r="AG231">
        <f>AD231*(1 + Scenario_Control!$B$4)</f>
        <v>11</v>
      </c>
      <c r="AH231">
        <f>O231*(1 + Scenario_Control!$B$3)</f>
        <v>1075.3049999999998</v>
      </c>
      <c r="AI231">
        <f t="shared" si="57"/>
        <v>1638.2345980000002</v>
      </c>
      <c r="AJ231">
        <f t="shared" si="58"/>
        <v>-10190.120401999997</v>
      </c>
      <c r="AK231" s="29">
        <f>MIN(Q231*(1-U231), Scenario_Control!$B$2*Q231)</f>
        <v>183.63800000000003</v>
      </c>
      <c r="AL231" s="15">
        <f t="shared" si="59"/>
        <v>0</v>
      </c>
      <c r="AM231" s="8">
        <f>DATEDIF(Table1[[#This Row],[Country_FirstMonth]], Table1[[#This Row],[MonthDate]], "m")</f>
        <v>2</v>
      </c>
    </row>
    <row r="232" spans="1:39" x14ac:dyDescent="0.25">
      <c r="A232" t="s">
        <v>244</v>
      </c>
      <c r="B232" s="12">
        <v>45069</v>
      </c>
      <c r="C232" s="12">
        <f t="shared" si="45"/>
        <v>45087</v>
      </c>
      <c r="D232" s="2" t="str">
        <f>IF(Table1[[#This Row],[RequiredDate]]&lt;Table1[[#This Row],[OrderDate]],"Check","OK")</f>
        <v>OK</v>
      </c>
      <c r="E232" s="2">
        <v>45087</v>
      </c>
      <c r="F232" s="15">
        <f t="shared" si="46"/>
        <v>18</v>
      </c>
      <c r="G232" t="s">
        <v>647</v>
      </c>
      <c r="H232" t="s">
        <v>659</v>
      </c>
      <c r="I232" t="s">
        <v>685</v>
      </c>
      <c r="J232" t="s">
        <v>701</v>
      </c>
      <c r="K232" t="s">
        <v>710</v>
      </c>
      <c r="L232" t="s">
        <v>718</v>
      </c>
      <c r="M232" t="s">
        <v>727</v>
      </c>
      <c r="N232" t="s">
        <v>964</v>
      </c>
      <c r="O232" s="29">
        <v>54.62</v>
      </c>
      <c r="P232" t="str">
        <f>IF(Table1[[#This Row],[UnitPrice]]&lt;=0,"Check","OK")</f>
        <v>OK</v>
      </c>
      <c r="Q232" s="29">
        <f t="shared" si="47"/>
        <v>48.94</v>
      </c>
      <c r="R232">
        <v>48.94</v>
      </c>
      <c r="S232" s="5">
        <f>IF(Table1[[#This Row],[Discount_Flag]]="Check", MIN(MAX(Table1[[#This Row],[DiscountPct]],0),0.3), Table1[[#This Row],[DiscountPct]])</f>
        <v>0.14799999999999999</v>
      </c>
      <c r="T232" t="str">
        <f>IF(OR(Table1[[#This Row],[DiscountPct]]&lt;0,Table1[[#This Row],[DiscountPct]]&gt;0.3),"Check","OK")</f>
        <v>OK</v>
      </c>
      <c r="U232" s="11">
        <v>0.14799999999999999</v>
      </c>
      <c r="V232" s="15">
        <f t="shared" si="48"/>
        <v>0</v>
      </c>
      <c r="W232" s="11">
        <f t="shared" si="49"/>
        <v>-0.3099301434543783</v>
      </c>
      <c r="X232" s="17">
        <f t="shared" si="50"/>
        <v>873.92</v>
      </c>
      <c r="Y232" s="17">
        <f t="shared" si="51"/>
        <v>-206.76991999999996</v>
      </c>
      <c r="Z232" s="17">
        <f t="shared" si="52"/>
        <v>667.15008</v>
      </c>
      <c r="AA232" s="17" t="str">
        <f t="shared" si="53"/>
        <v>Q2-2023</v>
      </c>
      <c r="AB232" s="12" t="str">
        <f t="shared" si="54"/>
        <v>May-2023</v>
      </c>
      <c r="AC232" s="12" t="str">
        <f t="shared" si="55"/>
        <v>Low</v>
      </c>
      <c r="AD232">
        <v>16</v>
      </c>
      <c r="AE232" s="12">
        <f>_xlfn.MINIFS(Table1[MonthDate], Table1[Country], Table1[[#This Row],[Country]])</f>
        <v>44927</v>
      </c>
      <c r="AF232" s="12">
        <f t="shared" si="56"/>
        <v>45047</v>
      </c>
      <c r="AG232">
        <f>AD232*(1 + Scenario_Control!$B$4)</f>
        <v>17.600000000000001</v>
      </c>
      <c r="AH232">
        <f>O232*(1 + Scenario_Control!$B$3)</f>
        <v>57.350999999999999</v>
      </c>
      <c r="AI232">
        <f t="shared" si="57"/>
        <v>146.77301760000003</v>
      </c>
      <c r="AJ232">
        <f t="shared" si="58"/>
        <v>-862.60458240000003</v>
      </c>
      <c r="AK232" s="29">
        <f>MIN(Q232*(1-U232), Scenario_Control!$B$2*Q232)</f>
        <v>9.7880000000000003</v>
      </c>
      <c r="AL232" s="15">
        <f t="shared" si="59"/>
        <v>0</v>
      </c>
      <c r="AM232" s="8">
        <f>DATEDIF(Table1[[#This Row],[Country_FirstMonth]], Table1[[#This Row],[MonthDate]], "m")</f>
        <v>4</v>
      </c>
    </row>
    <row r="233" spans="1:39" x14ac:dyDescent="0.25">
      <c r="A233" t="s">
        <v>245</v>
      </c>
      <c r="B233" s="12">
        <v>45771</v>
      </c>
      <c r="C233" s="12">
        <f t="shared" si="45"/>
        <v>45783</v>
      </c>
      <c r="D233" s="2" t="str">
        <f>IF(Table1[[#This Row],[RequiredDate]]&lt;Table1[[#This Row],[OrderDate]],"Check","OK")</f>
        <v>OK</v>
      </c>
      <c r="E233" s="2">
        <v>45783</v>
      </c>
      <c r="F233" s="15">
        <f t="shared" si="46"/>
        <v>12</v>
      </c>
      <c r="G233" t="s">
        <v>648</v>
      </c>
      <c r="H233" t="s">
        <v>655</v>
      </c>
      <c r="I233" t="s">
        <v>672</v>
      </c>
      <c r="J233" t="s">
        <v>704</v>
      </c>
      <c r="K233" t="s">
        <v>708</v>
      </c>
      <c r="L233" t="s">
        <v>712</v>
      </c>
      <c r="M233" t="s">
        <v>730</v>
      </c>
      <c r="N233" t="s">
        <v>965</v>
      </c>
      <c r="O233" s="29">
        <v>394.13</v>
      </c>
      <c r="P233" t="str">
        <f>IF(Table1[[#This Row],[UnitPrice]]&lt;=0,"Check","OK")</f>
        <v>OK</v>
      </c>
      <c r="Q233" s="29">
        <f t="shared" si="47"/>
        <v>932.29</v>
      </c>
      <c r="R233">
        <v>932.29</v>
      </c>
      <c r="S233" s="5">
        <f>IF(Table1[[#This Row],[Discount_Flag]]="Check", MIN(MAX(Table1[[#This Row],[DiscountPct]],0),0.3), Table1[[#This Row],[DiscountPct]])</f>
        <v>0.109</v>
      </c>
      <c r="T233" t="str">
        <f>IF(OR(Table1[[#This Row],[DiscountPct]]&lt;0,Table1[[#This Row],[DiscountPct]]&gt;0.3),"Check","OK")</f>
        <v>OK</v>
      </c>
      <c r="U233" s="11">
        <v>0.109</v>
      </c>
      <c r="V233" s="15">
        <f t="shared" si="48"/>
        <v>0</v>
      </c>
      <c r="W233" s="11">
        <f t="shared" si="49"/>
        <v>0.5255278089303268</v>
      </c>
      <c r="X233" s="17">
        <f t="shared" si="50"/>
        <v>2758.91</v>
      </c>
      <c r="Y233" s="17">
        <f t="shared" si="51"/>
        <v>3055.7827299999999</v>
      </c>
      <c r="Z233" s="17">
        <f t="shared" si="52"/>
        <v>5814.6927299999998</v>
      </c>
      <c r="AA233" s="17" t="str">
        <f t="shared" si="53"/>
        <v>Q2-2025</v>
      </c>
      <c r="AB233" s="12" t="str">
        <f t="shared" si="54"/>
        <v>Apr-2025</v>
      </c>
      <c r="AC233" s="12" t="str">
        <f t="shared" si="55"/>
        <v>Medium</v>
      </c>
      <c r="AD233">
        <v>7</v>
      </c>
      <c r="AE233" s="12">
        <f>_xlfn.MINIFS(Table1[MonthDate], Table1[Country], Table1[[#This Row],[Country]])</f>
        <v>44927</v>
      </c>
      <c r="AF233" s="12">
        <f t="shared" si="56"/>
        <v>45748</v>
      </c>
      <c r="AG233">
        <f>AD233*(1 + Scenario_Control!$B$4)</f>
        <v>7.7000000000000011</v>
      </c>
      <c r="AH233">
        <f>O233*(1 + Scenario_Control!$B$3)</f>
        <v>413.8365</v>
      </c>
      <c r="AI233">
        <f t="shared" si="57"/>
        <v>1279.2324006000001</v>
      </c>
      <c r="AJ233">
        <f t="shared" si="58"/>
        <v>-1907.3086494000001</v>
      </c>
      <c r="AK233" s="29">
        <f>MIN(Q233*(1-U233), Scenario_Control!$B$2*Q233)</f>
        <v>186.458</v>
      </c>
      <c r="AL233" s="15">
        <f t="shared" si="59"/>
        <v>0</v>
      </c>
      <c r="AM233" s="8">
        <f>DATEDIF(Table1[[#This Row],[Country_FirstMonth]], Table1[[#This Row],[MonthDate]], "m")</f>
        <v>27</v>
      </c>
    </row>
    <row r="234" spans="1:39" x14ac:dyDescent="0.25">
      <c r="A234" t="s">
        <v>246</v>
      </c>
      <c r="B234" s="12">
        <v>45538</v>
      </c>
      <c r="C234" s="12">
        <f t="shared" si="45"/>
        <v>45543</v>
      </c>
      <c r="D234" s="2" t="str">
        <f>IF(Table1[[#This Row],[RequiredDate]]&lt;Table1[[#This Row],[OrderDate]],"Check","OK")</f>
        <v>OK</v>
      </c>
      <c r="E234" s="2">
        <v>45543</v>
      </c>
      <c r="F234" s="15">
        <f t="shared" si="46"/>
        <v>5</v>
      </c>
      <c r="G234" t="s">
        <v>646</v>
      </c>
      <c r="H234" t="s">
        <v>651</v>
      </c>
      <c r="I234" t="s">
        <v>665</v>
      </c>
      <c r="J234" t="s">
        <v>705</v>
      </c>
      <c r="K234" t="s">
        <v>711</v>
      </c>
      <c r="L234" t="s">
        <v>723</v>
      </c>
      <c r="M234" t="s">
        <v>728</v>
      </c>
      <c r="N234" t="s">
        <v>966</v>
      </c>
      <c r="O234" s="29">
        <v>197.63</v>
      </c>
      <c r="P234" t="str">
        <f>IF(Table1[[#This Row],[UnitPrice]]&lt;=0,"Check","OK")</f>
        <v>OK</v>
      </c>
      <c r="Q234" s="29">
        <f t="shared" si="47"/>
        <v>325.79000000000002</v>
      </c>
      <c r="R234">
        <v>325.79000000000002</v>
      </c>
      <c r="S234" s="5">
        <f>IF(Table1[[#This Row],[Discount_Flag]]="Check", MIN(MAX(Table1[[#This Row],[DiscountPct]],0),0.3), Table1[[#This Row],[DiscountPct]])</f>
        <v>0.11600000000000001</v>
      </c>
      <c r="T234" t="str">
        <f>IF(OR(Table1[[#This Row],[DiscountPct]]&lt;0,Table1[[#This Row],[DiscountPct]]&gt;0.3),"Check","OK")</f>
        <v>OK</v>
      </c>
      <c r="U234" s="11">
        <v>0.11600000000000001</v>
      </c>
      <c r="V234" s="15">
        <f t="shared" si="48"/>
        <v>0</v>
      </c>
      <c r="W234" s="11">
        <f t="shared" si="49"/>
        <v>0.31378081458519419</v>
      </c>
      <c r="X234" s="17">
        <f t="shared" si="50"/>
        <v>1976.3</v>
      </c>
      <c r="Y234" s="17">
        <f t="shared" si="51"/>
        <v>903.68360000000007</v>
      </c>
      <c r="Z234" s="17">
        <f t="shared" si="52"/>
        <v>2879.9836</v>
      </c>
      <c r="AA234" s="17" t="str">
        <f t="shared" si="53"/>
        <v>Q3-2024</v>
      </c>
      <c r="AB234" s="12" t="str">
        <f t="shared" si="54"/>
        <v>Sept-2024</v>
      </c>
      <c r="AC234" s="12" t="str">
        <f t="shared" si="55"/>
        <v>Low</v>
      </c>
      <c r="AD234">
        <v>10</v>
      </c>
      <c r="AE234" s="12">
        <f>_xlfn.MINIFS(Table1[MonthDate], Table1[Country], Table1[[#This Row],[Country]])</f>
        <v>44927</v>
      </c>
      <c r="AF234" s="12">
        <f t="shared" si="56"/>
        <v>45536</v>
      </c>
      <c r="AG234">
        <f>AD234*(1 + Scenario_Control!$B$4)</f>
        <v>11</v>
      </c>
      <c r="AH234">
        <f>O234*(1 + Scenario_Control!$B$3)</f>
        <v>207.51150000000001</v>
      </c>
      <c r="AI234">
        <f t="shared" si="57"/>
        <v>633.59639200000004</v>
      </c>
      <c r="AJ234">
        <f t="shared" si="58"/>
        <v>-1649.0301080000004</v>
      </c>
      <c r="AK234" s="29">
        <f>MIN(Q234*(1-U234), Scenario_Control!$B$2*Q234)</f>
        <v>65.158000000000001</v>
      </c>
      <c r="AL234" s="15">
        <f t="shared" si="59"/>
        <v>1</v>
      </c>
      <c r="AM234" s="8">
        <f>DATEDIF(Table1[[#This Row],[Country_FirstMonth]], Table1[[#This Row],[MonthDate]], "m")</f>
        <v>20</v>
      </c>
    </row>
    <row r="235" spans="1:39" x14ac:dyDescent="0.25">
      <c r="A235" t="s">
        <v>247</v>
      </c>
      <c r="B235" s="12">
        <v>45540</v>
      </c>
      <c r="C235" s="12">
        <f t="shared" si="45"/>
        <v>45560</v>
      </c>
      <c r="D235" s="2" t="str">
        <f>IF(Table1[[#This Row],[RequiredDate]]&lt;Table1[[#This Row],[OrderDate]],"Check","OK")</f>
        <v>OK</v>
      </c>
      <c r="E235" s="2">
        <v>45560</v>
      </c>
      <c r="F235" s="15">
        <f t="shared" si="46"/>
        <v>20</v>
      </c>
      <c r="G235" t="s">
        <v>647</v>
      </c>
      <c r="H235" t="s">
        <v>652</v>
      </c>
      <c r="I235" t="s">
        <v>666</v>
      </c>
      <c r="J235" t="s">
        <v>706</v>
      </c>
      <c r="K235" t="s">
        <v>710</v>
      </c>
      <c r="L235" t="s">
        <v>726</v>
      </c>
      <c r="M235" t="s">
        <v>732</v>
      </c>
      <c r="N235" t="s">
        <v>967</v>
      </c>
      <c r="O235" s="29">
        <v>195.54</v>
      </c>
      <c r="P235" t="str">
        <f>IF(Table1[[#This Row],[UnitPrice]]&lt;=0,"Check","OK")</f>
        <v>OK</v>
      </c>
      <c r="Q235" s="29">
        <f t="shared" si="47"/>
        <v>405.97</v>
      </c>
      <c r="R235">
        <v>405.97</v>
      </c>
      <c r="S235" s="5">
        <f>IF(Table1[[#This Row],[Discount_Flag]]="Check", MIN(MAX(Table1[[#This Row],[DiscountPct]],0),0.3), Table1[[#This Row],[DiscountPct]])</f>
        <v>0.187</v>
      </c>
      <c r="T235" t="str">
        <f>IF(OR(Table1[[#This Row],[DiscountPct]]&lt;0,Table1[[#This Row],[DiscountPct]]&gt;0.3),"Check","OK")</f>
        <v>OK</v>
      </c>
      <c r="U235" s="11">
        <v>0.187</v>
      </c>
      <c r="V235" s="15">
        <f t="shared" si="48"/>
        <v>0</v>
      </c>
      <c r="W235" s="11">
        <f t="shared" si="49"/>
        <v>0.40755079152141377</v>
      </c>
      <c r="X235" s="17">
        <f t="shared" si="50"/>
        <v>3128.64</v>
      </c>
      <c r="Y235" s="17">
        <f t="shared" si="51"/>
        <v>2152.21776</v>
      </c>
      <c r="Z235" s="17">
        <f t="shared" si="52"/>
        <v>5280.8577599999999</v>
      </c>
      <c r="AA235" s="17" t="str">
        <f t="shared" si="53"/>
        <v>Q3-2024</v>
      </c>
      <c r="AB235" s="12" t="str">
        <f t="shared" si="54"/>
        <v>Sept-2024</v>
      </c>
      <c r="AC235" s="12" t="str">
        <f t="shared" si="55"/>
        <v>Low</v>
      </c>
      <c r="AD235">
        <v>16</v>
      </c>
      <c r="AE235" s="12">
        <f>_xlfn.MINIFS(Table1[MonthDate], Table1[Country], Table1[[#This Row],[Country]])</f>
        <v>44986</v>
      </c>
      <c r="AF235" s="12">
        <f t="shared" si="56"/>
        <v>45536</v>
      </c>
      <c r="AG235">
        <f>AD235*(1 + Scenario_Control!$B$4)</f>
        <v>17.600000000000001</v>
      </c>
      <c r="AH235">
        <f>O235*(1 + Scenario_Control!$B$3)</f>
        <v>205.31700000000001</v>
      </c>
      <c r="AI235">
        <f t="shared" si="57"/>
        <v>1161.7887072000003</v>
      </c>
      <c r="AJ235">
        <f t="shared" si="58"/>
        <v>-2451.7904928000003</v>
      </c>
      <c r="AK235" s="29">
        <f>MIN(Q235*(1-U235), Scenario_Control!$B$2*Q235)</f>
        <v>81.194000000000017</v>
      </c>
      <c r="AL235" s="15">
        <f t="shared" si="59"/>
        <v>0</v>
      </c>
      <c r="AM235" s="8">
        <f>DATEDIF(Table1[[#This Row],[Country_FirstMonth]], Table1[[#This Row],[MonthDate]], "m")</f>
        <v>18</v>
      </c>
    </row>
    <row r="236" spans="1:39" x14ac:dyDescent="0.25">
      <c r="A236" t="s">
        <v>248</v>
      </c>
      <c r="B236" s="12">
        <v>44999</v>
      </c>
      <c r="C236" s="12">
        <f t="shared" si="45"/>
        <v>45015</v>
      </c>
      <c r="D236" s="2" t="str">
        <f>IF(Table1[[#This Row],[RequiredDate]]&lt;Table1[[#This Row],[OrderDate]],"Check","OK")</f>
        <v>OK</v>
      </c>
      <c r="E236" s="2">
        <v>45015</v>
      </c>
      <c r="F236" s="15">
        <f t="shared" si="46"/>
        <v>16</v>
      </c>
      <c r="G236" t="s">
        <v>646</v>
      </c>
      <c r="H236" t="s">
        <v>661</v>
      </c>
      <c r="I236" t="s">
        <v>695</v>
      </c>
      <c r="J236" t="s">
        <v>704</v>
      </c>
      <c r="K236" t="s">
        <v>710</v>
      </c>
      <c r="L236" t="s">
        <v>723</v>
      </c>
      <c r="M236" t="s">
        <v>727</v>
      </c>
      <c r="N236" t="s">
        <v>968</v>
      </c>
      <c r="O236" s="29">
        <v>1309.77</v>
      </c>
      <c r="P236" t="str">
        <f>IF(Table1[[#This Row],[UnitPrice]]&lt;=0,"Check","OK")</f>
        <v>OK</v>
      </c>
      <c r="Q236" s="29">
        <f t="shared" si="47"/>
        <v>1589.07</v>
      </c>
      <c r="R236">
        <v>1589.07</v>
      </c>
      <c r="S236" s="5">
        <f>IF(Table1[[#This Row],[Discount_Flag]]="Check", MIN(MAX(Table1[[#This Row],[DiscountPct]],0),0.3), Table1[[#This Row],[DiscountPct]])</f>
        <v>0.10199999999999999</v>
      </c>
      <c r="T236" t="str">
        <f>IF(OR(Table1[[#This Row],[DiscountPct]]&lt;0,Table1[[#This Row],[DiscountPct]]&gt;0.3),"Check","OK")</f>
        <v>OK</v>
      </c>
      <c r="U236" s="11">
        <v>0.10199999999999999</v>
      </c>
      <c r="V236" s="15">
        <f t="shared" si="48"/>
        <v>0</v>
      </c>
      <c r="W236" s="11">
        <f t="shared" si="49"/>
        <v>8.2141628328137886E-2</v>
      </c>
      <c r="X236" s="17">
        <f t="shared" si="50"/>
        <v>13097.7</v>
      </c>
      <c r="Y236" s="17">
        <f t="shared" si="51"/>
        <v>1172.1485999999986</v>
      </c>
      <c r="Z236" s="17">
        <f t="shared" si="52"/>
        <v>14269.848599999999</v>
      </c>
      <c r="AA236" s="17" t="str">
        <f t="shared" si="53"/>
        <v>Q1-2023</v>
      </c>
      <c r="AB236" s="12" t="str">
        <f t="shared" si="54"/>
        <v>Mar-2023</v>
      </c>
      <c r="AC236" s="12" t="str">
        <f t="shared" si="55"/>
        <v>Medium</v>
      </c>
      <c r="AD236">
        <v>10</v>
      </c>
      <c r="AE236" s="12">
        <f>_xlfn.MINIFS(Table1[MonthDate], Table1[Country], Table1[[#This Row],[Country]])</f>
        <v>44927</v>
      </c>
      <c r="AF236" s="12">
        <f t="shared" si="56"/>
        <v>44986</v>
      </c>
      <c r="AG236">
        <f>AD236*(1 + Scenario_Control!$B$4)</f>
        <v>11</v>
      </c>
      <c r="AH236">
        <f>O236*(1 + Scenario_Control!$B$3)</f>
        <v>1375.2585000000001</v>
      </c>
      <c r="AI236">
        <f t="shared" si="57"/>
        <v>3139.3666920000001</v>
      </c>
      <c r="AJ236">
        <f t="shared" si="58"/>
        <v>-11988.476808000001</v>
      </c>
      <c r="AK236" s="29">
        <f>MIN(Q236*(1-U236), Scenario_Control!$B$2*Q236)</f>
        <v>317.81400000000002</v>
      </c>
      <c r="AL236" s="15">
        <f t="shared" si="59"/>
        <v>0</v>
      </c>
      <c r="AM236" s="8">
        <f>DATEDIF(Table1[[#This Row],[Country_FirstMonth]], Table1[[#This Row],[MonthDate]], "m")</f>
        <v>2</v>
      </c>
    </row>
    <row r="237" spans="1:39" x14ac:dyDescent="0.25">
      <c r="A237" t="s">
        <v>249</v>
      </c>
      <c r="B237" s="12">
        <v>45302</v>
      </c>
      <c r="C237" s="12">
        <f t="shared" si="45"/>
        <v>45324</v>
      </c>
      <c r="D237" s="2" t="str">
        <f>IF(Table1[[#This Row],[RequiredDate]]&lt;Table1[[#This Row],[OrderDate]],"Check","OK")</f>
        <v>OK</v>
      </c>
      <c r="E237" s="2">
        <v>45324</v>
      </c>
      <c r="F237" s="15">
        <f t="shared" si="46"/>
        <v>22</v>
      </c>
      <c r="G237" t="s">
        <v>647</v>
      </c>
      <c r="H237" t="s">
        <v>652</v>
      </c>
      <c r="I237" t="s">
        <v>694</v>
      </c>
      <c r="J237" t="s">
        <v>705</v>
      </c>
      <c r="K237" t="s">
        <v>708</v>
      </c>
      <c r="L237" t="s">
        <v>1430</v>
      </c>
      <c r="M237" t="s">
        <v>728</v>
      </c>
      <c r="N237" t="s">
        <v>969</v>
      </c>
      <c r="O237" s="29">
        <v>1237.68</v>
      </c>
      <c r="P237" t="str">
        <f>IF(Table1[[#This Row],[UnitPrice]]&lt;=0,"Check","OK")</f>
        <v>OK</v>
      </c>
      <c r="Q237" s="29">
        <f t="shared" si="47"/>
        <v>1432.8</v>
      </c>
      <c r="R237">
        <v>1432.8</v>
      </c>
      <c r="S237" s="5">
        <f>IF(Table1[[#This Row],[Discount_Flag]]="Check", MIN(MAX(Table1[[#This Row],[DiscountPct]],0),0.3), Table1[[#This Row],[DiscountPct]])</f>
        <v>6.8000000000000005E-2</v>
      </c>
      <c r="T237" t="str">
        <f>IF(OR(Table1[[#This Row],[DiscountPct]]&lt;0,Table1[[#This Row],[DiscountPct]]&gt;0.3),"Check","OK")</f>
        <v>OK</v>
      </c>
      <c r="U237" s="11">
        <v>6.8000000000000005E-2</v>
      </c>
      <c r="V237" s="15">
        <f t="shared" si="48"/>
        <v>0</v>
      </c>
      <c r="W237" s="11">
        <f t="shared" si="49"/>
        <v>7.315547695559331E-2</v>
      </c>
      <c r="X237" s="17">
        <f t="shared" si="50"/>
        <v>16089.84</v>
      </c>
      <c r="Y237" s="17">
        <f t="shared" si="51"/>
        <v>1269.9647999999979</v>
      </c>
      <c r="Z237" s="17">
        <f t="shared" si="52"/>
        <v>17359.804799999998</v>
      </c>
      <c r="AA237" s="17" t="str">
        <f t="shared" si="53"/>
        <v>Q1-2024</v>
      </c>
      <c r="AB237" s="12" t="str">
        <f t="shared" si="54"/>
        <v>Jan-2024</v>
      </c>
      <c r="AC237" s="12" t="str">
        <f t="shared" si="55"/>
        <v>Medium</v>
      </c>
      <c r="AD237">
        <v>13</v>
      </c>
      <c r="AE237" s="12">
        <f>_xlfn.MINIFS(Table1[MonthDate], Table1[Country], Table1[[#This Row],[Country]])</f>
        <v>44986</v>
      </c>
      <c r="AF237" s="12">
        <f t="shared" si="56"/>
        <v>45292</v>
      </c>
      <c r="AG237">
        <f>AD237*(1 + Scenario_Control!$B$4)</f>
        <v>14.3</v>
      </c>
      <c r="AH237">
        <f>O237*(1 + Scenario_Control!$B$3)</f>
        <v>1299.5640000000001</v>
      </c>
      <c r="AI237">
        <f t="shared" si="57"/>
        <v>3819.1570559999996</v>
      </c>
      <c r="AJ237">
        <f t="shared" si="58"/>
        <v>-14764.608144000002</v>
      </c>
      <c r="AK237" s="29">
        <f>MIN(Q237*(1-U237), Scenario_Control!$B$2*Q237)</f>
        <v>286.56</v>
      </c>
      <c r="AL237" s="15">
        <f t="shared" si="59"/>
        <v>0</v>
      </c>
      <c r="AM237" s="8">
        <f>DATEDIF(Table1[[#This Row],[Country_FirstMonth]], Table1[[#This Row],[MonthDate]], "m")</f>
        <v>10</v>
      </c>
    </row>
    <row r="238" spans="1:39" x14ac:dyDescent="0.25">
      <c r="A238" t="s">
        <v>250</v>
      </c>
      <c r="B238" s="12">
        <v>45548</v>
      </c>
      <c r="C238" s="12">
        <f t="shared" si="45"/>
        <v>45567</v>
      </c>
      <c r="D238" s="2" t="str">
        <f>IF(Table1[[#This Row],[RequiredDate]]&lt;Table1[[#This Row],[OrderDate]],"Check","OK")</f>
        <v>OK</v>
      </c>
      <c r="E238" s="2">
        <v>45567</v>
      </c>
      <c r="F238" s="15">
        <f t="shared" si="46"/>
        <v>19</v>
      </c>
      <c r="G238" t="s">
        <v>646</v>
      </c>
      <c r="H238" t="s">
        <v>650</v>
      </c>
      <c r="I238" t="s">
        <v>675</v>
      </c>
      <c r="J238" t="s">
        <v>705</v>
      </c>
      <c r="K238" t="s">
        <v>707</v>
      </c>
      <c r="L238" t="s">
        <v>724</v>
      </c>
      <c r="M238" t="s">
        <v>730</v>
      </c>
      <c r="N238" t="s">
        <v>970</v>
      </c>
      <c r="O238" s="29">
        <v>1338.99</v>
      </c>
      <c r="P238" t="str">
        <f>IF(Table1[[#This Row],[UnitPrice]]&lt;=0,"Check","OK")</f>
        <v>OK</v>
      </c>
      <c r="Q238" s="29">
        <f t="shared" si="47"/>
        <v>1765.76</v>
      </c>
      <c r="R238">
        <v>1765.76</v>
      </c>
      <c r="S238" s="5">
        <f>IF(Table1[[#This Row],[Discount_Flag]]="Check", MIN(MAX(Table1[[#This Row],[DiscountPct]],0),0.3), Table1[[#This Row],[DiscountPct]])</f>
        <v>0.126</v>
      </c>
      <c r="T238" t="str">
        <f>IF(OR(Table1[[#This Row],[DiscountPct]]&lt;0,Table1[[#This Row],[DiscountPct]]&gt;0.3),"Check","OK")</f>
        <v>OK</v>
      </c>
      <c r="U238" s="11">
        <v>0.126</v>
      </c>
      <c r="V238" s="15">
        <f t="shared" si="48"/>
        <v>0</v>
      </c>
      <c r="W238" s="11">
        <f t="shared" si="49"/>
        <v>0.1323706666677725</v>
      </c>
      <c r="X238" s="17">
        <f t="shared" si="50"/>
        <v>32135.760000000002</v>
      </c>
      <c r="Y238" s="17">
        <f t="shared" si="51"/>
        <v>4902.8217599999989</v>
      </c>
      <c r="Z238" s="17">
        <f t="shared" si="52"/>
        <v>37038.581760000001</v>
      </c>
      <c r="AA238" s="17" t="str">
        <f t="shared" si="53"/>
        <v>Q3-2024</v>
      </c>
      <c r="AB238" s="12" t="str">
        <f t="shared" si="54"/>
        <v>Sept-2024</v>
      </c>
      <c r="AC238" s="12" t="str">
        <f t="shared" si="55"/>
        <v>Medium</v>
      </c>
      <c r="AD238">
        <v>24</v>
      </c>
      <c r="AE238" s="12">
        <f>_xlfn.MINIFS(Table1[MonthDate], Table1[Country], Table1[[#This Row],[Country]])</f>
        <v>44927</v>
      </c>
      <c r="AF238" s="12">
        <f t="shared" si="56"/>
        <v>45536</v>
      </c>
      <c r="AG238">
        <f>AD238*(1 + Scenario_Control!$B$4)</f>
        <v>26.400000000000002</v>
      </c>
      <c r="AH238">
        <f>O238*(1 + Scenario_Control!$B$3)</f>
        <v>1405.9395000000002</v>
      </c>
      <c r="AI238">
        <f t="shared" si="57"/>
        <v>8148.487987200001</v>
      </c>
      <c r="AJ238">
        <f t="shared" si="58"/>
        <v>-28968.314812800003</v>
      </c>
      <c r="AK238" s="29">
        <f>MIN(Q238*(1-U238), Scenario_Control!$B$2*Q238)</f>
        <v>353.15200000000004</v>
      </c>
      <c r="AL238" s="15">
        <f t="shared" si="59"/>
        <v>0</v>
      </c>
      <c r="AM238" s="8">
        <f>DATEDIF(Table1[[#This Row],[Country_FirstMonth]], Table1[[#This Row],[MonthDate]], "m")</f>
        <v>20</v>
      </c>
    </row>
    <row r="239" spans="1:39" x14ac:dyDescent="0.25">
      <c r="A239" t="s">
        <v>251</v>
      </c>
      <c r="B239" s="12">
        <v>45855</v>
      </c>
      <c r="C239" s="12">
        <f t="shared" si="45"/>
        <v>45861</v>
      </c>
      <c r="D239" s="2" t="str">
        <f>IF(Table1[[#This Row],[RequiredDate]]&lt;Table1[[#This Row],[OrderDate]],"Check","OK")</f>
        <v>OK</v>
      </c>
      <c r="E239" s="2">
        <v>45861</v>
      </c>
      <c r="F239" s="15">
        <f t="shared" si="46"/>
        <v>6</v>
      </c>
      <c r="G239" t="s">
        <v>648</v>
      </c>
      <c r="H239" t="s">
        <v>653</v>
      </c>
      <c r="I239" t="s">
        <v>688</v>
      </c>
      <c r="J239" t="s">
        <v>704</v>
      </c>
      <c r="K239" t="s">
        <v>708</v>
      </c>
      <c r="L239" t="s">
        <v>722</v>
      </c>
      <c r="M239" t="s">
        <v>727</v>
      </c>
      <c r="N239" t="s">
        <v>971</v>
      </c>
      <c r="O239" s="29">
        <v>1364.89</v>
      </c>
      <c r="P239" t="str">
        <f>IF(Table1[[#This Row],[UnitPrice]]&lt;=0,"Check","OK")</f>
        <v>OK</v>
      </c>
      <c r="Q239" s="29">
        <f t="shared" si="47"/>
        <v>2757.54</v>
      </c>
      <c r="R239">
        <v>2757.54</v>
      </c>
      <c r="S239" s="5">
        <f>IF(Table1[[#This Row],[Discount_Flag]]="Check", MIN(MAX(Table1[[#This Row],[DiscountPct]],0),0.3), Table1[[#This Row],[DiscountPct]])</f>
        <v>0.17199999999999999</v>
      </c>
      <c r="T239" t="str">
        <f>IF(OR(Table1[[#This Row],[DiscountPct]]&lt;0,Table1[[#This Row],[DiscountPct]]&gt;0.3),"Check","OK")</f>
        <v>OK</v>
      </c>
      <c r="U239" s="11">
        <v>0.17199999999999999</v>
      </c>
      <c r="V239" s="15">
        <f t="shared" si="48"/>
        <v>0</v>
      </c>
      <c r="W239" s="11">
        <f t="shared" si="49"/>
        <v>0.4022143379983118</v>
      </c>
      <c r="X239" s="17">
        <f t="shared" si="50"/>
        <v>83258.290000000008</v>
      </c>
      <c r="Y239" s="17">
        <f t="shared" si="51"/>
        <v>56019.54032</v>
      </c>
      <c r="Z239" s="17">
        <f t="shared" si="52"/>
        <v>139277.83032000001</v>
      </c>
      <c r="AA239" s="17" t="str">
        <f t="shared" si="53"/>
        <v>Q3-2025</v>
      </c>
      <c r="AB239" s="12" t="str">
        <f t="shared" si="54"/>
        <v>Jul-2025</v>
      </c>
      <c r="AC239" s="12" t="str">
        <f t="shared" si="55"/>
        <v>High</v>
      </c>
      <c r="AD239">
        <v>61</v>
      </c>
      <c r="AE239" s="12">
        <f>_xlfn.MINIFS(Table1[MonthDate], Table1[Country], Table1[[#This Row],[Country]])</f>
        <v>44927</v>
      </c>
      <c r="AF239" s="12">
        <f t="shared" si="56"/>
        <v>45839</v>
      </c>
      <c r="AG239">
        <f>AD239*(1 + Scenario_Control!$B$4)</f>
        <v>67.100000000000009</v>
      </c>
      <c r="AH239">
        <f>O239*(1 + Scenario_Control!$B$3)</f>
        <v>1433.1345000000001</v>
      </c>
      <c r="AI239">
        <f t="shared" si="57"/>
        <v>30641.122670400011</v>
      </c>
      <c r="AJ239">
        <f t="shared" si="58"/>
        <v>-65522.202279600009</v>
      </c>
      <c r="AK239" s="29">
        <f>MIN(Q239*(1-U239), Scenario_Control!$B$2*Q239)</f>
        <v>551.50800000000004</v>
      </c>
      <c r="AL239" s="15">
        <f t="shared" si="59"/>
        <v>1</v>
      </c>
      <c r="AM239" s="8">
        <f>DATEDIF(Table1[[#This Row],[Country_FirstMonth]], Table1[[#This Row],[MonthDate]], "m")</f>
        <v>30</v>
      </c>
    </row>
    <row r="240" spans="1:39" x14ac:dyDescent="0.25">
      <c r="A240" t="s">
        <v>252</v>
      </c>
      <c r="B240" s="12">
        <v>45258</v>
      </c>
      <c r="C240" s="12">
        <f t="shared" si="45"/>
        <v>45267</v>
      </c>
      <c r="D240" s="2" t="str">
        <f>IF(Table1[[#This Row],[RequiredDate]]&lt;Table1[[#This Row],[OrderDate]],"Check","OK")</f>
        <v>OK</v>
      </c>
      <c r="E240" s="2">
        <v>45267</v>
      </c>
      <c r="F240" s="15">
        <f t="shared" si="46"/>
        <v>9</v>
      </c>
      <c r="G240" t="s">
        <v>647</v>
      </c>
      <c r="H240" t="s">
        <v>654</v>
      </c>
      <c r="I240" t="s">
        <v>680</v>
      </c>
      <c r="J240" t="s">
        <v>706</v>
      </c>
      <c r="K240" t="s">
        <v>709</v>
      </c>
      <c r="L240" t="s">
        <v>716</v>
      </c>
      <c r="M240" t="s">
        <v>730</v>
      </c>
      <c r="N240" t="s">
        <v>972</v>
      </c>
      <c r="O240" s="29">
        <v>699.33</v>
      </c>
      <c r="P240" t="str">
        <f>IF(Table1[[#This Row],[UnitPrice]]&lt;=0,"Check","OK")</f>
        <v>OK</v>
      </c>
      <c r="Q240" s="29">
        <f t="shared" si="47"/>
        <v>873.75</v>
      </c>
      <c r="R240">
        <v>873.75</v>
      </c>
      <c r="S240" s="5">
        <f>IF(Table1[[#This Row],[Discount_Flag]]="Check", MIN(MAX(Table1[[#This Row],[DiscountPct]],0),0.3), Table1[[#This Row],[DiscountPct]])</f>
        <v>0.23499999999999999</v>
      </c>
      <c r="T240" t="str">
        <f>IF(OR(Table1[[#This Row],[DiscountPct]]&lt;0,Table1[[#This Row],[DiscountPct]]&gt;0.3),"Check","OK")</f>
        <v>OK</v>
      </c>
      <c r="U240" s="11">
        <v>0.23499999999999999</v>
      </c>
      <c r="V240" s="15">
        <f t="shared" si="48"/>
        <v>1</v>
      </c>
      <c r="W240" s="11">
        <f t="shared" si="49"/>
        <v>-4.6245336475076469E-2</v>
      </c>
      <c r="X240" s="17">
        <f t="shared" si="50"/>
        <v>6993.3</v>
      </c>
      <c r="Y240" s="17">
        <f t="shared" si="51"/>
        <v>-309.11250000000018</v>
      </c>
      <c r="Z240" s="17">
        <f t="shared" si="52"/>
        <v>6684.1875</v>
      </c>
      <c r="AA240" s="17" t="str">
        <f t="shared" si="53"/>
        <v>Q4-2023</v>
      </c>
      <c r="AB240" s="12" t="str">
        <f t="shared" si="54"/>
        <v>Nov-2023</v>
      </c>
      <c r="AC240" s="12" t="str">
        <f t="shared" si="55"/>
        <v>Medium</v>
      </c>
      <c r="AD240">
        <v>10</v>
      </c>
      <c r="AE240" s="12">
        <f>_xlfn.MINIFS(Table1[MonthDate], Table1[Country], Table1[[#This Row],[Country]])</f>
        <v>44927</v>
      </c>
      <c r="AF240" s="12">
        <f t="shared" si="56"/>
        <v>45231</v>
      </c>
      <c r="AG240">
        <f>AD240*(1 + Scenario_Control!$B$4)</f>
        <v>11</v>
      </c>
      <c r="AH240">
        <f>O240*(1 + Scenario_Control!$B$3)</f>
        <v>734.29650000000004</v>
      </c>
      <c r="AI240">
        <f t="shared" si="57"/>
        <v>1470.52125</v>
      </c>
      <c r="AJ240">
        <f t="shared" si="58"/>
        <v>-6606.7402500000007</v>
      </c>
      <c r="AK240" s="29">
        <f>MIN(Q240*(1-U240), Scenario_Control!$B$2*Q240)</f>
        <v>174.75</v>
      </c>
      <c r="AL240" s="15">
        <f t="shared" si="59"/>
        <v>0</v>
      </c>
      <c r="AM240" s="8">
        <f>DATEDIF(Table1[[#This Row],[Country_FirstMonth]], Table1[[#This Row],[MonthDate]], "m")</f>
        <v>10</v>
      </c>
    </row>
    <row r="241" spans="1:39" x14ac:dyDescent="0.25">
      <c r="A241" t="s">
        <v>253</v>
      </c>
      <c r="B241" s="12">
        <v>45381</v>
      </c>
      <c r="C241" s="12">
        <f t="shared" si="45"/>
        <v>45406</v>
      </c>
      <c r="D241" s="2" t="str">
        <f>IF(Table1[[#This Row],[RequiredDate]]&lt;Table1[[#This Row],[OrderDate]],"Check","OK")</f>
        <v>OK</v>
      </c>
      <c r="E241" s="2">
        <v>45406</v>
      </c>
      <c r="F241" s="15">
        <f t="shared" si="46"/>
        <v>25</v>
      </c>
      <c r="G241" t="s">
        <v>648</v>
      </c>
      <c r="H241" t="s">
        <v>660</v>
      </c>
      <c r="I241" t="s">
        <v>697</v>
      </c>
      <c r="J241" t="s">
        <v>703</v>
      </c>
      <c r="K241" t="s">
        <v>708</v>
      </c>
      <c r="L241" t="s">
        <v>715</v>
      </c>
      <c r="M241" t="s">
        <v>731</v>
      </c>
      <c r="N241" t="s">
        <v>973</v>
      </c>
      <c r="O241" s="29">
        <v>160.82</v>
      </c>
      <c r="P241" t="str">
        <f>IF(Table1[[#This Row],[UnitPrice]]&lt;=0,"Check","OK")</f>
        <v>OK</v>
      </c>
      <c r="Q241" s="29">
        <f t="shared" si="47"/>
        <v>258.52</v>
      </c>
      <c r="R241">
        <v>258.52</v>
      </c>
      <c r="S241" s="5">
        <f>IF(Table1[[#This Row],[Discount_Flag]]="Check", MIN(MAX(Table1[[#This Row],[DiscountPct]],0),0.3), Table1[[#This Row],[DiscountPct]])</f>
        <v>0.13</v>
      </c>
      <c r="T241" t="str">
        <f>IF(OR(Table1[[#This Row],[DiscountPct]]&lt;0,Table1[[#This Row],[DiscountPct]]&gt;0.3),"Check","OK")</f>
        <v>OK</v>
      </c>
      <c r="U241" s="11">
        <v>0.13</v>
      </c>
      <c r="V241" s="15">
        <f t="shared" si="48"/>
        <v>0</v>
      </c>
      <c r="W241" s="11">
        <f t="shared" si="49"/>
        <v>0.28496605789631874</v>
      </c>
      <c r="X241" s="17">
        <f t="shared" si="50"/>
        <v>2733.94</v>
      </c>
      <c r="Y241" s="17">
        <f t="shared" si="51"/>
        <v>1089.5708</v>
      </c>
      <c r="Z241" s="17">
        <f t="shared" si="52"/>
        <v>3823.5108</v>
      </c>
      <c r="AA241" s="17" t="str">
        <f t="shared" si="53"/>
        <v>Q1-2024</v>
      </c>
      <c r="AB241" s="12" t="str">
        <f t="shared" si="54"/>
        <v>Mar-2024</v>
      </c>
      <c r="AC241" s="12" t="str">
        <f t="shared" si="55"/>
        <v>Low</v>
      </c>
      <c r="AD241">
        <v>17</v>
      </c>
      <c r="AE241" s="12">
        <f>_xlfn.MINIFS(Table1[MonthDate], Table1[Country], Table1[[#This Row],[Country]])</f>
        <v>44927</v>
      </c>
      <c r="AF241" s="12">
        <f t="shared" si="56"/>
        <v>45352</v>
      </c>
      <c r="AG241">
        <f>AD241*(1 + Scenario_Control!$B$4)</f>
        <v>18.700000000000003</v>
      </c>
      <c r="AH241">
        <f>O241*(1 + Scenario_Control!$B$3)</f>
        <v>168.86099999999999</v>
      </c>
      <c r="AI241">
        <f t="shared" si="57"/>
        <v>841.1723760000001</v>
      </c>
      <c r="AJ241">
        <f t="shared" si="58"/>
        <v>-2316.5283240000003</v>
      </c>
      <c r="AK241" s="29">
        <f>MIN(Q241*(1-U241), Scenario_Control!$B$2*Q241)</f>
        <v>51.704000000000001</v>
      </c>
      <c r="AL241" s="15">
        <f t="shared" si="59"/>
        <v>0</v>
      </c>
      <c r="AM241" s="8">
        <f>DATEDIF(Table1[[#This Row],[Country_FirstMonth]], Table1[[#This Row],[MonthDate]], "m")</f>
        <v>14</v>
      </c>
    </row>
    <row r="242" spans="1:39" x14ac:dyDescent="0.25">
      <c r="A242" t="s">
        <v>254</v>
      </c>
      <c r="B242" s="12">
        <v>45188</v>
      </c>
      <c r="C242" s="12">
        <f t="shared" si="45"/>
        <v>45207</v>
      </c>
      <c r="D242" s="2" t="str">
        <f>IF(Table1[[#This Row],[RequiredDate]]&lt;Table1[[#This Row],[OrderDate]],"Check","OK")</f>
        <v>OK</v>
      </c>
      <c r="E242" s="2">
        <v>45207</v>
      </c>
      <c r="F242" s="15">
        <f t="shared" si="46"/>
        <v>19</v>
      </c>
      <c r="G242" t="s">
        <v>647</v>
      </c>
      <c r="H242" t="s">
        <v>654</v>
      </c>
      <c r="I242" t="s">
        <v>668</v>
      </c>
      <c r="J242" t="s">
        <v>702</v>
      </c>
      <c r="K242" t="s">
        <v>711</v>
      </c>
      <c r="L242" t="s">
        <v>713</v>
      </c>
      <c r="M242" t="s">
        <v>728</v>
      </c>
      <c r="N242" t="s">
        <v>974</v>
      </c>
      <c r="O242" s="29">
        <v>385.32</v>
      </c>
      <c r="P242" t="str">
        <f>IF(Table1[[#This Row],[UnitPrice]]&lt;=0,"Check","OK")</f>
        <v>OK</v>
      </c>
      <c r="Q242" s="29">
        <f t="shared" si="47"/>
        <v>606.76</v>
      </c>
      <c r="R242">
        <v>606.76</v>
      </c>
      <c r="S242" s="5">
        <f>IF(Table1[[#This Row],[Discount_Flag]]="Check", MIN(MAX(Table1[[#This Row],[DiscountPct]],0),0.3), Table1[[#This Row],[DiscountPct]])</f>
        <v>8.5999999999999993E-2</v>
      </c>
      <c r="T242" t="str">
        <f>IF(OR(Table1[[#This Row],[DiscountPct]]&lt;0,Table1[[#This Row],[DiscountPct]]&gt;0.3),"Check","OK")</f>
        <v>OK</v>
      </c>
      <c r="U242" s="11">
        <v>8.5999999999999993E-2</v>
      </c>
      <c r="V242" s="15">
        <f t="shared" si="48"/>
        <v>0</v>
      </c>
      <c r="W242" s="11">
        <f t="shared" si="49"/>
        <v>0.30520223425842735</v>
      </c>
      <c r="X242" s="17">
        <f t="shared" si="50"/>
        <v>3082.56</v>
      </c>
      <c r="Y242" s="17">
        <f t="shared" si="51"/>
        <v>1354.0691200000006</v>
      </c>
      <c r="Z242" s="17">
        <f t="shared" si="52"/>
        <v>4436.6291200000005</v>
      </c>
      <c r="AA242" s="17" t="str">
        <f t="shared" si="53"/>
        <v>Q3-2023</v>
      </c>
      <c r="AB242" s="12" t="str">
        <f t="shared" si="54"/>
        <v>Sept-2023</v>
      </c>
      <c r="AC242" s="12" t="str">
        <f t="shared" si="55"/>
        <v>Medium</v>
      </c>
      <c r="AD242">
        <v>8</v>
      </c>
      <c r="AE242" s="12">
        <f>_xlfn.MINIFS(Table1[MonthDate], Table1[Country], Table1[[#This Row],[Country]])</f>
        <v>44927</v>
      </c>
      <c r="AF242" s="12">
        <f t="shared" si="56"/>
        <v>45170</v>
      </c>
      <c r="AG242">
        <f>AD242*(1 + Scenario_Control!$B$4)</f>
        <v>8.8000000000000007</v>
      </c>
      <c r="AH242">
        <f>O242*(1 + Scenario_Control!$B$3)</f>
        <v>404.58600000000001</v>
      </c>
      <c r="AI242">
        <f t="shared" si="57"/>
        <v>976.05840640000008</v>
      </c>
      <c r="AJ242">
        <f t="shared" si="58"/>
        <v>-2584.2983936000005</v>
      </c>
      <c r="AK242" s="29">
        <f>MIN(Q242*(1-U242), Scenario_Control!$B$2*Q242)</f>
        <v>121.352</v>
      </c>
      <c r="AL242" s="15">
        <f t="shared" si="59"/>
        <v>0</v>
      </c>
      <c r="AM242" s="8">
        <f>DATEDIF(Table1[[#This Row],[Country_FirstMonth]], Table1[[#This Row],[MonthDate]], "m")</f>
        <v>8</v>
      </c>
    </row>
    <row r="243" spans="1:39" x14ac:dyDescent="0.25">
      <c r="A243" t="s">
        <v>255</v>
      </c>
      <c r="B243" s="12">
        <v>45793</v>
      </c>
      <c r="C243" s="12">
        <f t="shared" si="45"/>
        <v>45804</v>
      </c>
      <c r="D243" s="2" t="str">
        <f>IF(Table1[[#This Row],[RequiredDate]]&lt;Table1[[#This Row],[OrderDate]],"Check","OK")</f>
        <v>OK</v>
      </c>
      <c r="E243" s="2">
        <v>45804</v>
      </c>
      <c r="F243" s="15">
        <f t="shared" si="46"/>
        <v>11</v>
      </c>
      <c r="G243" t="s">
        <v>647</v>
      </c>
      <c r="H243" t="s">
        <v>659</v>
      </c>
      <c r="I243" t="s">
        <v>699</v>
      </c>
      <c r="J243" t="s">
        <v>706</v>
      </c>
      <c r="K243" t="s">
        <v>708</v>
      </c>
      <c r="L243" t="s">
        <v>721</v>
      </c>
      <c r="M243" t="s">
        <v>730</v>
      </c>
      <c r="N243" t="s">
        <v>975</v>
      </c>
      <c r="O243" s="29">
        <v>918.12</v>
      </c>
      <c r="P243" t="str">
        <f>IF(Table1[[#This Row],[UnitPrice]]&lt;=0,"Check","OK")</f>
        <v>OK</v>
      </c>
      <c r="Q243" s="29">
        <f t="shared" si="47"/>
        <v>1337.69</v>
      </c>
      <c r="R243">
        <v>1337.69</v>
      </c>
      <c r="S243" s="5">
        <f>IF(Table1[[#This Row],[Discount_Flag]]="Check", MIN(MAX(Table1[[#This Row],[DiscountPct]],0),0.3), Table1[[#This Row],[DiscountPct]])</f>
        <v>9.5000000000000001E-2</v>
      </c>
      <c r="T243" t="str">
        <f>IF(OR(Table1[[#This Row],[DiscountPct]]&lt;0,Table1[[#This Row],[DiscountPct]]&gt;0.3),"Check","OK")</f>
        <v>OK</v>
      </c>
      <c r="U243" s="11">
        <v>9.5000000000000001E-2</v>
      </c>
      <c r="V243" s="15">
        <f t="shared" si="48"/>
        <v>0</v>
      </c>
      <c r="W243" s="11">
        <f t="shared" si="49"/>
        <v>0.24160512707050164</v>
      </c>
      <c r="X243" s="17">
        <f t="shared" si="50"/>
        <v>7344.96</v>
      </c>
      <c r="Y243" s="17">
        <f t="shared" si="51"/>
        <v>2339.9156000000012</v>
      </c>
      <c r="Z243" s="17">
        <f t="shared" si="52"/>
        <v>9684.8756000000012</v>
      </c>
      <c r="AA243" s="17" t="str">
        <f t="shared" si="53"/>
        <v>Q2-2025</v>
      </c>
      <c r="AB243" s="12" t="str">
        <f t="shared" si="54"/>
        <v>May-2025</v>
      </c>
      <c r="AC243" s="12" t="str">
        <f t="shared" si="55"/>
        <v>Medium</v>
      </c>
      <c r="AD243">
        <v>8</v>
      </c>
      <c r="AE243" s="12">
        <f>_xlfn.MINIFS(Table1[MonthDate], Table1[Country], Table1[[#This Row],[Country]])</f>
        <v>44927</v>
      </c>
      <c r="AF243" s="12">
        <f t="shared" si="56"/>
        <v>45778</v>
      </c>
      <c r="AG243">
        <f>AD243*(1 + Scenario_Control!$B$4)</f>
        <v>8.8000000000000007</v>
      </c>
      <c r="AH243">
        <f>O243*(1 + Scenario_Control!$B$3)</f>
        <v>964.02600000000007</v>
      </c>
      <c r="AI243">
        <f t="shared" si="57"/>
        <v>2130.6726320000002</v>
      </c>
      <c r="AJ243">
        <f t="shared" si="58"/>
        <v>-6352.7561680000017</v>
      </c>
      <c r="AK243" s="29">
        <f>MIN(Q243*(1-U243), Scenario_Control!$B$2*Q243)</f>
        <v>267.53800000000001</v>
      </c>
      <c r="AL243" s="15">
        <f t="shared" si="59"/>
        <v>0</v>
      </c>
      <c r="AM243" s="8">
        <f>DATEDIF(Table1[[#This Row],[Country_FirstMonth]], Table1[[#This Row],[MonthDate]], "m")</f>
        <v>28</v>
      </c>
    </row>
    <row r="244" spans="1:39" x14ac:dyDescent="0.25">
      <c r="A244" t="s">
        <v>256</v>
      </c>
      <c r="B244" s="12">
        <v>45871</v>
      </c>
      <c r="C244" s="12">
        <f t="shared" si="45"/>
        <v>45877</v>
      </c>
      <c r="D244" s="2" t="str">
        <f>IF(Table1[[#This Row],[RequiredDate]]&lt;Table1[[#This Row],[OrderDate]],"Check","OK")</f>
        <v>OK</v>
      </c>
      <c r="E244" s="2">
        <v>45877</v>
      </c>
      <c r="F244" s="15">
        <f t="shared" si="46"/>
        <v>6</v>
      </c>
      <c r="G244" t="s">
        <v>647</v>
      </c>
      <c r="H244" t="s">
        <v>652</v>
      </c>
      <c r="I244" t="s">
        <v>666</v>
      </c>
      <c r="J244" t="s">
        <v>704</v>
      </c>
      <c r="K244" t="s">
        <v>711</v>
      </c>
      <c r="L244" t="s">
        <v>725</v>
      </c>
      <c r="M244" t="s">
        <v>731</v>
      </c>
      <c r="N244" t="s">
        <v>976</v>
      </c>
      <c r="O244" s="29">
        <v>1225.94</v>
      </c>
      <c r="P244" t="str">
        <f>IF(Table1[[#This Row],[UnitPrice]]&lt;=0,"Check","OK")</f>
        <v>OK</v>
      </c>
      <c r="Q244" s="29">
        <f t="shared" si="47"/>
        <v>1793.08</v>
      </c>
      <c r="R244">
        <v>1793.08</v>
      </c>
      <c r="S244" s="5">
        <f>IF(Table1[[#This Row],[Discount_Flag]]="Check", MIN(MAX(Table1[[#This Row],[DiscountPct]],0),0.3), Table1[[#This Row],[DiscountPct]])</f>
        <v>0.13600000000000001</v>
      </c>
      <c r="T244" t="str">
        <f>IF(OR(Table1[[#This Row],[DiscountPct]]&lt;0,Table1[[#This Row],[DiscountPct]]&gt;0.3),"Check","OK")</f>
        <v>OK</v>
      </c>
      <c r="U244" s="11">
        <v>0.13600000000000001</v>
      </c>
      <c r="V244" s="15">
        <f t="shared" si="48"/>
        <v>0</v>
      </c>
      <c r="W244" s="11">
        <f t="shared" si="49"/>
        <v>0.20867332353434462</v>
      </c>
      <c r="X244" s="17">
        <f t="shared" si="50"/>
        <v>26970.68</v>
      </c>
      <c r="Y244" s="17">
        <f t="shared" si="51"/>
        <v>7112.1846399999922</v>
      </c>
      <c r="Z244" s="17">
        <f t="shared" si="52"/>
        <v>34082.864639999993</v>
      </c>
      <c r="AA244" s="17" t="str">
        <f t="shared" si="53"/>
        <v>Q3-2025</v>
      </c>
      <c r="AB244" s="12" t="str">
        <f t="shared" si="54"/>
        <v>Aug-2025</v>
      </c>
      <c r="AC244" s="12" t="str">
        <f t="shared" si="55"/>
        <v>Medium</v>
      </c>
      <c r="AD244">
        <v>22</v>
      </c>
      <c r="AE244" s="12">
        <f>_xlfn.MINIFS(Table1[MonthDate], Table1[Country], Table1[[#This Row],[Country]])</f>
        <v>44986</v>
      </c>
      <c r="AF244" s="12">
        <f t="shared" si="56"/>
        <v>45870</v>
      </c>
      <c r="AG244">
        <f>AD244*(1 + Scenario_Control!$B$4)</f>
        <v>24.200000000000003</v>
      </c>
      <c r="AH244">
        <f>O244*(1 + Scenario_Control!$B$3)</f>
        <v>1287.2370000000001</v>
      </c>
      <c r="AI244">
        <f t="shared" si="57"/>
        <v>7498.2302208000001</v>
      </c>
      <c r="AJ244">
        <f t="shared" si="58"/>
        <v>-23652.905179200006</v>
      </c>
      <c r="AK244" s="29">
        <f>MIN(Q244*(1-U244), Scenario_Control!$B$2*Q244)</f>
        <v>358.61599999999999</v>
      </c>
      <c r="AL244" s="15">
        <f t="shared" si="59"/>
        <v>1</v>
      </c>
      <c r="AM244" s="8">
        <f>DATEDIF(Table1[[#This Row],[Country_FirstMonth]], Table1[[#This Row],[MonthDate]], "m")</f>
        <v>29</v>
      </c>
    </row>
    <row r="245" spans="1:39" x14ac:dyDescent="0.25">
      <c r="A245" t="s">
        <v>257</v>
      </c>
      <c r="B245" s="12">
        <v>45630</v>
      </c>
      <c r="C245" s="12">
        <f t="shared" si="45"/>
        <v>45638</v>
      </c>
      <c r="D245" s="2" t="str">
        <f>IF(Table1[[#This Row],[RequiredDate]]&lt;Table1[[#This Row],[OrderDate]],"Check","OK")</f>
        <v>OK</v>
      </c>
      <c r="E245" s="2">
        <v>45638</v>
      </c>
      <c r="F245" s="15">
        <f t="shared" si="46"/>
        <v>8</v>
      </c>
      <c r="G245" t="s">
        <v>649</v>
      </c>
      <c r="H245" t="s">
        <v>656</v>
      </c>
      <c r="I245" t="s">
        <v>698</v>
      </c>
      <c r="J245" t="s">
        <v>706</v>
      </c>
      <c r="K245" t="s">
        <v>709</v>
      </c>
      <c r="L245" t="s">
        <v>717</v>
      </c>
      <c r="M245" t="s">
        <v>728</v>
      </c>
      <c r="N245" t="s">
        <v>977</v>
      </c>
      <c r="O245" s="29">
        <v>72.06</v>
      </c>
      <c r="P245" t="str">
        <f>IF(Table1[[#This Row],[UnitPrice]]&lt;=0,"Check","OK")</f>
        <v>OK</v>
      </c>
      <c r="Q245" s="29">
        <f t="shared" si="47"/>
        <v>122.74</v>
      </c>
      <c r="R245">
        <v>122.74</v>
      </c>
      <c r="S245" s="5">
        <f>IF(Table1[[#This Row],[Discount_Flag]]="Check", MIN(MAX(Table1[[#This Row],[DiscountPct]],0),0.3), Table1[[#This Row],[DiscountPct]])</f>
        <v>0.23799999999999999</v>
      </c>
      <c r="T245" t="str">
        <f>IF(OR(Table1[[#This Row],[DiscountPct]]&lt;0,Table1[[#This Row],[DiscountPct]]&gt;0.3),"Check","OK")</f>
        <v>OK</v>
      </c>
      <c r="U245" s="11">
        <v>0.23799999999999999</v>
      </c>
      <c r="V245" s="15">
        <f t="shared" si="48"/>
        <v>1</v>
      </c>
      <c r="W245" s="11">
        <f t="shared" si="49"/>
        <v>0.22953455162246802</v>
      </c>
      <c r="X245" s="17">
        <f t="shared" si="50"/>
        <v>576.48</v>
      </c>
      <c r="Y245" s="17">
        <f t="shared" si="51"/>
        <v>171.74303999999995</v>
      </c>
      <c r="Z245" s="17">
        <f t="shared" si="52"/>
        <v>748.22303999999997</v>
      </c>
      <c r="AA245" s="17" t="str">
        <f t="shared" si="53"/>
        <v>Q4-2024</v>
      </c>
      <c r="AB245" s="12" t="str">
        <f t="shared" si="54"/>
        <v>Dec-2024</v>
      </c>
      <c r="AC245" s="12" t="str">
        <f t="shared" si="55"/>
        <v>Low</v>
      </c>
      <c r="AD245">
        <v>8</v>
      </c>
      <c r="AE245" s="12">
        <f>_xlfn.MINIFS(Table1[MonthDate], Table1[Country], Table1[[#This Row],[Country]])</f>
        <v>44927</v>
      </c>
      <c r="AF245" s="12">
        <f t="shared" si="56"/>
        <v>45627</v>
      </c>
      <c r="AG245">
        <f>AD245*(1 + Scenario_Control!$B$4)</f>
        <v>8.8000000000000007</v>
      </c>
      <c r="AH245">
        <f>O245*(1 + Scenario_Control!$B$3)</f>
        <v>75.663000000000011</v>
      </c>
      <c r="AI245">
        <f t="shared" si="57"/>
        <v>164.60906880000002</v>
      </c>
      <c r="AJ245">
        <f t="shared" si="58"/>
        <v>-501.22533120000014</v>
      </c>
      <c r="AK245" s="29">
        <f>MIN(Q245*(1-U245), Scenario_Control!$B$2*Q245)</f>
        <v>24.548000000000002</v>
      </c>
      <c r="AL245" s="15">
        <f t="shared" si="59"/>
        <v>0</v>
      </c>
      <c r="AM245" s="8">
        <f>DATEDIF(Table1[[#This Row],[Country_FirstMonth]], Table1[[#This Row],[MonthDate]], "m")</f>
        <v>23</v>
      </c>
    </row>
    <row r="246" spans="1:39" x14ac:dyDescent="0.25">
      <c r="A246" t="s">
        <v>258</v>
      </c>
      <c r="B246" s="12">
        <v>45035</v>
      </c>
      <c r="C246" s="12">
        <f t="shared" si="45"/>
        <v>45044</v>
      </c>
      <c r="D246" s="2" t="str">
        <f>IF(Table1[[#This Row],[RequiredDate]]&lt;Table1[[#This Row],[OrderDate]],"Check","OK")</f>
        <v>OK</v>
      </c>
      <c r="E246" s="2">
        <v>45044</v>
      </c>
      <c r="F246" s="15">
        <f t="shared" si="46"/>
        <v>9</v>
      </c>
      <c r="G246" t="s">
        <v>648</v>
      </c>
      <c r="H246" t="s">
        <v>655</v>
      </c>
      <c r="I246" t="s">
        <v>692</v>
      </c>
      <c r="J246" t="s">
        <v>701</v>
      </c>
      <c r="K246" t="s">
        <v>710</v>
      </c>
      <c r="L246" t="s">
        <v>724</v>
      </c>
      <c r="M246" t="s">
        <v>730</v>
      </c>
      <c r="N246" t="s">
        <v>978</v>
      </c>
      <c r="O246" s="29">
        <v>1013.54</v>
      </c>
      <c r="P246" t="str">
        <f>IF(Table1[[#This Row],[UnitPrice]]&lt;=0,"Check","OK")</f>
        <v>OK</v>
      </c>
      <c r="Q246" s="29">
        <f t="shared" si="47"/>
        <v>927.93</v>
      </c>
      <c r="R246">
        <v>927.93</v>
      </c>
      <c r="S246" s="5">
        <f>IF(Table1[[#This Row],[Discount_Flag]]="Check", MIN(MAX(Table1[[#This Row],[DiscountPct]],0),0.3), Table1[[#This Row],[DiscountPct]])</f>
        <v>0.17499999999999999</v>
      </c>
      <c r="T246" t="str">
        <f>IF(OR(Table1[[#This Row],[DiscountPct]]&lt;0,Table1[[#This Row],[DiscountPct]]&gt;0.3),"Check","OK")</f>
        <v>OK</v>
      </c>
      <c r="U246" s="11">
        <v>0.17499999999999999</v>
      </c>
      <c r="V246" s="15">
        <f t="shared" si="48"/>
        <v>0</v>
      </c>
      <c r="W246" s="11">
        <f t="shared" si="49"/>
        <v>-0.32395044166406234</v>
      </c>
      <c r="X246" s="17">
        <f t="shared" si="50"/>
        <v>16216.64</v>
      </c>
      <c r="Y246" s="17">
        <f t="shared" si="51"/>
        <v>-3967.9639999999999</v>
      </c>
      <c r="Z246" s="17">
        <f t="shared" si="52"/>
        <v>12248.675999999999</v>
      </c>
      <c r="AA246" s="17" t="str">
        <f t="shared" si="53"/>
        <v>Q2-2023</v>
      </c>
      <c r="AB246" s="12" t="str">
        <f t="shared" si="54"/>
        <v>Apr-2023</v>
      </c>
      <c r="AC246" s="12" t="str">
        <f t="shared" si="55"/>
        <v>Medium</v>
      </c>
      <c r="AD246">
        <v>16</v>
      </c>
      <c r="AE246" s="12">
        <f>_xlfn.MINIFS(Table1[MonthDate], Table1[Country], Table1[[#This Row],[Country]])</f>
        <v>44927</v>
      </c>
      <c r="AF246" s="12">
        <f t="shared" si="56"/>
        <v>45017</v>
      </c>
      <c r="AG246">
        <f>AD246*(1 + Scenario_Control!$B$4)</f>
        <v>17.600000000000001</v>
      </c>
      <c r="AH246">
        <f>O246*(1 + Scenario_Control!$B$3)</f>
        <v>1064.2170000000001</v>
      </c>
      <c r="AI246">
        <f t="shared" si="57"/>
        <v>2694.7087200000001</v>
      </c>
      <c r="AJ246">
        <f t="shared" si="58"/>
        <v>-16035.510480000003</v>
      </c>
      <c r="AK246" s="29">
        <f>MIN(Q246*(1-U246), Scenario_Control!$B$2*Q246)</f>
        <v>185.58600000000001</v>
      </c>
      <c r="AL246" s="15">
        <f t="shared" si="59"/>
        <v>0</v>
      </c>
      <c r="AM246" s="8">
        <f>DATEDIF(Table1[[#This Row],[Country_FirstMonth]], Table1[[#This Row],[MonthDate]], "m")</f>
        <v>3</v>
      </c>
    </row>
    <row r="247" spans="1:39" x14ac:dyDescent="0.25">
      <c r="A247" t="s">
        <v>259</v>
      </c>
      <c r="B247" s="12">
        <v>45357</v>
      </c>
      <c r="C247" s="12">
        <f t="shared" si="45"/>
        <v>45377</v>
      </c>
      <c r="D247" s="2" t="str">
        <f>IF(Table1[[#This Row],[RequiredDate]]&lt;Table1[[#This Row],[OrderDate]],"Check","OK")</f>
        <v>OK</v>
      </c>
      <c r="E247" s="2">
        <v>45377</v>
      </c>
      <c r="F247" s="15">
        <f t="shared" si="46"/>
        <v>20</v>
      </c>
      <c r="G247" t="s">
        <v>646</v>
      </c>
      <c r="H247" t="s">
        <v>651</v>
      </c>
      <c r="I247" t="s">
        <v>663</v>
      </c>
      <c r="J247" t="s">
        <v>704</v>
      </c>
      <c r="K247" t="s">
        <v>709</v>
      </c>
      <c r="L247" t="s">
        <v>714</v>
      </c>
      <c r="M247" t="s">
        <v>730</v>
      </c>
      <c r="N247" t="s">
        <v>979</v>
      </c>
      <c r="O247" s="29">
        <v>65.64</v>
      </c>
      <c r="P247" t="str">
        <f>IF(Table1[[#This Row],[UnitPrice]]&lt;=0,"Check","OK")</f>
        <v>OK</v>
      </c>
      <c r="Q247" s="29">
        <f t="shared" si="47"/>
        <v>151.88</v>
      </c>
      <c r="R247">
        <v>151.88</v>
      </c>
      <c r="S247" s="5">
        <f>IF(Table1[[#This Row],[Discount_Flag]]="Check", MIN(MAX(Table1[[#This Row],[DiscountPct]],0),0.3), Table1[[#This Row],[DiscountPct]])</f>
        <v>0.16700000000000001</v>
      </c>
      <c r="T247" t="str">
        <f>IF(OR(Table1[[#This Row],[DiscountPct]]&lt;0,Table1[[#This Row],[DiscountPct]]&gt;0.3),"Check","OK")</f>
        <v>OK</v>
      </c>
      <c r="U247" s="11">
        <v>0.16700000000000001</v>
      </c>
      <c r="V247" s="15">
        <f t="shared" si="48"/>
        <v>0</v>
      </c>
      <c r="W247" s="11">
        <f t="shared" si="49"/>
        <v>0.48117250587356353</v>
      </c>
      <c r="X247" s="17">
        <f t="shared" si="50"/>
        <v>1509.72</v>
      </c>
      <c r="Y247" s="17">
        <f t="shared" si="51"/>
        <v>1400.1489199999999</v>
      </c>
      <c r="Z247" s="17">
        <f t="shared" si="52"/>
        <v>2909.8689199999999</v>
      </c>
      <c r="AA247" s="17" t="str">
        <f t="shared" si="53"/>
        <v>Q1-2024</v>
      </c>
      <c r="AB247" s="12" t="str">
        <f t="shared" si="54"/>
        <v>Mar-2024</v>
      </c>
      <c r="AC247" s="12" t="str">
        <f t="shared" si="55"/>
        <v>Low</v>
      </c>
      <c r="AD247">
        <v>23</v>
      </c>
      <c r="AE247" s="12">
        <f>_xlfn.MINIFS(Table1[MonthDate], Table1[Country], Table1[[#This Row],[Country]])</f>
        <v>44927</v>
      </c>
      <c r="AF247" s="12">
        <f t="shared" si="56"/>
        <v>45352</v>
      </c>
      <c r="AG247">
        <f>AD247*(1 + Scenario_Control!$B$4)</f>
        <v>25.3</v>
      </c>
      <c r="AH247">
        <f>O247*(1 + Scenario_Control!$B$3)</f>
        <v>68.921999999999997</v>
      </c>
      <c r="AI247">
        <f t="shared" si="57"/>
        <v>640.17116240000007</v>
      </c>
      <c r="AJ247">
        <f t="shared" si="58"/>
        <v>-1103.5554376</v>
      </c>
      <c r="AK247" s="29">
        <f>MIN(Q247*(1-U247), Scenario_Control!$B$2*Q247)</f>
        <v>30.376000000000001</v>
      </c>
      <c r="AL247" s="15">
        <f t="shared" si="59"/>
        <v>0</v>
      </c>
      <c r="AM247" s="8">
        <f>DATEDIF(Table1[[#This Row],[Country_FirstMonth]], Table1[[#This Row],[MonthDate]], "m")</f>
        <v>14</v>
      </c>
    </row>
    <row r="248" spans="1:39" x14ac:dyDescent="0.25">
      <c r="A248" t="s">
        <v>260</v>
      </c>
      <c r="B248" s="12">
        <v>45338</v>
      </c>
      <c r="C248" s="12">
        <f t="shared" si="45"/>
        <v>45355</v>
      </c>
      <c r="D248" s="2" t="str">
        <f>IF(Table1[[#This Row],[RequiredDate]]&lt;Table1[[#This Row],[OrderDate]],"Check","OK")</f>
        <v>OK</v>
      </c>
      <c r="E248" s="2">
        <v>45355</v>
      </c>
      <c r="F248" s="15">
        <f t="shared" si="46"/>
        <v>17</v>
      </c>
      <c r="G248" t="s">
        <v>648</v>
      </c>
      <c r="H248" t="s">
        <v>653</v>
      </c>
      <c r="I248" t="s">
        <v>681</v>
      </c>
      <c r="J248" t="s">
        <v>703</v>
      </c>
      <c r="K248" t="s">
        <v>707</v>
      </c>
      <c r="L248" t="s">
        <v>726</v>
      </c>
      <c r="M248" t="s">
        <v>731</v>
      </c>
      <c r="N248" t="s">
        <v>980</v>
      </c>
      <c r="O248" s="29">
        <v>1350.98</v>
      </c>
      <c r="P248" t="str">
        <f>IF(Table1[[#This Row],[UnitPrice]]&lt;=0,"Check","OK")</f>
        <v>OK</v>
      </c>
      <c r="Q248" s="29">
        <f t="shared" si="47"/>
        <v>2210.4</v>
      </c>
      <c r="R248">
        <v>2210.4</v>
      </c>
      <c r="S248" s="5">
        <f>IF(Table1[[#This Row],[Discount_Flag]]="Check", MIN(MAX(Table1[[#This Row],[DiscountPct]],0),0.3), Table1[[#This Row],[DiscountPct]])</f>
        <v>0.26300000000000001</v>
      </c>
      <c r="T248" t="str">
        <f>IF(OR(Table1[[#This Row],[DiscountPct]]&lt;0,Table1[[#This Row],[DiscountPct]]&gt;0.3),"Check","OK")</f>
        <v>OK</v>
      </c>
      <c r="U248" s="11">
        <v>0.26300000000000001</v>
      </c>
      <c r="V248" s="15">
        <f t="shared" si="48"/>
        <v>1</v>
      </c>
      <c r="W248" s="11">
        <f t="shared" si="49"/>
        <v>0.17070211080615091</v>
      </c>
      <c r="X248" s="17">
        <f t="shared" si="50"/>
        <v>8105.88</v>
      </c>
      <c r="Y248" s="17">
        <f t="shared" si="51"/>
        <v>1668.5088000000005</v>
      </c>
      <c r="Z248" s="17">
        <f t="shared" si="52"/>
        <v>9774.3888000000006</v>
      </c>
      <c r="AA248" s="17" t="str">
        <f t="shared" si="53"/>
        <v>Q1-2024</v>
      </c>
      <c r="AB248" s="12" t="str">
        <f t="shared" si="54"/>
        <v>Feb-2024</v>
      </c>
      <c r="AC248" s="12" t="str">
        <f t="shared" si="55"/>
        <v>High</v>
      </c>
      <c r="AD248">
        <v>6</v>
      </c>
      <c r="AE248" s="12">
        <f>_xlfn.MINIFS(Table1[MonthDate], Table1[Country], Table1[[#This Row],[Country]])</f>
        <v>44927</v>
      </c>
      <c r="AF248" s="12">
        <f t="shared" si="56"/>
        <v>45323</v>
      </c>
      <c r="AG248">
        <f>AD248*(1 + Scenario_Control!$B$4)</f>
        <v>6.6000000000000005</v>
      </c>
      <c r="AH248">
        <f>O248*(1 + Scenario_Control!$B$3)</f>
        <v>1418.529</v>
      </c>
      <c r="AI248">
        <f t="shared" si="57"/>
        <v>2150.3655360000002</v>
      </c>
      <c r="AJ248">
        <f t="shared" si="58"/>
        <v>-7211.9258639999998</v>
      </c>
      <c r="AK248" s="29">
        <f>MIN(Q248*(1-U248), Scenario_Control!$B$2*Q248)</f>
        <v>442.08000000000004</v>
      </c>
      <c r="AL248" s="15">
        <f t="shared" si="59"/>
        <v>0</v>
      </c>
      <c r="AM248" s="8">
        <f>DATEDIF(Table1[[#This Row],[Country_FirstMonth]], Table1[[#This Row],[MonthDate]], "m")</f>
        <v>13</v>
      </c>
    </row>
    <row r="249" spans="1:39" x14ac:dyDescent="0.25">
      <c r="A249" t="s">
        <v>261</v>
      </c>
      <c r="B249" s="12">
        <v>45769</v>
      </c>
      <c r="C249" s="12">
        <f t="shared" si="45"/>
        <v>45779</v>
      </c>
      <c r="D249" s="2" t="str">
        <f>IF(Table1[[#This Row],[RequiredDate]]&lt;Table1[[#This Row],[OrderDate]],"Check","OK")</f>
        <v>OK</v>
      </c>
      <c r="E249" s="2">
        <v>45779</v>
      </c>
      <c r="F249" s="15">
        <f t="shared" si="46"/>
        <v>10</v>
      </c>
      <c r="G249" t="s">
        <v>649</v>
      </c>
      <c r="H249" t="s">
        <v>656</v>
      </c>
      <c r="I249" t="s">
        <v>671</v>
      </c>
      <c r="J249" t="s">
        <v>701</v>
      </c>
      <c r="K249" t="s">
        <v>709</v>
      </c>
      <c r="L249" t="s">
        <v>712</v>
      </c>
      <c r="M249" t="s">
        <v>732</v>
      </c>
      <c r="N249" t="s">
        <v>981</v>
      </c>
      <c r="O249" s="29">
        <v>20.149999999999999</v>
      </c>
      <c r="P249" t="str">
        <f>IF(Table1[[#This Row],[UnitPrice]]&lt;=0,"Check","OK")</f>
        <v>OK</v>
      </c>
      <c r="Q249" s="29">
        <f t="shared" si="47"/>
        <v>39.74</v>
      </c>
      <c r="R249">
        <v>39.74</v>
      </c>
      <c r="S249" s="5">
        <f>IF(Table1[[#This Row],[Discount_Flag]]="Check", MIN(MAX(Table1[[#This Row],[DiscountPct]],0),0.3), Table1[[#This Row],[DiscountPct]])</f>
        <v>0.151</v>
      </c>
      <c r="T249" t="str">
        <f>IF(OR(Table1[[#This Row],[DiscountPct]]&lt;0,Table1[[#This Row],[DiscountPct]]&gt;0.3),"Check","OK")</f>
        <v>OK</v>
      </c>
      <c r="U249" s="11">
        <v>0.151</v>
      </c>
      <c r="V249" s="15">
        <f t="shared" si="48"/>
        <v>0</v>
      </c>
      <c r="W249" s="11">
        <f t="shared" si="49"/>
        <v>0.4027729120318585</v>
      </c>
      <c r="X249" s="17">
        <f t="shared" si="50"/>
        <v>362.7</v>
      </c>
      <c r="Y249" s="17">
        <f t="shared" si="51"/>
        <v>244.60668000000004</v>
      </c>
      <c r="Z249" s="17">
        <f t="shared" si="52"/>
        <v>607.30668000000003</v>
      </c>
      <c r="AA249" s="17" t="str">
        <f t="shared" si="53"/>
        <v>Q2-2025</v>
      </c>
      <c r="AB249" s="12" t="str">
        <f t="shared" si="54"/>
        <v>Apr-2025</v>
      </c>
      <c r="AC249" s="12" t="str">
        <f t="shared" si="55"/>
        <v>Low</v>
      </c>
      <c r="AD249">
        <v>18</v>
      </c>
      <c r="AE249" s="12">
        <f>_xlfn.MINIFS(Table1[MonthDate], Table1[Country], Table1[[#This Row],[Country]])</f>
        <v>44927</v>
      </c>
      <c r="AF249" s="12">
        <f t="shared" si="56"/>
        <v>45748</v>
      </c>
      <c r="AG249">
        <f>AD249*(1 + Scenario_Control!$B$4)</f>
        <v>19.8</v>
      </c>
      <c r="AH249">
        <f>O249*(1 + Scenario_Control!$B$3)</f>
        <v>21.157499999999999</v>
      </c>
      <c r="AI249">
        <f t="shared" si="57"/>
        <v>133.6074696</v>
      </c>
      <c r="AJ249">
        <f t="shared" si="58"/>
        <v>-285.31103039999999</v>
      </c>
      <c r="AK249" s="29">
        <f>MIN(Q249*(1-U249), Scenario_Control!$B$2*Q249)</f>
        <v>7.9480000000000004</v>
      </c>
      <c r="AL249" s="15">
        <f t="shared" si="59"/>
        <v>0</v>
      </c>
      <c r="AM249" s="8">
        <f>DATEDIF(Table1[[#This Row],[Country_FirstMonth]], Table1[[#This Row],[MonthDate]], "m")</f>
        <v>27</v>
      </c>
    </row>
    <row r="250" spans="1:39" x14ac:dyDescent="0.25">
      <c r="A250" t="s">
        <v>262</v>
      </c>
      <c r="B250" s="12">
        <v>45604</v>
      </c>
      <c r="C250" s="12">
        <f t="shared" si="45"/>
        <v>45604</v>
      </c>
      <c r="D250" s="2" t="str">
        <f>IF(Table1[[#This Row],[RequiredDate]]&lt;Table1[[#This Row],[OrderDate]],"Check","OK")</f>
        <v>OK</v>
      </c>
      <c r="E250" s="2">
        <v>45604</v>
      </c>
      <c r="F250" s="15">
        <f t="shared" si="46"/>
        <v>0</v>
      </c>
      <c r="G250" t="s">
        <v>646</v>
      </c>
      <c r="H250" t="s">
        <v>650</v>
      </c>
      <c r="I250" t="s">
        <v>678</v>
      </c>
      <c r="J250" t="s">
        <v>706</v>
      </c>
      <c r="K250" t="s">
        <v>709</v>
      </c>
      <c r="L250" t="s">
        <v>724</v>
      </c>
      <c r="M250" t="s">
        <v>729</v>
      </c>
      <c r="N250" t="s">
        <v>982</v>
      </c>
      <c r="O250" s="29">
        <v>803.28</v>
      </c>
      <c r="P250" t="str">
        <f>IF(Table1[[#This Row],[UnitPrice]]&lt;=0,"Check","OK")</f>
        <v>OK</v>
      </c>
      <c r="Q250" s="29">
        <f t="shared" si="47"/>
        <v>1009</v>
      </c>
      <c r="R250">
        <v>1009</v>
      </c>
      <c r="S250" s="5">
        <f>IF(Table1[[#This Row],[Discount_Flag]]="Check", MIN(MAX(Table1[[#This Row],[DiscountPct]],0),0.3), Table1[[#This Row],[DiscountPct]])</f>
        <v>0.11</v>
      </c>
      <c r="T250" t="str">
        <f>IF(OR(Table1[[#This Row],[DiscountPct]]&lt;0,Table1[[#This Row],[DiscountPct]]&gt;0.3),"Check","OK")</f>
        <v>OK</v>
      </c>
      <c r="U250" s="11">
        <v>0.11</v>
      </c>
      <c r="V250" s="15">
        <f t="shared" si="48"/>
        <v>0</v>
      </c>
      <c r="W250" s="11">
        <f t="shared" si="49"/>
        <v>0.10548880302001093</v>
      </c>
      <c r="X250" s="17">
        <f t="shared" si="50"/>
        <v>3213.12</v>
      </c>
      <c r="Y250" s="17">
        <f t="shared" si="51"/>
        <v>378.92000000000007</v>
      </c>
      <c r="Z250" s="17">
        <f t="shared" si="52"/>
        <v>3592.04</v>
      </c>
      <c r="AA250" s="17" t="str">
        <f t="shared" si="53"/>
        <v>Q4-2024</v>
      </c>
      <c r="AB250" s="12" t="str">
        <f t="shared" si="54"/>
        <v>Nov-2024</v>
      </c>
      <c r="AC250" s="12" t="str">
        <f t="shared" si="55"/>
        <v>Medium</v>
      </c>
      <c r="AD250">
        <v>4</v>
      </c>
      <c r="AE250" s="12">
        <f>_xlfn.MINIFS(Table1[MonthDate], Table1[Country], Table1[[#This Row],[Country]])</f>
        <v>44927</v>
      </c>
      <c r="AF250" s="12">
        <f t="shared" si="56"/>
        <v>45597</v>
      </c>
      <c r="AG250">
        <f>AD250*(1 + Scenario_Control!$B$4)</f>
        <v>4.4000000000000004</v>
      </c>
      <c r="AH250">
        <f>O250*(1 + Scenario_Control!$B$3)</f>
        <v>843.44399999999996</v>
      </c>
      <c r="AI250">
        <f t="shared" si="57"/>
        <v>790.24880000000007</v>
      </c>
      <c r="AJ250">
        <f t="shared" si="58"/>
        <v>-2920.9048000000003</v>
      </c>
      <c r="AK250" s="29">
        <f>MIN(Q250*(1-U250), Scenario_Control!$B$2*Q250)</f>
        <v>201.8</v>
      </c>
      <c r="AL250" s="15">
        <f t="shared" si="59"/>
        <v>1</v>
      </c>
      <c r="AM250" s="8">
        <f>DATEDIF(Table1[[#This Row],[Country_FirstMonth]], Table1[[#This Row],[MonthDate]], "m")</f>
        <v>22</v>
      </c>
    </row>
    <row r="251" spans="1:39" x14ac:dyDescent="0.25">
      <c r="A251" t="s">
        <v>263</v>
      </c>
      <c r="B251" s="12">
        <v>45912</v>
      </c>
      <c r="C251" s="12">
        <f t="shared" si="45"/>
        <v>45930</v>
      </c>
      <c r="D251" s="2" t="str">
        <f>IF(Table1[[#This Row],[RequiredDate]]&lt;Table1[[#This Row],[OrderDate]],"Check","OK")</f>
        <v>OK</v>
      </c>
      <c r="E251" s="2">
        <v>45930</v>
      </c>
      <c r="F251" s="15">
        <f t="shared" si="46"/>
        <v>18</v>
      </c>
      <c r="G251" t="s">
        <v>647</v>
      </c>
      <c r="H251" t="s">
        <v>652</v>
      </c>
      <c r="I251" t="s">
        <v>694</v>
      </c>
      <c r="J251" t="s">
        <v>703</v>
      </c>
      <c r="K251" t="s">
        <v>709</v>
      </c>
      <c r="L251" t="s">
        <v>721</v>
      </c>
      <c r="M251" t="s">
        <v>732</v>
      </c>
      <c r="N251" t="s">
        <v>983</v>
      </c>
      <c r="O251" s="29">
        <v>1212.99</v>
      </c>
      <c r="P251" t="str">
        <f>IF(Table1[[#This Row],[UnitPrice]]&lt;=0,"Check","OK")</f>
        <v>OK</v>
      </c>
      <c r="Q251" s="29">
        <f t="shared" si="47"/>
        <v>1653.64</v>
      </c>
      <c r="R251">
        <v>1653.64</v>
      </c>
      <c r="S251" s="5">
        <f>IF(Table1[[#This Row],[Discount_Flag]]="Check", MIN(MAX(Table1[[#This Row],[DiscountPct]],0),0.3), Table1[[#This Row],[DiscountPct]])</f>
        <v>0.107</v>
      </c>
      <c r="T251" t="str">
        <f>IF(OR(Table1[[#This Row],[DiscountPct]]&lt;0,Table1[[#This Row],[DiscountPct]]&gt;0.3),"Check","OK")</f>
        <v>OK</v>
      </c>
      <c r="U251" s="11">
        <v>0.107</v>
      </c>
      <c r="V251" s="15">
        <f t="shared" si="48"/>
        <v>0</v>
      </c>
      <c r="W251" s="11">
        <f t="shared" si="49"/>
        <v>0.17858090819931455</v>
      </c>
      <c r="X251" s="17">
        <f t="shared" si="50"/>
        <v>9703.92</v>
      </c>
      <c r="Y251" s="17">
        <f t="shared" si="51"/>
        <v>2109.6841600000007</v>
      </c>
      <c r="Z251" s="17">
        <f t="shared" si="52"/>
        <v>11813.604160000001</v>
      </c>
      <c r="AA251" s="17" t="str">
        <f t="shared" si="53"/>
        <v>Q3-2025</v>
      </c>
      <c r="AB251" s="12" t="str">
        <f t="shared" si="54"/>
        <v>Sept-2025</v>
      </c>
      <c r="AC251" s="12" t="str">
        <f t="shared" si="55"/>
        <v>Medium</v>
      </c>
      <c r="AD251">
        <v>8</v>
      </c>
      <c r="AE251" s="12">
        <f>_xlfn.MINIFS(Table1[MonthDate], Table1[Country], Table1[[#This Row],[Country]])</f>
        <v>44986</v>
      </c>
      <c r="AF251" s="12">
        <f t="shared" si="56"/>
        <v>45901</v>
      </c>
      <c r="AG251">
        <f>AD251*(1 + Scenario_Control!$B$4)</f>
        <v>8.8000000000000007</v>
      </c>
      <c r="AH251">
        <f>O251*(1 + Scenario_Control!$B$3)</f>
        <v>1273.6395</v>
      </c>
      <c r="AI251">
        <f t="shared" si="57"/>
        <v>2598.9929152000009</v>
      </c>
      <c r="AJ251">
        <f t="shared" si="58"/>
        <v>-8609.0346848000008</v>
      </c>
      <c r="AK251" s="29">
        <f>MIN(Q251*(1-U251), Scenario_Control!$B$2*Q251)</f>
        <v>330.72800000000007</v>
      </c>
      <c r="AL251" s="15">
        <f t="shared" si="59"/>
        <v>0</v>
      </c>
      <c r="AM251" s="8">
        <f>DATEDIF(Table1[[#This Row],[Country_FirstMonth]], Table1[[#This Row],[MonthDate]], "m")</f>
        <v>30</v>
      </c>
    </row>
    <row r="252" spans="1:39" x14ac:dyDescent="0.25">
      <c r="A252" t="s">
        <v>264</v>
      </c>
      <c r="B252" s="12">
        <v>45537</v>
      </c>
      <c r="C252" s="12">
        <f t="shared" si="45"/>
        <v>45543</v>
      </c>
      <c r="D252" s="2" t="str">
        <f>IF(Table1[[#This Row],[RequiredDate]]&lt;Table1[[#This Row],[OrderDate]],"Check","OK")</f>
        <v>OK</v>
      </c>
      <c r="E252" s="2">
        <v>45543</v>
      </c>
      <c r="F252" s="15">
        <f t="shared" si="46"/>
        <v>6</v>
      </c>
      <c r="G252" t="s">
        <v>648</v>
      </c>
      <c r="H252" t="s">
        <v>660</v>
      </c>
      <c r="I252" t="s">
        <v>697</v>
      </c>
      <c r="J252" t="s">
        <v>704</v>
      </c>
      <c r="K252" t="s">
        <v>711</v>
      </c>
      <c r="L252" t="s">
        <v>722</v>
      </c>
      <c r="M252" t="s">
        <v>727</v>
      </c>
      <c r="N252" t="s">
        <v>984</v>
      </c>
      <c r="O252" s="29">
        <v>462.94</v>
      </c>
      <c r="P252" t="str">
        <f>IF(Table1[[#This Row],[UnitPrice]]&lt;=0,"Check","OK")</f>
        <v>OK</v>
      </c>
      <c r="Q252" s="29">
        <f t="shared" si="47"/>
        <v>1015.7</v>
      </c>
      <c r="R252">
        <v>1015.7</v>
      </c>
      <c r="S252" s="5">
        <f>IF(Table1[[#This Row],[Discount_Flag]]="Check", MIN(MAX(Table1[[#This Row],[DiscountPct]],0),0.3), Table1[[#This Row],[DiscountPct]])</f>
        <v>0.14299999999999999</v>
      </c>
      <c r="T252" t="str">
        <f>IF(OR(Table1[[#This Row],[DiscountPct]]&lt;0,Table1[[#This Row],[DiscountPct]]&gt;0.3),"Check","OK")</f>
        <v>OK</v>
      </c>
      <c r="U252" s="11">
        <v>0.14299999999999999</v>
      </c>
      <c r="V252" s="15">
        <f t="shared" si="48"/>
        <v>0</v>
      </c>
      <c r="W252" s="11">
        <f t="shared" si="49"/>
        <v>0.46816314090483041</v>
      </c>
      <c r="X252" s="17">
        <f t="shared" si="50"/>
        <v>6481.16</v>
      </c>
      <c r="Y252" s="17">
        <f t="shared" si="51"/>
        <v>5705.2086000000018</v>
      </c>
      <c r="Z252" s="17">
        <f t="shared" si="52"/>
        <v>12186.368600000002</v>
      </c>
      <c r="AA252" s="17" t="str">
        <f t="shared" si="53"/>
        <v>Q3-2024</v>
      </c>
      <c r="AB252" s="12" t="str">
        <f t="shared" si="54"/>
        <v>Sept-2024</v>
      </c>
      <c r="AC252" s="12" t="str">
        <f t="shared" si="55"/>
        <v>Medium</v>
      </c>
      <c r="AD252">
        <v>14</v>
      </c>
      <c r="AE252" s="12">
        <f>_xlfn.MINIFS(Table1[MonthDate], Table1[Country], Table1[[#This Row],[Country]])</f>
        <v>44927</v>
      </c>
      <c r="AF252" s="12">
        <f t="shared" si="56"/>
        <v>45536</v>
      </c>
      <c r="AG252">
        <f>AD252*(1 + Scenario_Control!$B$4)</f>
        <v>15.400000000000002</v>
      </c>
      <c r="AH252">
        <f>O252*(1 + Scenario_Control!$B$3)</f>
        <v>486.08700000000005</v>
      </c>
      <c r="AI252">
        <f t="shared" si="57"/>
        <v>2681.0010920000004</v>
      </c>
      <c r="AJ252">
        <f t="shared" si="58"/>
        <v>-4804.7387080000017</v>
      </c>
      <c r="AK252" s="29">
        <f>MIN(Q252*(1-U252), Scenario_Control!$B$2*Q252)</f>
        <v>203.14000000000001</v>
      </c>
      <c r="AL252" s="15">
        <f t="shared" si="59"/>
        <v>1</v>
      </c>
      <c r="AM252" s="8">
        <f>DATEDIF(Table1[[#This Row],[Country_FirstMonth]], Table1[[#This Row],[MonthDate]], "m")</f>
        <v>20</v>
      </c>
    </row>
    <row r="253" spans="1:39" x14ac:dyDescent="0.25">
      <c r="A253" t="s">
        <v>265</v>
      </c>
      <c r="B253" s="12">
        <v>44989</v>
      </c>
      <c r="C253" s="12">
        <f t="shared" si="45"/>
        <v>45009</v>
      </c>
      <c r="D253" s="2" t="str">
        <f>IF(Table1[[#This Row],[RequiredDate]]&lt;Table1[[#This Row],[OrderDate]],"Check","OK")</f>
        <v>OK</v>
      </c>
      <c r="E253" s="2">
        <v>45009</v>
      </c>
      <c r="F253" s="15">
        <f t="shared" si="46"/>
        <v>20</v>
      </c>
      <c r="G253" t="s">
        <v>648</v>
      </c>
      <c r="H253" t="s">
        <v>653</v>
      </c>
      <c r="I253" t="s">
        <v>681</v>
      </c>
      <c r="J253" t="s">
        <v>704</v>
      </c>
      <c r="K253" t="s">
        <v>710</v>
      </c>
      <c r="L253" t="s">
        <v>714</v>
      </c>
      <c r="M253" t="s">
        <v>731</v>
      </c>
      <c r="N253" t="s">
        <v>985</v>
      </c>
      <c r="O253" s="29">
        <v>481.71</v>
      </c>
      <c r="P253" t="str">
        <f>IF(Table1[[#This Row],[UnitPrice]]&lt;=0,"Check","OK")</f>
        <v>OK</v>
      </c>
      <c r="Q253" s="29">
        <f t="shared" si="47"/>
        <v>912.45</v>
      </c>
      <c r="R253">
        <v>912.45</v>
      </c>
      <c r="S253" s="5">
        <f>IF(Table1[[#This Row],[Discount_Flag]]="Check", MIN(MAX(Table1[[#This Row],[DiscountPct]],0),0.3), Table1[[#This Row],[DiscountPct]])</f>
        <v>0.20300000000000001</v>
      </c>
      <c r="T253" t="str">
        <f>IF(OR(Table1[[#This Row],[DiscountPct]]&lt;0,Table1[[#This Row],[DiscountPct]]&gt;0.3),"Check","OK")</f>
        <v>OK</v>
      </c>
      <c r="U253" s="11">
        <v>0.20300000000000001</v>
      </c>
      <c r="V253" s="15">
        <f t="shared" si="48"/>
        <v>1</v>
      </c>
      <c r="W253" s="11">
        <f t="shared" si="49"/>
        <v>0.33760313983619739</v>
      </c>
      <c r="X253" s="17">
        <f t="shared" si="50"/>
        <v>11561.039999999999</v>
      </c>
      <c r="Y253" s="17">
        <f t="shared" si="51"/>
        <v>5892.3036000000011</v>
      </c>
      <c r="Z253" s="17">
        <f t="shared" si="52"/>
        <v>17453.3436</v>
      </c>
      <c r="AA253" s="17" t="str">
        <f t="shared" si="53"/>
        <v>Q1-2023</v>
      </c>
      <c r="AB253" s="12" t="str">
        <f t="shared" si="54"/>
        <v>Mar-2023</v>
      </c>
      <c r="AC253" s="12" t="str">
        <f t="shared" si="55"/>
        <v>Medium</v>
      </c>
      <c r="AD253">
        <v>24</v>
      </c>
      <c r="AE253" s="12">
        <f>_xlfn.MINIFS(Table1[MonthDate], Table1[Country], Table1[[#This Row],[Country]])</f>
        <v>44927</v>
      </c>
      <c r="AF253" s="12">
        <f t="shared" si="56"/>
        <v>44986</v>
      </c>
      <c r="AG253">
        <f>AD253*(1 + Scenario_Control!$B$4)</f>
        <v>26.400000000000002</v>
      </c>
      <c r="AH253">
        <f>O253*(1 + Scenario_Control!$B$3)</f>
        <v>505.7955</v>
      </c>
      <c r="AI253">
        <f t="shared" si="57"/>
        <v>3839.7355920000005</v>
      </c>
      <c r="AJ253">
        <f t="shared" si="58"/>
        <v>-9513.2656079999997</v>
      </c>
      <c r="AK253" s="29">
        <f>MIN(Q253*(1-U253), Scenario_Control!$B$2*Q253)</f>
        <v>182.49</v>
      </c>
      <c r="AL253" s="15">
        <f t="shared" si="59"/>
        <v>0</v>
      </c>
      <c r="AM253" s="8">
        <f>DATEDIF(Table1[[#This Row],[Country_FirstMonth]], Table1[[#This Row],[MonthDate]], "m")</f>
        <v>2</v>
      </c>
    </row>
    <row r="254" spans="1:39" x14ac:dyDescent="0.25">
      <c r="A254" t="s">
        <v>266</v>
      </c>
      <c r="B254" s="12">
        <v>45366</v>
      </c>
      <c r="C254" s="12">
        <f t="shared" si="45"/>
        <v>45391</v>
      </c>
      <c r="D254" s="2" t="str">
        <f>IF(Table1[[#This Row],[RequiredDate]]&lt;Table1[[#This Row],[OrderDate]],"Check","OK")</f>
        <v>OK</v>
      </c>
      <c r="E254" s="2">
        <v>45391</v>
      </c>
      <c r="F254" s="15">
        <f t="shared" si="46"/>
        <v>25</v>
      </c>
      <c r="G254" t="s">
        <v>648</v>
      </c>
      <c r="H254" t="s">
        <v>653</v>
      </c>
      <c r="I254" t="s">
        <v>688</v>
      </c>
      <c r="J254" t="s">
        <v>704</v>
      </c>
      <c r="K254" t="s">
        <v>708</v>
      </c>
      <c r="L254" t="s">
        <v>721</v>
      </c>
      <c r="M254" t="s">
        <v>732</v>
      </c>
      <c r="N254" t="s">
        <v>986</v>
      </c>
      <c r="O254" s="29">
        <v>648.64</v>
      </c>
      <c r="P254" t="str">
        <f>IF(Table1[[#This Row],[UnitPrice]]&lt;=0,"Check","OK")</f>
        <v>OK</v>
      </c>
      <c r="Q254" s="29">
        <f t="shared" si="47"/>
        <v>815.19</v>
      </c>
      <c r="R254">
        <v>815.19</v>
      </c>
      <c r="S254" s="5">
        <f>IF(Table1[[#This Row],[Discount_Flag]]="Check", MIN(MAX(Table1[[#This Row],[DiscountPct]],0),0.3), Table1[[#This Row],[DiscountPct]])</f>
        <v>0.22500000000000001</v>
      </c>
      <c r="T254" t="str">
        <f>IF(OR(Table1[[#This Row],[DiscountPct]]&lt;0,Table1[[#This Row],[DiscountPct]]&gt;0.3),"Check","OK")</f>
        <v>OK</v>
      </c>
      <c r="U254" s="11">
        <v>0.22500000000000001</v>
      </c>
      <c r="V254" s="15">
        <f t="shared" si="48"/>
        <v>1</v>
      </c>
      <c r="W254" s="11">
        <f t="shared" si="49"/>
        <v>-2.6699099240272032E-2</v>
      </c>
      <c r="X254" s="17">
        <f t="shared" si="50"/>
        <v>18161.919999999998</v>
      </c>
      <c r="Y254" s="17">
        <f t="shared" si="51"/>
        <v>-472.29699999999866</v>
      </c>
      <c r="Z254" s="17">
        <f t="shared" si="52"/>
        <v>17689.623</v>
      </c>
      <c r="AA254" s="17" t="str">
        <f t="shared" si="53"/>
        <v>Q1-2024</v>
      </c>
      <c r="AB254" s="12" t="str">
        <f t="shared" si="54"/>
        <v>Mar-2024</v>
      </c>
      <c r="AC254" s="12" t="str">
        <f t="shared" si="55"/>
        <v>Medium</v>
      </c>
      <c r="AD254">
        <v>28</v>
      </c>
      <c r="AE254" s="12">
        <f>_xlfn.MINIFS(Table1[MonthDate], Table1[Country], Table1[[#This Row],[Country]])</f>
        <v>44927</v>
      </c>
      <c r="AF254" s="12">
        <f t="shared" si="56"/>
        <v>45352</v>
      </c>
      <c r="AG254">
        <f>AD254*(1 + Scenario_Control!$B$4)</f>
        <v>30.800000000000004</v>
      </c>
      <c r="AH254">
        <f>O254*(1 + Scenario_Control!$B$3)</f>
        <v>681.072</v>
      </c>
      <c r="AI254">
        <f t="shared" si="57"/>
        <v>3891.7170600000013</v>
      </c>
      <c r="AJ254">
        <f t="shared" si="58"/>
        <v>-17085.30054</v>
      </c>
      <c r="AK254" s="29">
        <f>MIN(Q254*(1-U254), Scenario_Control!$B$2*Q254)</f>
        <v>163.03800000000001</v>
      </c>
      <c r="AL254" s="15">
        <f t="shared" si="59"/>
        <v>0</v>
      </c>
      <c r="AM254" s="8">
        <f>DATEDIF(Table1[[#This Row],[Country_FirstMonth]], Table1[[#This Row],[MonthDate]], "m")</f>
        <v>14</v>
      </c>
    </row>
    <row r="255" spans="1:39" x14ac:dyDescent="0.25">
      <c r="A255" t="s">
        <v>267</v>
      </c>
      <c r="B255" s="12">
        <v>45502</v>
      </c>
      <c r="C255" s="12">
        <f t="shared" si="45"/>
        <v>45504</v>
      </c>
      <c r="D255" s="2" t="str">
        <f>IF(Table1[[#This Row],[RequiredDate]]&lt;Table1[[#This Row],[OrderDate]],"Check","OK")</f>
        <v>OK</v>
      </c>
      <c r="E255" s="2">
        <v>45504</v>
      </c>
      <c r="F255" s="15">
        <f t="shared" si="46"/>
        <v>2</v>
      </c>
      <c r="G255" t="s">
        <v>648</v>
      </c>
      <c r="H255" t="s">
        <v>660</v>
      </c>
      <c r="I255" t="s">
        <v>700</v>
      </c>
      <c r="J255" t="s">
        <v>702</v>
      </c>
      <c r="K255" t="s">
        <v>709</v>
      </c>
      <c r="L255" t="s">
        <v>714</v>
      </c>
      <c r="M255" t="s">
        <v>728</v>
      </c>
      <c r="N255" t="s">
        <v>987</v>
      </c>
      <c r="O255" s="29">
        <v>798.97</v>
      </c>
      <c r="P255" t="str">
        <f>IF(Table1[[#This Row],[UnitPrice]]&lt;=0,"Check","OK")</f>
        <v>OK</v>
      </c>
      <c r="Q255" s="29">
        <f t="shared" si="47"/>
        <v>1814.06</v>
      </c>
      <c r="R255">
        <v>1814.06</v>
      </c>
      <c r="S255" s="5">
        <f>IF(Table1[[#This Row],[Discount_Flag]]="Check", MIN(MAX(Table1[[#This Row],[DiscountPct]],0),0.3), Table1[[#This Row],[DiscountPct]])</f>
        <v>0.122</v>
      </c>
      <c r="T255" t="str">
        <f>IF(OR(Table1[[#This Row],[DiscountPct]]&lt;0,Table1[[#This Row],[DiscountPct]]&gt;0.3),"Check","OK")</f>
        <v>OK</v>
      </c>
      <c r="U255" s="11">
        <v>0.122</v>
      </c>
      <c r="V255" s="15">
        <f t="shared" si="48"/>
        <v>0</v>
      </c>
      <c r="W255" s="11">
        <f t="shared" si="49"/>
        <v>0.49836906691159061</v>
      </c>
      <c r="X255" s="17">
        <f t="shared" si="50"/>
        <v>12783.52</v>
      </c>
      <c r="Y255" s="17">
        <f t="shared" si="51"/>
        <v>12700.39488</v>
      </c>
      <c r="Z255" s="17">
        <f t="shared" si="52"/>
        <v>25483.91488</v>
      </c>
      <c r="AA255" s="17" t="str">
        <f t="shared" si="53"/>
        <v>Q3-2024</v>
      </c>
      <c r="AB255" s="12" t="str">
        <f t="shared" si="54"/>
        <v>Jul-2024</v>
      </c>
      <c r="AC255" s="12" t="str">
        <f t="shared" si="55"/>
        <v>Medium</v>
      </c>
      <c r="AD255">
        <v>16</v>
      </c>
      <c r="AE255" s="12">
        <f>_xlfn.MINIFS(Table1[MonthDate], Table1[Country], Table1[[#This Row],[Country]])</f>
        <v>44927</v>
      </c>
      <c r="AF255" s="12">
        <f t="shared" si="56"/>
        <v>45474</v>
      </c>
      <c r="AG255">
        <f>AD255*(1 + Scenario_Control!$B$4)</f>
        <v>17.600000000000001</v>
      </c>
      <c r="AH255">
        <f>O255*(1 + Scenario_Control!$B$3)</f>
        <v>838.91850000000011</v>
      </c>
      <c r="AI255">
        <f t="shared" si="57"/>
        <v>5606.4612735999999</v>
      </c>
      <c r="AJ255">
        <f t="shared" si="58"/>
        <v>-9158.5043264000033</v>
      </c>
      <c r="AK255" s="29">
        <f>MIN(Q255*(1-U255), Scenario_Control!$B$2*Q255)</f>
        <v>362.81200000000001</v>
      </c>
      <c r="AL255" s="15">
        <f t="shared" si="59"/>
        <v>1</v>
      </c>
      <c r="AM255" s="8">
        <f>DATEDIF(Table1[[#This Row],[Country_FirstMonth]], Table1[[#This Row],[MonthDate]], "m")</f>
        <v>18</v>
      </c>
    </row>
    <row r="256" spans="1:39" x14ac:dyDescent="0.25">
      <c r="A256" t="s">
        <v>268</v>
      </c>
      <c r="B256" s="12">
        <v>45592</v>
      </c>
      <c r="C256" s="12">
        <f t="shared" si="45"/>
        <v>45616</v>
      </c>
      <c r="D256" s="2" t="str">
        <f>IF(Table1[[#This Row],[RequiredDate]]&lt;Table1[[#This Row],[OrderDate]],"Check","OK")</f>
        <v>OK</v>
      </c>
      <c r="E256" s="2">
        <v>45616</v>
      </c>
      <c r="F256" s="15">
        <f t="shared" si="46"/>
        <v>24</v>
      </c>
      <c r="G256" t="s">
        <v>647</v>
      </c>
      <c r="H256" t="s">
        <v>652</v>
      </c>
      <c r="I256" t="s">
        <v>694</v>
      </c>
      <c r="J256" t="s">
        <v>703</v>
      </c>
      <c r="K256" t="s">
        <v>708</v>
      </c>
      <c r="L256" t="s">
        <v>722</v>
      </c>
      <c r="M256" t="s">
        <v>732</v>
      </c>
      <c r="N256" t="s">
        <v>988</v>
      </c>
      <c r="O256" s="29">
        <v>317.25</v>
      </c>
      <c r="P256" t="str">
        <f>IF(Table1[[#This Row],[UnitPrice]]&lt;=0,"Check","OK")</f>
        <v>OK</v>
      </c>
      <c r="Q256" s="29">
        <f t="shared" si="47"/>
        <v>758.92</v>
      </c>
      <c r="R256">
        <v>758.92</v>
      </c>
      <c r="S256" s="5">
        <f>IF(Table1[[#This Row],[Discount_Flag]]="Check", MIN(MAX(Table1[[#This Row],[DiscountPct]],0),0.3), Table1[[#This Row],[DiscountPct]])</f>
        <v>5.2999999999999999E-2</v>
      </c>
      <c r="T256" t="str">
        <f>IF(OR(Table1[[#This Row],[DiscountPct]]&lt;0,Table1[[#This Row],[DiscountPct]]&gt;0.3),"Check","OK")</f>
        <v>OK</v>
      </c>
      <c r="U256" s="11">
        <v>5.2999999999999999E-2</v>
      </c>
      <c r="V256" s="15">
        <f t="shared" si="48"/>
        <v>0</v>
      </c>
      <c r="W256" s="11">
        <f t="shared" si="49"/>
        <v>0.5585762928489888</v>
      </c>
      <c r="X256" s="17">
        <f t="shared" si="50"/>
        <v>2855.25</v>
      </c>
      <c r="Y256" s="17">
        <f t="shared" si="51"/>
        <v>3613.0251599999992</v>
      </c>
      <c r="Z256" s="17">
        <f t="shared" si="52"/>
        <v>6468.2751599999992</v>
      </c>
      <c r="AA256" s="17" t="str">
        <f t="shared" si="53"/>
        <v>Q4-2024</v>
      </c>
      <c r="AB256" s="12" t="str">
        <f t="shared" si="54"/>
        <v>Oct-2024</v>
      </c>
      <c r="AC256" s="12" t="str">
        <f t="shared" si="55"/>
        <v>Medium</v>
      </c>
      <c r="AD256">
        <v>9</v>
      </c>
      <c r="AE256" s="12">
        <f>_xlfn.MINIFS(Table1[MonthDate], Table1[Country], Table1[[#This Row],[Country]])</f>
        <v>44986</v>
      </c>
      <c r="AF256" s="12">
        <f t="shared" si="56"/>
        <v>45566</v>
      </c>
      <c r="AG256">
        <f>AD256*(1 + Scenario_Control!$B$4)</f>
        <v>9.9</v>
      </c>
      <c r="AH256">
        <f>O256*(1 + Scenario_Control!$B$3)</f>
        <v>333.11250000000001</v>
      </c>
      <c r="AI256">
        <f t="shared" si="57"/>
        <v>1423.0205351999998</v>
      </c>
      <c r="AJ256">
        <f t="shared" si="58"/>
        <v>-1874.7932148000004</v>
      </c>
      <c r="AK256" s="29">
        <f>MIN(Q256*(1-U256), Scenario_Control!$B$2*Q256)</f>
        <v>151.78399999999999</v>
      </c>
      <c r="AL256" s="15">
        <f t="shared" si="59"/>
        <v>0</v>
      </c>
      <c r="AM256" s="8">
        <f>DATEDIF(Table1[[#This Row],[Country_FirstMonth]], Table1[[#This Row],[MonthDate]], "m")</f>
        <v>19</v>
      </c>
    </row>
    <row r="257" spans="1:39" x14ac:dyDescent="0.25">
      <c r="A257" t="s">
        <v>269</v>
      </c>
      <c r="B257" s="12">
        <v>45411</v>
      </c>
      <c r="C257" s="12">
        <f t="shared" si="45"/>
        <v>45431</v>
      </c>
      <c r="D257" s="2" t="str">
        <f>IF(Table1[[#This Row],[RequiredDate]]&lt;Table1[[#This Row],[OrderDate]],"Check","OK")</f>
        <v>OK</v>
      </c>
      <c r="E257" s="2">
        <v>45431</v>
      </c>
      <c r="F257" s="15">
        <f t="shared" si="46"/>
        <v>20</v>
      </c>
      <c r="G257" t="s">
        <v>649</v>
      </c>
      <c r="H257" t="s">
        <v>656</v>
      </c>
      <c r="I257" t="s">
        <v>698</v>
      </c>
      <c r="J257" t="s">
        <v>706</v>
      </c>
      <c r="K257" t="s">
        <v>709</v>
      </c>
      <c r="L257" t="s">
        <v>712</v>
      </c>
      <c r="M257" t="s">
        <v>731</v>
      </c>
      <c r="N257" t="s">
        <v>989</v>
      </c>
      <c r="O257" s="29">
        <v>668.97</v>
      </c>
      <c r="P257" t="str">
        <f>IF(Table1[[#This Row],[UnitPrice]]&lt;=0,"Check","OK")</f>
        <v>OK</v>
      </c>
      <c r="Q257" s="29">
        <f t="shared" si="47"/>
        <v>1667.44</v>
      </c>
      <c r="R257">
        <v>1667.44</v>
      </c>
      <c r="S257" s="5">
        <f>IF(Table1[[#This Row],[Discount_Flag]]="Check", MIN(MAX(Table1[[#This Row],[DiscountPct]],0),0.3), Table1[[#This Row],[DiscountPct]])</f>
        <v>3.4000000000000002E-2</v>
      </c>
      <c r="T257" t="str">
        <f>IF(OR(Table1[[#This Row],[DiscountPct]]&lt;0,Table1[[#This Row],[DiscountPct]]&gt;0.3),"Check","OK")</f>
        <v>OK</v>
      </c>
      <c r="U257" s="11">
        <v>3.4000000000000002E-2</v>
      </c>
      <c r="V257" s="15">
        <f t="shared" si="48"/>
        <v>0</v>
      </c>
      <c r="W257" s="11">
        <f t="shared" si="49"/>
        <v>0.58468339013679016</v>
      </c>
      <c r="X257" s="17">
        <f t="shared" si="50"/>
        <v>10034.550000000001</v>
      </c>
      <c r="Y257" s="17">
        <f t="shared" si="51"/>
        <v>14126.6556</v>
      </c>
      <c r="Z257" s="17">
        <f t="shared" si="52"/>
        <v>24161.205600000001</v>
      </c>
      <c r="AA257" s="17" t="str">
        <f t="shared" si="53"/>
        <v>Q2-2024</v>
      </c>
      <c r="AB257" s="12" t="str">
        <f t="shared" si="54"/>
        <v>Apr-2024</v>
      </c>
      <c r="AC257" s="12" t="str">
        <f t="shared" si="55"/>
        <v>Medium</v>
      </c>
      <c r="AD257">
        <v>15</v>
      </c>
      <c r="AE257" s="12">
        <f>_xlfn.MINIFS(Table1[MonthDate], Table1[Country], Table1[[#This Row],[Country]])</f>
        <v>44927</v>
      </c>
      <c r="AF257" s="12">
        <f t="shared" si="56"/>
        <v>45383</v>
      </c>
      <c r="AG257">
        <f>AD257*(1 + Scenario_Control!$B$4)</f>
        <v>16.5</v>
      </c>
      <c r="AH257">
        <f>O257*(1 + Scenario_Control!$B$3)</f>
        <v>702.41850000000011</v>
      </c>
      <c r="AI257">
        <f t="shared" si="57"/>
        <v>5315.4652320000005</v>
      </c>
      <c r="AJ257">
        <f t="shared" si="58"/>
        <v>-6274.4400180000011</v>
      </c>
      <c r="AK257" s="29">
        <f>MIN(Q257*(1-U257), Scenario_Control!$B$2*Q257)</f>
        <v>333.48800000000006</v>
      </c>
      <c r="AL257" s="15">
        <f t="shared" si="59"/>
        <v>0</v>
      </c>
      <c r="AM257" s="8">
        <f>DATEDIF(Table1[[#This Row],[Country_FirstMonth]], Table1[[#This Row],[MonthDate]], "m")</f>
        <v>15</v>
      </c>
    </row>
    <row r="258" spans="1:39" x14ac:dyDescent="0.25">
      <c r="A258" t="s">
        <v>270</v>
      </c>
      <c r="B258" s="12">
        <v>45204</v>
      </c>
      <c r="C258" s="12">
        <f t="shared" ref="C258:C321" si="60">IF(D258="Check",B258+7,E258)</f>
        <v>45205</v>
      </c>
      <c r="D258" s="2" t="str">
        <f>IF(Table1[[#This Row],[RequiredDate]]&lt;Table1[[#This Row],[OrderDate]],"Check","OK")</f>
        <v>OK</v>
      </c>
      <c r="E258" s="2">
        <v>45205</v>
      </c>
      <c r="F258" s="15">
        <f t="shared" ref="F258:F321" si="61">C258-B258</f>
        <v>1</v>
      </c>
      <c r="G258" t="s">
        <v>647</v>
      </c>
      <c r="H258" t="s">
        <v>654</v>
      </c>
      <c r="I258" t="s">
        <v>668</v>
      </c>
      <c r="J258" t="s">
        <v>703</v>
      </c>
      <c r="K258" t="s">
        <v>708</v>
      </c>
      <c r="L258" t="s">
        <v>714</v>
      </c>
      <c r="M258" t="s">
        <v>727</v>
      </c>
      <c r="N258" t="s">
        <v>990</v>
      </c>
      <c r="O258" s="29">
        <v>1470.26</v>
      </c>
      <c r="P258" t="str">
        <f>IF(Table1[[#This Row],[UnitPrice]]&lt;=0,"Check","OK")</f>
        <v>OK</v>
      </c>
      <c r="Q258" s="29">
        <f t="shared" ref="Q258:Q321" si="62">IF(R258&lt;0,0,R258)</f>
        <v>2562.5500000000002</v>
      </c>
      <c r="R258">
        <v>2562.5500000000002</v>
      </c>
      <c r="S258" s="5">
        <f>IF(Table1[[#This Row],[Discount_Flag]]="Check", MIN(MAX(Table1[[#This Row],[DiscountPct]],0),0.3), Table1[[#This Row],[DiscountPct]])</f>
        <v>0.17299999999999999</v>
      </c>
      <c r="T258" t="str">
        <f>IF(OR(Table1[[#This Row],[DiscountPct]]&lt;0,Table1[[#This Row],[DiscountPct]]&gt;0.3),"Check","OK")</f>
        <v>OK</v>
      </c>
      <c r="U258" s="11">
        <v>0.17299999999999999</v>
      </c>
      <c r="V258" s="15">
        <f t="shared" ref="V258:V321" si="63">IF(U258&gt;0.2,1,0)</f>
        <v>0</v>
      </c>
      <c r="W258" s="11">
        <f t="shared" ref="W258:W321" si="64">IF(Z258=0, 0, Y258/Z258)</f>
        <v>0.30622877279157462</v>
      </c>
      <c r="X258" s="17">
        <f t="shared" ref="X258:X321" si="65">O258*AD258</f>
        <v>13232.34</v>
      </c>
      <c r="Y258" s="17">
        <f t="shared" ref="Y258:Y321" si="66">Z258-X258</f>
        <v>5840.7196499999991</v>
      </c>
      <c r="Z258" s="17">
        <f t="shared" ref="Z258:Z321" si="67">Q258*AD258*(1-S258)</f>
        <v>19073.059649999999</v>
      </c>
      <c r="AA258" s="17" t="str">
        <f t="shared" ref="AA258:AA321" si="68">"Q"&amp;ROUNDUP(MONTH(B258)/3,0)&amp;"-"&amp;YEAR(B258)</f>
        <v>Q4-2023</v>
      </c>
      <c r="AB258" s="12" t="str">
        <f t="shared" ref="AB258:AB321" si="69">TEXT(B258,"MMM-YYYY")</f>
        <v>Oct-2023</v>
      </c>
      <c r="AC258" s="12" t="str">
        <f t="shared" ref="AC258:AC321" si="70">IF(Q258&lt;=$AE$639,"Low",IF(Q258&lt;=$AE$641,"Medium","High"))</f>
        <v>High</v>
      </c>
      <c r="AD258">
        <v>9</v>
      </c>
      <c r="AE258" s="12">
        <f>_xlfn.MINIFS(Table1[MonthDate], Table1[Country], Table1[[#This Row],[Country]])</f>
        <v>44927</v>
      </c>
      <c r="AF258" s="12">
        <f t="shared" ref="AF258:AF321" si="71">DATE(YEAR(B258), MONTH(B258), 1)</f>
        <v>45200</v>
      </c>
      <c r="AG258">
        <f>AD258*(1 + Scenario_Control!$B$4)</f>
        <v>9.9</v>
      </c>
      <c r="AH258">
        <f>O258*(1 + Scenario_Control!$B$3)</f>
        <v>1543.7730000000001</v>
      </c>
      <c r="AI258">
        <f t="shared" ref="AI258:AI321" si="72">AK258 * AG258 * (1 - U258)</f>
        <v>4196.073123000001</v>
      </c>
      <c r="AJ258">
        <f t="shared" ref="AJ258:AJ321" si="73">AI258 - (AH258 * AG258)</f>
        <v>-11087.279577000001</v>
      </c>
      <c r="AK258" s="29">
        <f>MIN(Q258*(1-U258), Scenario_Control!$B$2*Q258)</f>
        <v>512.5100000000001</v>
      </c>
      <c r="AL258" s="15">
        <f t="shared" ref="AL258:AL321" si="74">IF(F258&lt;=7,1,0)</f>
        <v>1</v>
      </c>
      <c r="AM258" s="8">
        <f>DATEDIF(Table1[[#This Row],[Country_FirstMonth]], Table1[[#This Row],[MonthDate]], "m")</f>
        <v>9</v>
      </c>
    </row>
    <row r="259" spans="1:39" x14ac:dyDescent="0.25">
      <c r="A259" t="s">
        <v>271</v>
      </c>
      <c r="B259" s="12">
        <v>45035</v>
      </c>
      <c r="C259" s="12">
        <f t="shared" si="60"/>
        <v>45053</v>
      </c>
      <c r="D259" s="2" t="str">
        <f>IF(Table1[[#This Row],[RequiredDate]]&lt;Table1[[#This Row],[OrderDate]],"Check","OK")</f>
        <v>OK</v>
      </c>
      <c r="E259" s="2">
        <v>45053</v>
      </c>
      <c r="F259" s="15">
        <f t="shared" si="61"/>
        <v>18</v>
      </c>
      <c r="G259" t="s">
        <v>649</v>
      </c>
      <c r="H259" t="s">
        <v>658</v>
      </c>
      <c r="I259" t="s">
        <v>683</v>
      </c>
      <c r="J259" t="s">
        <v>703</v>
      </c>
      <c r="K259" t="s">
        <v>711</v>
      </c>
      <c r="L259" t="s">
        <v>722</v>
      </c>
      <c r="M259" t="s">
        <v>729</v>
      </c>
      <c r="N259" t="s">
        <v>991</v>
      </c>
      <c r="O259" s="29">
        <v>516.96</v>
      </c>
      <c r="P259" t="str">
        <f>IF(Table1[[#This Row],[UnitPrice]]&lt;=0,"Check","OK")</f>
        <v>OK</v>
      </c>
      <c r="Q259" s="29">
        <f t="shared" si="62"/>
        <v>745.38</v>
      </c>
      <c r="R259">
        <v>745.38</v>
      </c>
      <c r="S259" s="5">
        <f>IF(Table1[[#This Row],[Discount_Flag]]="Check", MIN(MAX(Table1[[#This Row],[DiscountPct]],0),0.3), Table1[[#This Row],[DiscountPct]])</f>
        <v>0.19700000000000001</v>
      </c>
      <c r="T259" t="str">
        <f>IF(OR(Table1[[#This Row],[DiscountPct]]&lt;0,Table1[[#This Row],[DiscountPct]]&gt;0.3),"Check","OK")</f>
        <v>OK</v>
      </c>
      <c r="U259" s="11">
        <v>0.19700000000000001</v>
      </c>
      <c r="V259" s="15">
        <f t="shared" si="63"/>
        <v>0</v>
      </c>
      <c r="W259" s="11">
        <f t="shared" si="64"/>
        <v>0.13629852794835101</v>
      </c>
      <c r="X259" s="17">
        <f t="shared" si="65"/>
        <v>2067.84</v>
      </c>
      <c r="Y259" s="17">
        <f t="shared" si="66"/>
        <v>326.32055999999966</v>
      </c>
      <c r="Z259" s="17">
        <f t="shared" si="67"/>
        <v>2394.1605599999998</v>
      </c>
      <c r="AA259" s="17" t="str">
        <f t="shared" si="68"/>
        <v>Q2-2023</v>
      </c>
      <c r="AB259" s="12" t="str">
        <f t="shared" si="69"/>
        <v>Apr-2023</v>
      </c>
      <c r="AC259" s="12" t="str">
        <f t="shared" si="70"/>
        <v>Medium</v>
      </c>
      <c r="AD259">
        <v>4</v>
      </c>
      <c r="AE259" s="12">
        <f>_xlfn.MINIFS(Table1[MonthDate], Table1[Country], Table1[[#This Row],[Country]])</f>
        <v>44927</v>
      </c>
      <c r="AF259" s="12">
        <f t="shared" si="71"/>
        <v>45017</v>
      </c>
      <c r="AG259">
        <f>AD259*(1 + Scenario_Control!$B$4)</f>
        <v>4.4000000000000004</v>
      </c>
      <c r="AH259">
        <f>O259*(1 + Scenario_Control!$B$3)</f>
        <v>542.80800000000011</v>
      </c>
      <c r="AI259">
        <f t="shared" si="72"/>
        <v>526.71532319999994</v>
      </c>
      <c r="AJ259">
        <f t="shared" si="73"/>
        <v>-1861.6398768000008</v>
      </c>
      <c r="AK259" s="29">
        <f>MIN(Q259*(1-U259), Scenario_Control!$B$2*Q259)</f>
        <v>149.07599999999999</v>
      </c>
      <c r="AL259" s="15">
        <f t="shared" si="74"/>
        <v>0</v>
      </c>
      <c r="AM259" s="8">
        <f>DATEDIF(Table1[[#This Row],[Country_FirstMonth]], Table1[[#This Row],[MonthDate]], "m")</f>
        <v>3</v>
      </c>
    </row>
    <row r="260" spans="1:39" x14ac:dyDescent="0.25">
      <c r="A260" t="s">
        <v>272</v>
      </c>
      <c r="B260" s="12">
        <v>45835</v>
      </c>
      <c r="C260" s="12">
        <f t="shared" si="60"/>
        <v>45843</v>
      </c>
      <c r="D260" s="2" t="str">
        <f>IF(Table1[[#This Row],[RequiredDate]]&lt;Table1[[#This Row],[OrderDate]],"Check","OK")</f>
        <v>OK</v>
      </c>
      <c r="E260" s="2">
        <v>45843</v>
      </c>
      <c r="F260" s="15">
        <f t="shared" si="61"/>
        <v>8</v>
      </c>
      <c r="G260" t="s">
        <v>649</v>
      </c>
      <c r="H260" t="s">
        <v>656</v>
      </c>
      <c r="I260" t="s">
        <v>684</v>
      </c>
      <c r="J260" t="s">
        <v>705</v>
      </c>
      <c r="K260" t="s">
        <v>711</v>
      </c>
      <c r="L260" t="s">
        <v>715</v>
      </c>
      <c r="M260" t="s">
        <v>732</v>
      </c>
      <c r="N260" t="s">
        <v>992</v>
      </c>
      <c r="O260" s="29">
        <v>314.93</v>
      </c>
      <c r="P260" t="str">
        <f>IF(Table1[[#This Row],[UnitPrice]]&lt;=0,"Check","OK")</f>
        <v>OK</v>
      </c>
      <c r="Q260" s="29">
        <f t="shared" si="62"/>
        <v>687.95</v>
      </c>
      <c r="R260">
        <v>687.95</v>
      </c>
      <c r="S260" s="5">
        <f>IF(Table1[[#This Row],[Discount_Flag]]="Check", MIN(MAX(Table1[[#This Row],[DiscountPct]],0),0.3), Table1[[#This Row],[DiscountPct]])</f>
        <v>0.20499999999999999</v>
      </c>
      <c r="T260" t="str">
        <f>IF(OR(Table1[[#This Row],[DiscountPct]]&lt;0,Table1[[#This Row],[DiscountPct]]&gt;0.3),"Check","OK")</f>
        <v>OK</v>
      </c>
      <c r="U260" s="11">
        <v>0.20499999999999999</v>
      </c>
      <c r="V260" s="15">
        <f t="shared" si="63"/>
        <v>1</v>
      </c>
      <c r="W260" s="11">
        <f t="shared" si="64"/>
        <v>0.424175645352316</v>
      </c>
      <c r="X260" s="17">
        <f t="shared" si="65"/>
        <v>2519.44</v>
      </c>
      <c r="Y260" s="17">
        <f t="shared" si="66"/>
        <v>1855.922</v>
      </c>
      <c r="Z260" s="17">
        <f t="shared" si="67"/>
        <v>4375.3620000000001</v>
      </c>
      <c r="AA260" s="17" t="str">
        <f t="shared" si="68"/>
        <v>Q2-2025</v>
      </c>
      <c r="AB260" s="12" t="str">
        <f t="shared" si="69"/>
        <v>Jun-2025</v>
      </c>
      <c r="AC260" s="12" t="str">
        <f t="shared" si="70"/>
        <v>Medium</v>
      </c>
      <c r="AD260">
        <v>8</v>
      </c>
      <c r="AE260" s="12">
        <f>_xlfn.MINIFS(Table1[MonthDate], Table1[Country], Table1[[#This Row],[Country]])</f>
        <v>44927</v>
      </c>
      <c r="AF260" s="12">
        <f t="shared" si="71"/>
        <v>45809</v>
      </c>
      <c r="AG260">
        <f>AD260*(1 + Scenario_Control!$B$4)</f>
        <v>8.8000000000000007</v>
      </c>
      <c r="AH260">
        <f>O260*(1 + Scenario_Control!$B$3)</f>
        <v>330.67650000000003</v>
      </c>
      <c r="AI260">
        <f t="shared" si="72"/>
        <v>962.57964000000015</v>
      </c>
      <c r="AJ260">
        <f t="shared" si="73"/>
        <v>-1947.3735600000002</v>
      </c>
      <c r="AK260" s="29">
        <f>MIN(Q260*(1-U260), Scenario_Control!$B$2*Q260)</f>
        <v>137.59</v>
      </c>
      <c r="AL260" s="15">
        <f t="shared" si="74"/>
        <v>0</v>
      </c>
      <c r="AM260" s="8">
        <f>DATEDIF(Table1[[#This Row],[Country_FirstMonth]], Table1[[#This Row],[MonthDate]], "m")</f>
        <v>29</v>
      </c>
    </row>
    <row r="261" spans="1:39" x14ac:dyDescent="0.25">
      <c r="A261" t="s">
        <v>273</v>
      </c>
      <c r="B261" s="12">
        <v>45210</v>
      </c>
      <c r="C261" s="12">
        <f t="shared" si="60"/>
        <v>45212</v>
      </c>
      <c r="D261" s="2" t="str">
        <f>IF(Table1[[#This Row],[RequiredDate]]&lt;Table1[[#This Row],[OrderDate]],"Check","OK")</f>
        <v>OK</v>
      </c>
      <c r="E261" s="2">
        <v>45212</v>
      </c>
      <c r="F261" s="15">
        <f t="shared" si="61"/>
        <v>2</v>
      </c>
      <c r="G261" t="s">
        <v>648</v>
      </c>
      <c r="H261" t="s">
        <v>655</v>
      </c>
      <c r="I261" t="s">
        <v>672</v>
      </c>
      <c r="J261" t="s">
        <v>704</v>
      </c>
      <c r="K261" t="s">
        <v>710</v>
      </c>
      <c r="L261" t="s">
        <v>1430</v>
      </c>
      <c r="M261" t="s">
        <v>733</v>
      </c>
      <c r="N261" t="s">
        <v>993</v>
      </c>
      <c r="O261" s="29">
        <v>715.94</v>
      </c>
      <c r="P261" t="str">
        <f>IF(Table1[[#This Row],[UnitPrice]]&lt;=0,"Check","OK")</f>
        <v>OK</v>
      </c>
      <c r="Q261" s="29">
        <f t="shared" si="62"/>
        <v>550.07000000000005</v>
      </c>
      <c r="R261">
        <v>550.07000000000005</v>
      </c>
      <c r="S261" s="5">
        <f>IF(Table1[[#This Row],[Discount_Flag]]="Check", MIN(MAX(Table1[[#This Row],[DiscountPct]],0),0.3), Table1[[#This Row],[DiscountPct]])</f>
        <v>0.14000000000000001</v>
      </c>
      <c r="T261" t="str">
        <f>IF(OR(Table1[[#This Row],[DiscountPct]]&lt;0,Table1[[#This Row],[DiscountPct]]&gt;0.3),"Check","OK")</f>
        <v>OK</v>
      </c>
      <c r="U261" s="11">
        <v>0.14000000000000001</v>
      </c>
      <c r="V261" s="15">
        <f t="shared" si="63"/>
        <v>0</v>
      </c>
      <c r="W261" s="11">
        <f t="shared" si="64"/>
        <v>-0.51342260456491595</v>
      </c>
      <c r="X261" s="17">
        <f t="shared" si="65"/>
        <v>11455.04</v>
      </c>
      <c r="Y261" s="17">
        <f t="shared" si="66"/>
        <v>-3886.0768000000007</v>
      </c>
      <c r="Z261" s="17">
        <f t="shared" si="67"/>
        <v>7568.9632000000001</v>
      </c>
      <c r="AA261" s="17" t="str">
        <f t="shared" si="68"/>
        <v>Q4-2023</v>
      </c>
      <c r="AB261" s="12" t="str">
        <f t="shared" si="69"/>
        <v>Oct-2023</v>
      </c>
      <c r="AC261" s="12" t="str">
        <f t="shared" si="70"/>
        <v>Low</v>
      </c>
      <c r="AD261">
        <v>16</v>
      </c>
      <c r="AE261" s="12">
        <f>_xlfn.MINIFS(Table1[MonthDate], Table1[Country], Table1[[#This Row],[Country]])</f>
        <v>44927</v>
      </c>
      <c r="AF261" s="12">
        <f t="shared" si="71"/>
        <v>45200</v>
      </c>
      <c r="AG261">
        <f>AD261*(1 + Scenario_Control!$B$4)</f>
        <v>17.600000000000001</v>
      </c>
      <c r="AH261">
        <f>O261*(1 + Scenario_Control!$B$3)</f>
        <v>751.73700000000008</v>
      </c>
      <c r="AI261">
        <f t="shared" si="72"/>
        <v>1665.1719040000003</v>
      </c>
      <c r="AJ261">
        <f t="shared" si="73"/>
        <v>-11565.399296000001</v>
      </c>
      <c r="AK261" s="29">
        <f>MIN(Q261*(1-U261), Scenario_Control!$B$2*Q261)</f>
        <v>110.01400000000001</v>
      </c>
      <c r="AL261" s="15">
        <f t="shared" si="74"/>
        <v>1</v>
      </c>
      <c r="AM261" s="8">
        <f>DATEDIF(Table1[[#This Row],[Country_FirstMonth]], Table1[[#This Row],[MonthDate]], "m")</f>
        <v>9</v>
      </c>
    </row>
    <row r="262" spans="1:39" x14ac:dyDescent="0.25">
      <c r="A262" t="s">
        <v>274</v>
      </c>
      <c r="B262" s="12">
        <v>45066</v>
      </c>
      <c r="C262" s="12">
        <f t="shared" si="60"/>
        <v>45084</v>
      </c>
      <c r="D262" s="2" t="str">
        <f>IF(Table1[[#This Row],[RequiredDate]]&lt;Table1[[#This Row],[OrderDate]],"Check","OK")</f>
        <v>OK</v>
      </c>
      <c r="E262" s="2">
        <v>45084</v>
      </c>
      <c r="F262" s="15">
        <f t="shared" si="61"/>
        <v>18</v>
      </c>
      <c r="G262" t="s">
        <v>646</v>
      </c>
      <c r="H262" t="s">
        <v>651</v>
      </c>
      <c r="I262" t="s">
        <v>663</v>
      </c>
      <c r="J262" t="s">
        <v>706</v>
      </c>
      <c r="K262" t="s">
        <v>710</v>
      </c>
      <c r="L262" t="s">
        <v>718</v>
      </c>
      <c r="M262" t="s">
        <v>727</v>
      </c>
      <c r="N262" t="s">
        <v>994</v>
      </c>
      <c r="O262" s="29">
        <v>1120.06</v>
      </c>
      <c r="P262" t="str">
        <f>IF(Table1[[#This Row],[UnitPrice]]&lt;=0,"Check","OK")</f>
        <v>OK</v>
      </c>
      <c r="Q262" s="29">
        <f t="shared" si="62"/>
        <v>2068.21</v>
      </c>
      <c r="R262">
        <v>2068.21</v>
      </c>
      <c r="S262" s="5">
        <f>IF(Table1[[#This Row],[Discount_Flag]]="Check", MIN(MAX(Table1[[#This Row],[DiscountPct]],0),0.3), Table1[[#This Row],[DiscountPct]])</f>
        <v>7.8E-2</v>
      </c>
      <c r="T262" t="str">
        <f>IF(OR(Table1[[#This Row],[DiscountPct]]&lt;0,Table1[[#This Row],[DiscountPct]]&gt;0.3),"Check","OK")</f>
        <v>OK</v>
      </c>
      <c r="U262" s="11">
        <v>7.8E-2</v>
      </c>
      <c r="V262" s="15">
        <f t="shared" si="63"/>
        <v>0</v>
      </c>
      <c r="W262" s="11">
        <f t="shared" si="64"/>
        <v>0.41262462795303284</v>
      </c>
      <c r="X262" s="17">
        <f t="shared" si="65"/>
        <v>13440.72</v>
      </c>
      <c r="Y262" s="17">
        <f t="shared" si="66"/>
        <v>9441.9554400000034</v>
      </c>
      <c r="Z262" s="17">
        <f t="shared" si="67"/>
        <v>22882.675440000003</v>
      </c>
      <c r="AA262" s="17" t="str">
        <f t="shared" si="68"/>
        <v>Q2-2023</v>
      </c>
      <c r="AB262" s="12" t="str">
        <f t="shared" si="69"/>
        <v>May-2023</v>
      </c>
      <c r="AC262" s="12" t="str">
        <f t="shared" si="70"/>
        <v>High</v>
      </c>
      <c r="AD262">
        <v>12</v>
      </c>
      <c r="AE262" s="12">
        <f>_xlfn.MINIFS(Table1[MonthDate], Table1[Country], Table1[[#This Row],[Country]])</f>
        <v>44927</v>
      </c>
      <c r="AF262" s="12">
        <f t="shared" si="71"/>
        <v>45047</v>
      </c>
      <c r="AG262">
        <f>AD262*(1 + Scenario_Control!$B$4)</f>
        <v>13.200000000000001</v>
      </c>
      <c r="AH262">
        <f>O262*(1 + Scenario_Control!$B$3)</f>
        <v>1176.0630000000001</v>
      </c>
      <c r="AI262">
        <f t="shared" si="72"/>
        <v>5034.1885968000015</v>
      </c>
      <c r="AJ262">
        <f t="shared" si="73"/>
        <v>-10489.8430032</v>
      </c>
      <c r="AK262" s="29">
        <f>MIN(Q262*(1-U262), Scenario_Control!$B$2*Q262)</f>
        <v>413.64200000000005</v>
      </c>
      <c r="AL262" s="15">
        <f t="shared" si="74"/>
        <v>0</v>
      </c>
      <c r="AM262" s="8">
        <f>DATEDIF(Table1[[#This Row],[Country_FirstMonth]], Table1[[#This Row],[MonthDate]], "m")</f>
        <v>4</v>
      </c>
    </row>
    <row r="263" spans="1:39" x14ac:dyDescent="0.25">
      <c r="A263" t="s">
        <v>275</v>
      </c>
      <c r="B263" s="12">
        <v>45073</v>
      </c>
      <c r="C263" s="12">
        <f t="shared" si="60"/>
        <v>45096</v>
      </c>
      <c r="D263" s="2" t="str">
        <f>IF(Table1[[#This Row],[RequiredDate]]&lt;Table1[[#This Row],[OrderDate]],"Check","OK")</f>
        <v>OK</v>
      </c>
      <c r="E263" s="2">
        <v>45096</v>
      </c>
      <c r="F263" s="15">
        <f t="shared" si="61"/>
        <v>23</v>
      </c>
      <c r="G263" t="s">
        <v>649</v>
      </c>
      <c r="H263" t="s">
        <v>656</v>
      </c>
      <c r="I263" t="s">
        <v>671</v>
      </c>
      <c r="J263" t="s">
        <v>702</v>
      </c>
      <c r="K263" t="s">
        <v>707</v>
      </c>
      <c r="L263" t="s">
        <v>719</v>
      </c>
      <c r="M263" t="s">
        <v>733</v>
      </c>
      <c r="N263" t="s">
        <v>995</v>
      </c>
      <c r="O263" s="29">
        <v>1471.58</v>
      </c>
      <c r="P263" t="str">
        <f>IF(Table1[[#This Row],[UnitPrice]]&lt;=0,"Check","OK")</f>
        <v>OK</v>
      </c>
      <c r="Q263" s="29">
        <f t="shared" si="62"/>
        <v>2576.65</v>
      </c>
      <c r="R263">
        <v>2576.65</v>
      </c>
      <c r="S263" s="5">
        <f>IF(Table1[[#This Row],[Discount_Flag]]="Check", MIN(MAX(Table1[[#This Row],[DiscountPct]],0),0.3), Table1[[#This Row],[DiscountPct]])</f>
        <v>4.0000000000000001E-3</v>
      </c>
      <c r="T263" t="str">
        <f>IF(OR(Table1[[#This Row],[DiscountPct]]&lt;0,Table1[[#This Row],[DiscountPct]]&gt;0.3),"Check","OK")</f>
        <v>OK</v>
      </c>
      <c r="U263" s="11">
        <v>4.0000000000000001E-3</v>
      </c>
      <c r="V263" s="15">
        <f t="shared" si="63"/>
        <v>0</v>
      </c>
      <c r="W263" s="11">
        <f t="shared" si="64"/>
        <v>0.4265849223451546</v>
      </c>
      <c r="X263" s="17">
        <f t="shared" si="65"/>
        <v>10301.06</v>
      </c>
      <c r="Y263" s="17">
        <f t="shared" si="66"/>
        <v>7663.3438000000006</v>
      </c>
      <c r="Z263" s="17">
        <f t="shared" si="67"/>
        <v>17964.4038</v>
      </c>
      <c r="AA263" s="17" t="str">
        <f t="shared" si="68"/>
        <v>Q2-2023</v>
      </c>
      <c r="AB263" s="12" t="str">
        <f t="shared" si="69"/>
        <v>May-2023</v>
      </c>
      <c r="AC263" s="12" t="str">
        <f t="shared" si="70"/>
        <v>High</v>
      </c>
      <c r="AD263">
        <v>7</v>
      </c>
      <c r="AE263" s="12">
        <f>_xlfn.MINIFS(Table1[MonthDate], Table1[Country], Table1[[#This Row],[Country]])</f>
        <v>44927</v>
      </c>
      <c r="AF263" s="12">
        <f t="shared" si="71"/>
        <v>45047</v>
      </c>
      <c r="AG263">
        <f>AD263*(1 + Scenario_Control!$B$4)</f>
        <v>7.7000000000000011</v>
      </c>
      <c r="AH263">
        <f>O263*(1 + Scenario_Control!$B$3)</f>
        <v>1545.1589999999999</v>
      </c>
      <c r="AI263">
        <f t="shared" si="72"/>
        <v>3952.1688360000012</v>
      </c>
      <c r="AJ263">
        <f t="shared" si="73"/>
        <v>-7945.5554639999991</v>
      </c>
      <c r="AK263" s="29">
        <f>MIN(Q263*(1-U263), Scenario_Control!$B$2*Q263)</f>
        <v>515.33000000000004</v>
      </c>
      <c r="AL263" s="15">
        <f t="shared" si="74"/>
        <v>0</v>
      </c>
      <c r="AM263" s="8">
        <f>DATEDIF(Table1[[#This Row],[Country_FirstMonth]], Table1[[#This Row],[MonthDate]], "m")</f>
        <v>4</v>
      </c>
    </row>
    <row r="264" spans="1:39" x14ac:dyDescent="0.25">
      <c r="A264" t="s">
        <v>276</v>
      </c>
      <c r="B264" s="12">
        <v>45142</v>
      </c>
      <c r="C264" s="12">
        <f t="shared" si="60"/>
        <v>45162</v>
      </c>
      <c r="D264" s="2" t="str">
        <f>IF(Table1[[#This Row],[RequiredDate]]&lt;Table1[[#This Row],[OrderDate]],"Check","OK")</f>
        <v>OK</v>
      </c>
      <c r="E264" s="2">
        <v>45162</v>
      </c>
      <c r="F264" s="15">
        <f t="shared" si="61"/>
        <v>20</v>
      </c>
      <c r="G264" t="s">
        <v>648</v>
      </c>
      <c r="H264" t="s">
        <v>655</v>
      </c>
      <c r="I264" t="s">
        <v>672</v>
      </c>
      <c r="J264" t="s">
        <v>703</v>
      </c>
      <c r="K264" t="s">
        <v>711</v>
      </c>
      <c r="L264" t="s">
        <v>1430</v>
      </c>
      <c r="M264" t="s">
        <v>729</v>
      </c>
      <c r="N264" t="s">
        <v>996</v>
      </c>
      <c r="O264" s="29">
        <v>582.88</v>
      </c>
      <c r="P264" t="str">
        <f>IF(Table1[[#This Row],[UnitPrice]]&lt;=0,"Check","OK")</f>
        <v>OK</v>
      </c>
      <c r="Q264" s="29">
        <f t="shared" si="62"/>
        <v>1044.1400000000001</v>
      </c>
      <c r="R264">
        <v>1044.1400000000001</v>
      </c>
      <c r="S264" s="5">
        <f>IF(Table1[[#This Row],[Discount_Flag]]="Check", MIN(MAX(Table1[[#This Row],[DiscountPct]],0),0.3), Table1[[#This Row],[DiscountPct]])</f>
        <v>0.216</v>
      </c>
      <c r="T264" t="str">
        <f>IF(OR(Table1[[#This Row],[DiscountPct]]&lt;0,Table1[[#This Row],[DiscountPct]]&gt;0.3),"Check","OK")</f>
        <v>OK</v>
      </c>
      <c r="U264" s="11">
        <v>0.216</v>
      </c>
      <c r="V264" s="15">
        <f t="shared" si="63"/>
        <v>1</v>
      </c>
      <c r="W264" s="11">
        <f t="shared" si="64"/>
        <v>0.28796005539956138</v>
      </c>
      <c r="X264" s="17">
        <f t="shared" si="65"/>
        <v>5828.8</v>
      </c>
      <c r="Y264" s="17">
        <f t="shared" si="66"/>
        <v>2357.2576000000008</v>
      </c>
      <c r="Z264" s="17">
        <f t="shared" si="67"/>
        <v>8186.057600000001</v>
      </c>
      <c r="AA264" s="17" t="str">
        <f t="shared" si="68"/>
        <v>Q3-2023</v>
      </c>
      <c r="AB264" s="12" t="str">
        <f t="shared" si="69"/>
        <v>Aug-2023</v>
      </c>
      <c r="AC264" s="12" t="str">
        <f t="shared" si="70"/>
        <v>Medium</v>
      </c>
      <c r="AD264">
        <v>10</v>
      </c>
      <c r="AE264" s="12">
        <f>_xlfn.MINIFS(Table1[MonthDate], Table1[Country], Table1[[#This Row],[Country]])</f>
        <v>44927</v>
      </c>
      <c r="AF264" s="12">
        <f t="shared" si="71"/>
        <v>45139</v>
      </c>
      <c r="AG264">
        <f>AD264*(1 + Scenario_Control!$B$4)</f>
        <v>11</v>
      </c>
      <c r="AH264">
        <f>O264*(1 + Scenario_Control!$B$3)</f>
        <v>612.024</v>
      </c>
      <c r="AI264">
        <f t="shared" si="72"/>
        <v>1800.9326720000001</v>
      </c>
      <c r="AJ264">
        <f t="shared" si="73"/>
        <v>-4931.3313280000002</v>
      </c>
      <c r="AK264" s="29">
        <f>MIN(Q264*(1-U264), Scenario_Control!$B$2*Q264)</f>
        <v>208.82800000000003</v>
      </c>
      <c r="AL264" s="15">
        <f t="shared" si="74"/>
        <v>0</v>
      </c>
      <c r="AM264" s="8">
        <f>DATEDIF(Table1[[#This Row],[Country_FirstMonth]], Table1[[#This Row],[MonthDate]], "m")</f>
        <v>7</v>
      </c>
    </row>
    <row r="265" spans="1:39" x14ac:dyDescent="0.25">
      <c r="A265" t="s">
        <v>277</v>
      </c>
      <c r="B265" s="12">
        <v>45829</v>
      </c>
      <c r="C265" s="12">
        <f t="shared" si="60"/>
        <v>45835</v>
      </c>
      <c r="D265" s="2" t="str">
        <f>IF(Table1[[#This Row],[RequiredDate]]&lt;Table1[[#This Row],[OrderDate]],"Check","OK")</f>
        <v>OK</v>
      </c>
      <c r="E265" s="2">
        <v>45835</v>
      </c>
      <c r="F265" s="15">
        <f t="shared" si="61"/>
        <v>6</v>
      </c>
      <c r="G265" t="s">
        <v>646</v>
      </c>
      <c r="H265" t="s">
        <v>661</v>
      </c>
      <c r="I265" t="s">
        <v>687</v>
      </c>
      <c r="J265" t="s">
        <v>706</v>
      </c>
      <c r="K265" t="s">
        <v>710</v>
      </c>
      <c r="L265" t="s">
        <v>725</v>
      </c>
      <c r="M265" t="s">
        <v>730</v>
      </c>
      <c r="N265" t="s">
        <v>997</v>
      </c>
      <c r="O265" s="29">
        <v>93.91</v>
      </c>
      <c r="P265" t="str">
        <f>IF(Table1[[#This Row],[UnitPrice]]&lt;=0,"Check","OK")</f>
        <v>OK</v>
      </c>
      <c r="Q265" s="29">
        <f t="shared" si="62"/>
        <v>99.04</v>
      </c>
      <c r="R265">
        <v>99.04</v>
      </c>
      <c r="S265" s="5">
        <f>IF(Table1[[#This Row],[Discount_Flag]]="Check", MIN(MAX(Table1[[#This Row],[DiscountPct]],0),0.3), Table1[[#This Row],[DiscountPct]])</f>
        <v>5.7000000000000002E-2</v>
      </c>
      <c r="T265" t="str">
        <f>IF(OR(Table1[[#This Row],[DiscountPct]]&lt;0,Table1[[#This Row],[DiscountPct]]&gt;0.3),"Check","OK")</f>
        <v>OK</v>
      </c>
      <c r="U265" s="11">
        <v>5.7000000000000002E-2</v>
      </c>
      <c r="V265" s="15">
        <f t="shared" si="63"/>
        <v>0</v>
      </c>
      <c r="W265" s="11">
        <f t="shared" si="64"/>
        <v>-5.5172283829323376E-3</v>
      </c>
      <c r="X265" s="17">
        <f t="shared" si="65"/>
        <v>563.46</v>
      </c>
      <c r="Y265" s="17">
        <f t="shared" si="66"/>
        <v>-3.0916800000001103</v>
      </c>
      <c r="Z265" s="17">
        <f t="shared" si="67"/>
        <v>560.36831999999993</v>
      </c>
      <c r="AA265" s="17" t="str">
        <f t="shared" si="68"/>
        <v>Q2-2025</v>
      </c>
      <c r="AB265" s="12" t="str">
        <f t="shared" si="69"/>
        <v>Jun-2025</v>
      </c>
      <c r="AC265" s="12" t="str">
        <f t="shared" si="70"/>
        <v>Low</v>
      </c>
      <c r="AD265">
        <v>6</v>
      </c>
      <c r="AE265" s="12">
        <f>_xlfn.MINIFS(Table1[MonthDate], Table1[Country], Table1[[#This Row],[Country]])</f>
        <v>44927</v>
      </c>
      <c r="AF265" s="12">
        <f t="shared" si="71"/>
        <v>45809</v>
      </c>
      <c r="AG265">
        <f>AD265*(1 + Scenario_Control!$B$4)</f>
        <v>6.6000000000000005</v>
      </c>
      <c r="AH265">
        <f>O265*(1 + Scenario_Control!$B$3)</f>
        <v>98.605500000000006</v>
      </c>
      <c r="AI265">
        <f t="shared" si="72"/>
        <v>123.28103040000002</v>
      </c>
      <c r="AJ265">
        <f t="shared" si="73"/>
        <v>-527.51526960000001</v>
      </c>
      <c r="AK265" s="29">
        <f>MIN(Q265*(1-U265), Scenario_Control!$B$2*Q265)</f>
        <v>19.808000000000003</v>
      </c>
      <c r="AL265" s="15">
        <f t="shared" si="74"/>
        <v>1</v>
      </c>
      <c r="AM265" s="8">
        <f>DATEDIF(Table1[[#This Row],[Country_FirstMonth]], Table1[[#This Row],[MonthDate]], "m")</f>
        <v>29</v>
      </c>
    </row>
    <row r="266" spans="1:39" x14ac:dyDescent="0.25">
      <c r="A266" t="s">
        <v>278</v>
      </c>
      <c r="B266" s="12">
        <v>45763</v>
      </c>
      <c r="C266" s="12">
        <f t="shared" si="60"/>
        <v>45773</v>
      </c>
      <c r="D266" s="2" t="str">
        <f>IF(Table1[[#This Row],[RequiredDate]]&lt;Table1[[#This Row],[OrderDate]],"Check","OK")</f>
        <v>OK</v>
      </c>
      <c r="E266" s="2">
        <v>45773</v>
      </c>
      <c r="F266" s="15">
        <f t="shared" si="61"/>
        <v>10</v>
      </c>
      <c r="G266" t="s">
        <v>646</v>
      </c>
      <c r="H266" t="s">
        <v>651</v>
      </c>
      <c r="I266" t="s">
        <v>663</v>
      </c>
      <c r="J266" t="s">
        <v>706</v>
      </c>
      <c r="K266" t="s">
        <v>709</v>
      </c>
      <c r="L266" t="s">
        <v>721</v>
      </c>
      <c r="M266" t="s">
        <v>731</v>
      </c>
      <c r="N266" t="s">
        <v>998</v>
      </c>
      <c r="O266" s="29">
        <v>1457.44</v>
      </c>
      <c r="P266" t="str">
        <f>IF(Table1[[#This Row],[UnitPrice]]&lt;=0,"Check","OK")</f>
        <v>OK</v>
      </c>
      <c r="Q266" s="29">
        <f t="shared" si="62"/>
        <v>1996.81</v>
      </c>
      <c r="R266">
        <v>1996.81</v>
      </c>
      <c r="S266" s="5">
        <f>IF(Table1[[#This Row],[Discount_Flag]]="Check", MIN(MAX(Table1[[#This Row],[DiscountPct]],0),0.3), Table1[[#This Row],[DiscountPct]])</f>
        <v>0.126</v>
      </c>
      <c r="T266" t="str">
        <f>IF(OR(Table1[[#This Row],[DiscountPct]]&lt;0,Table1[[#This Row],[DiscountPct]]&gt;0.3),"Check","OK")</f>
        <v>OK</v>
      </c>
      <c r="U266" s="11">
        <v>0.126</v>
      </c>
      <c r="V266" s="15">
        <f t="shared" si="63"/>
        <v>0</v>
      </c>
      <c r="W266" s="11">
        <f t="shared" si="64"/>
        <v>0.16489225944672353</v>
      </c>
      <c r="X266" s="17">
        <f t="shared" si="65"/>
        <v>33521.120000000003</v>
      </c>
      <c r="Y266" s="17">
        <f t="shared" si="66"/>
        <v>6618.7546199999924</v>
      </c>
      <c r="Z266" s="17">
        <f t="shared" si="67"/>
        <v>40139.874619999995</v>
      </c>
      <c r="AA266" s="17" t="str">
        <f t="shared" si="68"/>
        <v>Q2-2025</v>
      </c>
      <c r="AB266" s="12" t="str">
        <f t="shared" si="69"/>
        <v>Apr-2025</v>
      </c>
      <c r="AC266" s="12" t="str">
        <f t="shared" si="70"/>
        <v>High</v>
      </c>
      <c r="AD266">
        <v>23</v>
      </c>
      <c r="AE266" s="12">
        <f>_xlfn.MINIFS(Table1[MonthDate], Table1[Country], Table1[[#This Row],[Country]])</f>
        <v>44927</v>
      </c>
      <c r="AF266" s="12">
        <f t="shared" si="71"/>
        <v>45748</v>
      </c>
      <c r="AG266">
        <f>AD266*(1 + Scenario_Control!$B$4)</f>
        <v>25.3</v>
      </c>
      <c r="AH266">
        <f>O266*(1 + Scenario_Control!$B$3)</f>
        <v>1530.3120000000001</v>
      </c>
      <c r="AI266">
        <f t="shared" si="72"/>
        <v>8830.772416400001</v>
      </c>
      <c r="AJ266">
        <f t="shared" si="73"/>
        <v>-29886.1211836</v>
      </c>
      <c r="AK266" s="29">
        <f>MIN(Q266*(1-U266), Scenario_Control!$B$2*Q266)</f>
        <v>399.36200000000002</v>
      </c>
      <c r="AL266" s="15">
        <f t="shared" si="74"/>
        <v>0</v>
      </c>
      <c r="AM266" s="8">
        <f>DATEDIF(Table1[[#This Row],[Country_FirstMonth]], Table1[[#This Row],[MonthDate]], "m")</f>
        <v>27</v>
      </c>
    </row>
    <row r="267" spans="1:39" x14ac:dyDescent="0.25">
      <c r="A267" t="s">
        <v>279</v>
      </c>
      <c r="B267" s="12">
        <v>45902</v>
      </c>
      <c r="C267" s="12">
        <f t="shared" si="60"/>
        <v>45911</v>
      </c>
      <c r="D267" s="2" t="str">
        <f>IF(Table1[[#This Row],[RequiredDate]]&lt;Table1[[#This Row],[OrderDate]],"Check","OK")</f>
        <v>OK</v>
      </c>
      <c r="E267" s="2">
        <v>45911</v>
      </c>
      <c r="F267" s="15">
        <f t="shared" si="61"/>
        <v>9</v>
      </c>
      <c r="G267" t="s">
        <v>648</v>
      </c>
      <c r="H267" t="s">
        <v>653</v>
      </c>
      <c r="I267" t="s">
        <v>667</v>
      </c>
      <c r="J267" t="s">
        <v>701</v>
      </c>
      <c r="K267" t="s">
        <v>710</v>
      </c>
      <c r="L267" t="s">
        <v>724</v>
      </c>
      <c r="M267" t="s">
        <v>728</v>
      </c>
      <c r="N267" t="s">
        <v>999</v>
      </c>
      <c r="O267" s="29">
        <v>1207.6300000000001</v>
      </c>
      <c r="P267" t="str">
        <f>IF(Table1[[#This Row],[UnitPrice]]&lt;=0,"Check","OK")</f>
        <v>OK</v>
      </c>
      <c r="Q267" s="29">
        <f t="shared" si="62"/>
        <v>921.68</v>
      </c>
      <c r="R267">
        <v>921.68</v>
      </c>
      <c r="S267" s="5">
        <f>IF(Table1[[#This Row],[Discount_Flag]]="Check", MIN(MAX(Table1[[#This Row],[DiscountPct]],0),0.3), Table1[[#This Row],[DiscountPct]])</f>
        <v>0.19600000000000001</v>
      </c>
      <c r="T267" t="str">
        <f>IF(OR(Table1[[#This Row],[DiscountPct]]&lt;0,Table1[[#This Row],[DiscountPct]]&gt;0.3),"Check","OK")</f>
        <v>OK</v>
      </c>
      <c r="U267" s="11">
        <v>0.19600000000000001</v>
      </c>
      <c r="V267" s="15">
        <f t="shared" si="63"/>
        <v>0</v>
      </c>
      <c r="W267" s="11">
        <f t="shared" si="64"/>
        <v>-0.62966253274897988</v>
      </c>
      <c r="X267" s="17">
        <f t="shared" si="65"/>
        <v>20529.710000000003</v>
      </c>
      <c r="Y267" s="17">
        <f t="shared" si="66"/>
        <v>-7932.1877600000025</v>
      </c>
      <c r="Z267" s="17">
        <f t="shared" si="67"/>
        <v>12597.52224</v>
      </c>
      <c r="AA267" s="17" t="str">
        <f t="shared" si="68"/>
        <v>Q3-2025</v>
      </c>
      <c r="AB267" s="12" t="str">
        <f t="shared" si="69"/>
        <v>Sept-2025</v>
      </c>
      <c r="AC267" s="12" t="str">
        <f t="shared" si="70"/>
        <v>Medium</v>
      </c>
      <c r="AD267">
        <v>17</v>
      </c>
      <c r="AE267" s="12">
        <f>_xlfn.MINIFS(Table1[MonthDate], Table1[Country], Table1[[#This Row],[Country]])</f>
        <v>44927</v>
      </c>
      <c r="AF267" s="12">
        <f t="shared" si="71"/>
        <v>45901</v>
      </c>
      <c r="AG267">
        <f>AD267*(1 + Scenario_Control!$B$4)</f>
        <v>18.700000000000003</v>
      </c>
      <c r="AH267">
        <f>O267*(1 + Scenario_Control!$B$3)</f>
        <v>1268.0115000000001</v>
      </c>
      <c r="AI267">
        <f t="shared" si="72"/>
        <v>2771.4548928000008</v>
      </c>
      <c r="AJ267">
        <f t="shared" si="73"/>
        <v>-20940.360157200004</v>
      </c>
      <c r="AK267" s="29">
        <f>MIN(Q267*(1-U267), Scenario_Control!$B$2*Q267)</f>
        <v>184.33600000000001</v>
      </c>
      <c r="AL267" s="15">
        <f t="shared" si="74"/>
        <v>0</v>
      </c>
      <c r="AM267" s="8">
        <f>DATEDIF(Table1[[#This Row],[Country_FirstMonth]], Table1[[#This Row],[MonthDate]], "m")</f>
        <v>32</v>
      </c>
    </row>
    <row r="268" spans="1:39" x14ac:dyDescent="0.25">
      <c r="A268" t="s">
        <v>280</v>
      </c>
      <c r="B268" s="12">
        <v>45573</v>
      </c>
      <c r="C268" s="12">
        <f t="shared" si="60"/>
        <v>45573</v>
      </c>
      <c r="D268" s="2" t="str">
        <f>IF(Table1[[#This Row],[RequiredDate]]&lt;Table1[[#This Row],[OrderDate]],"Check","OK")</f>
        <v>OK</v>
      </c>
      <c r="E268" s="2">
        <v>45573</v>
      </c>
      <c r="F268" s="15">
        <f t="shared" si="61"/>
        <v>0</v>
      </c>
      <c r="G268" t="s">
        <v>649</v>
      </c>
      <c r="H268" t="s">
        <v>658</v>
      </c>
      <c r="I268" t="s">
        <v>683</v>
      </c>
      <c r="J268" t="s">
        <v>701</v>
      </c>
      <c r="K268" t="s">
        <v>708</v>
      </c>
      <c r="L268" t="s">
        <v>718</v>
      </c>
      <c r="M268" t="s">
        <v>732</v>
      </c>
      <c r="N268" t="s">
        <v>1000</v>
      </c>
      <c r="O268" s="29">
        <v>1108.1099999999999</v>
      </c>
      <c r="P268" t="str">
        <f>IF(Table1[[#This Row],[UnitPrice]]&lt;=0,"Check","OK")</f>
        <v>OK</v>
      </c>
      <c r="Q268" s="29">
        <f t="shared" si="62"/>
        <v>2503.79</v>
      </c>
      <c r="R268">
        <v>2503.79</v>
      </c>
      <c r="S268" s="5">
        <f>IF(Table1[[#This Row],[Discount_Flag]]="Check", MIN(MAX(Table1[[#This Row],[DiscountPct]],0),0.3), Table1[[#This Row],[DiscountPct]])</f>
        <v>0.184</v>
      </c>
      <c r="T268" t="str">
        <f>IF(OR(Table1[[#This Row],[DiscountPct]]&lt;0,Table1[[#This Row],[DiscountPct]]&gt;0.3),"Check","OK")</f>
        <v>OK</v>
      </c>
      <c r="U268" s="11">
        <v>0.184</v>
      </c>
      <c r="V268" s="15">
        <f t="shared" si="63"/>
        <v>0</v>
      </c>
      <c r="W268" s="11">
        <f t="shared" si="64"/>
        <v>0.45763105485025896</v>
      </c>
      <c r="X268" s="17">
        <f t="shared" si="65"/>
        <v>21054.089999999997</v>
      </c>
      <c r="Y268" s="17">
        <f t="shared" si="66"/>
        <v>17764.670160000009</v>
      </c>
      <c r="Z268" s="17">
        <f t="shared" si="67"/>
        <v>38818.760160000005</v>
      </c>
      <c r="AA268" s="17" t="str">
        <f t="shared" si="68"/>
        <v>Q4-2024</v>
      </c>
      <c r="AB268" s="12" t="str">
        <f t="shared" si="69"/>
        <v>Oct-2024</v>
      </c>
      <c r="AC268" s="12" t="str">
        <f t="shared" si="70"/>
        <v>High</v>
      </c>
      <c r="AD268">
        <v>19</v>
      </c>
      <c r="AE268" s="12">
        <f>_xlfn.MINIFS(Table1[MonthDate], Table1[Country], Table1[[#This Row],[Country]])</f>
        <v>44927</v>
      </c>
      <c r="AF268" s="12">
        <f t="shared" si="71"/>
        <v>45566</v>
      </c>
      <c r="AG268">
        <f>AD268*(1 + Scenario_Control!$B$4)</f>
        <v>20.900000000000002</v>
      </c>
      <c r="AH268">
        <f>O268*(1 + Scenario_Control!$B$3)</f>
        <v>1163.5155</v>
      </c>
      <c r="AI268">
        <f t="shared" si="72"/>
        <v>8540.1272352000015</v>
      </c>
      <c r="AJ268">
        <f t="shared" si="73"/>
        <v>-15777.346714800002</v>
      </c>
      <c r="AK268" s="29">
        <f>MIN(Q268*(1-U268), Scenario_Control!$B$2*Q268)</f>
        <v>500.75800000000004</v>
      </c>
      <c r="AL268" s="15">
        <f t="shared" si="74"/>
        <v>1</v>
      </c>
      <c r="AM268" s="8">
        <f>DATEDIF(Table1[[#This Row],[Country_FirstMonth]], Table1[[#This Row],[MonthDate]], "m")</f>
        <v>21</v>
      </c>
    </row>
    <row r="269" spans="1:39" x14ac:dyDescent="0.25">
      <c r="A269" t="s">
        <v>281</v>
      </c>
      <c r="B269" s="12">
        <v>45053</v>
      </c>
      <c r="C269" s="12">
        <f t="shared" si="60"/>
        <v>45060</v>
      </c>
      <c r="D269" s="2" t="str">
        <f>IF(Table1[[#This Row],[RequiredDate]]&lt;Table1[[#This Row],[OrderDate]],"Check","OK")</f>
        <v>Check</v>
      </c>
      <c r="E269" s="2">
        <v>45051</v>
      </c>
      <c r="F269" s="15">
        <f t="shared" si="61"/>
        <v>7</v>
      </c>
      <c r="G269" t="s">
        <v>646</v>
      </c>
      <c r="H269" t="s">
        <v>651</v>
      </c>
      <c r="I269" t="s">
        <v>663</v>
      </c>
      <c r="J269" t="s">
        <v>703</v>
      </c>
      <c r="K269" t="s">
        <v>709</v>
      </c>
      <c r="L269" t="s">
        <v>720</v>
      </c>
      <c r="M269" t="s">
        <v>727</v>
      </c>
      <c r="N269" t="s">
        <v>1001</v>
      </c>
      <c r="O269" s="29">
        <v>1269.6500000000001</v>
      </c>
      <c r="P269" t="str">
        <f>IF(Table1[[#This Row],[UnitPrice]]&lt;=0,"Check","OK")</f>
        <v>OK</v>
      </c>
      <c r="Q269" s="29">
        <f t="shared" si="62"/>
        <v>2462.77</v>
      </c>
      <c r="R269">
        <v>2462.77</v>
      </c>
      <c r="S269" s="5">
        <f>IF(Table1[[#This Row],[Discount_Flag]]="Check", MIN(MAX(Table1[[#This Row],[DiscountPct]],0),0.3), Table1[[#This Row],[DiscountPct]])</f>
        <v>0.107</v>
      </c>
      <c r="T269" t="str">
        <f>IF(OR(Table1[[#This Row],[DiscountPct]]&lt;0,Table1[[#This Row],[DiscountPct]]&gt;0.3),"Check","OK")</f>
        <v>OK</v>
      </c>
      <c r="U269" s="11">
        <v>0.107</v>
      </c>
      <c r="V269" s="15">
        <f t="shared" si="63"/>
        <v>0</v>
      </c>
      <c r="W269" s="11">
        <f t="shared" si="64"/>
        <v>0.42269050089225502</v>
      </c>
      <c r="X269" s="17">
        <f t="shared" si="65"/>
        <v>10157.200000000001</v>
      </c>
      <c r="Y269" s="17">
        <f t="shared" si="66"/>
        <v>7436.8288800000009</v>
      </c>
      <c r="Z269" s="17">
        <f t="shared" si="67"/>
        <v>17594.028880000002</v>
      </c>
      <c r="AA269" s="17" t="str">
        <f t="shared" si="68"/>
        <v>Q2-2023</v>
      </c>
      <c r="AB269" s="12" t="str">
        <f t="shared" si="69"/>
        <v>May-2023</v>
      </c>
      <c r="AC269" s="12" t="str">
        <f t="shared" si="70"/>
        <v>High</v>
      </c>
      <c r="AD269">
        <v>8</v>
      </c>
      <c r="AE269" s="12">
        <f>_xlfn.MINIFS(Table1[MonthDate], Table1[Country], Table1[[#This Row],[Country]])</f>
        <v>44927</v>
      </c>
      <c r="AF269" s="12">
        <f t="shared" si="71"/>
        <v>45047</v>
      </c>
      <c r="AG269">
        <f>AD269*(1 + Scenario_Control!$B$4)</f>
        <v>8.8000000000000007</v>
      </c>
      <c r="AH269">
        <f>O269*(1 + Scenario_Control!$B$3)</f>
        <v>1333.1325000000002</v>
      </c>
      <c r="AI269">
        <f t="shared" si="72"/>
        <v>3870.6863536000005</v>
      </c>
      <c r="AJ269">
        <f t="shared" si="73"/>
        <v>-7860.8796464000025</v>
      </c>
      <c r="AK269" s="29">
        <f>MIN(Q269*(1-U269), Scenario_Control!$B$2*Q269)</f>
        <v>492.55400000000003</v>
      </c>
      <c r="AL269" s="15">
        <f t="shared" si="74"/>
        <v>1</v>
      </c>
      <c r="AM269" s="8">
        <f>DATEDIF(Table1[[#This Row],[Country_FirstMonth]], Table1[[#This Row],[MonthDate]], "m")</f>
        <v>4</v>
      </c>
    </row>
    <row r="270" spans="1:39" x14ac:dyDescent="0.25">
      <c r="A270" t="s">
        <v>282</v>
      </c>
      <c r="B270" s="12">
        <v>45284</v>
      </c>
      <c r="C270" s="12">
        <f t="shared" si="60"/>
        <v>45292</v>
      </c>
      <c r="D270" s="2" t="str">
        <f>IF(Table1[[#This Row],[RequiredDate]]&lt;Table1[[#This Row],[OrderDate]],"Check","OK")</f>
        <v>OK</v>
      </c>
      <c r="E270" s="2">
        <v>45292</v>
      </c>
      <c r="F270" s="15">
        <f t="shared" si="61"/>
        <v>8</v>
      </c>
      <c r="G270" t="s">
        <v>648</v>
      </c>
      <c r="H270" t="s">
        <v>655</v>
      </c>
      <c r="I270" t="s">
        <v>670</v>
      </c>
      <c r="J270" t="s">
        <v>702</v>
      </c>
      <c r="K270" t="s">
        <v>711</v>
      </c>
      <c r="L270" t="s">
        <v>712</v>
      </c>
      <c r="M270" t="s">
        <v>730</v>
      </c>
      <c r="N270" t="s">
        <v>1002</v>
      </c>
      <c r="O270" s="29">
        <v>526.49</v>
      </c>
      <c r="P270" t="str">
        <f>IF(Table1[[#This Row],[UnitPrice]]&lt;=0,"Check","OK")</f>
        <v>OK</v>
      </c>
      <c r="Q270" s="29">
        <f t="shared" si="62"/>
        <v>496.2</v>
      </c>
      <c r="R270">
        <v>496.2</v>
      </c>
      <c r="S270" s="5">
        <f>IF(Table1[[#This Row],[Discount_Flag]]="Check", MIN(MAX(Table1[[#This Row],[DiscountPct]],0),0.3), Table1[[#This Row],[DiscountPct]])</f>
        <v>0</v>
      </c>
      <c r="T270" t="str">
        <f>IF(OR(Table1[[#This Row],[DiscountPct]]&lt;0,Table1[[#This Row],[DiscountPct]]&gt;0.3),"Check","OK")</f>
        <v>OK</v>
      </c>
      <c r="U270" s="11">
        <v>0</v>
      </c>
      <c r="V270" s="15">
        <f t="shared" si="63"/>
        <v>0</v>
      </c>
      <c r="W270" s="11">
        <f t="shared" si="64"/>
        <v>-6.1043933897621985E-2</v>
      </c>
      <c r="X270" s="17">
        <f t="shared" si="65"/>
        <v>7370.8600000000006</v>
      </c>
      <c r="Y270" s="17">
        <f t="shared" si="66"/>
        <v>-424.0600000000004</v>
      </c>
      <c r="Z270" s="17">
        <f t="shared" si="67"/>
        <v>6946.8</v>
      </c>
      <c r="AA270" s="17" t="str">
        <f t="shared" si="68"/>
        <v>Q4-2023</v>
      </c>
      <c r="AB270" s="12" t="str">
        <f t="shared" si="69"/>
        <v>Dec-2023</v>
      </c>
      <c r="AC270" s="12" t="str">
        <f t="shared" si="70"/>
        <v>Low</v>
      </c>
      <c r="AD270">
        <v>14</v>
      </c>
      <c r="AE270" s="12">
        <f>_xlfn.MINIFS(Table1[MonthDate], Table1[Country], Table1[[#This Row],[Country]])</f>
        <v>44927</v>
      </c>
      <c r="AF270" s="12">
        <f t="shared" si="71"/>
        <v>45261</v>
      </c>
      <c r="AG270">
        <f>AD270*(1 + Scenario_Control!$B$4)</f>
        <v>15.400000000000002</v>
      </c>
      <c r="AH270">
        <f>O270*(1 + Scenario_Control!$B$3)</f>
        <v>552.81450000000007</v>
      </c>
      <c r="AI270">
        <f t="shared" si="72"/>
        <v>1528.2960000000003</v>
      </c>
      <c r="AJ270">
        <f t="shared" si="73"/>
        <v>-6985.047300000002</v>
      </c>
      <c r="AK270" s="29">
        <f>MIN(Q270*(1-U270), Scenario_Control!$B$2*Q270)</f>
        <v>99.240000000000009</v>
      </c>
      <c r="AL270" s="15">
        <f t="shared" si="74"/>
        <v>0</v>
      </c>
      <c r="AM270" s="8">
        <f>DATEDIF(Table1[[#This Row],[Country_FirstMonth]], Table1[[#This Row],[MonthDate]], "m")</f>
        <v>11</v>
      </c>
    </row>
    <row r="271" spans="1:39" x14ac:dyDescent="0.25">
      <c r="A271" t="s">
        <v>283</v>
      </c>
      <c r="B271" s="12">
        <v>45301</v>
      </c>
      <c r="C271" s="12">
        <f t="shared" si="60"/>
        <v>45314</v>
      </c>
      <c r="D271" s="2" t="str">
        <f>IF(Table1[[#This Row],[RequiredDate]]&lt;Table1[[#This Row],[OrderDate]],"Check","OK")</f>
        <v>OK</v>
      </c>
      <c r="E271" s="2">
        <v>45314</v>
      </c>
      <c r="F271" s="15">
        <f t="shared" si="61"/>
        <v>13</v>
      </c>
      <c r="G271" t="s">
        <v>649</v>
      </c>
      <c r="H271" t="s">
        <v>657</v>
      </c>
      <c r="I271" t="s">
        <v>673</v>
      </c>
      <c r="J271" t="s">
        <v>701</v>
      </c>
      <c r="K271" t="s">
        <v>711</v>
      </c>
      <c r="L271" t="s">
        <v>720</v>
      </c>
      <c r="M271" t="s">
        <v>728</v>
      </c>
      <c r="N271" t="s">
        <v>1003</v>
      </c>
      <c r="O271" s="29">
        <v>720</v>
      </c>
      <c r="P271" t="str">
        <f>IF(Table1[[#This Row],[UnitPrice]]&lt;=0,"Check","OK")</f>
        <v>OK</v>
      </c>
      <c r="Q271" s="29">
        <f t="shared" si="62"/>
        <v>907.59</v>
      </c>
      <c r="R271">
        <v>907.59</v>
      </c>
      <c r="S271" s="5">
        <f>IF(Table1[[#This Row],[Discount_Flag]]="Check", MIN(MAX(Table1[[#This Row],[DiscountPct]],0),0.3), Table1[[#This Row],[DiscountPct]])</f>
        <v>0.154</v>
      </c>
      <c r="T271" t="str">
        <f>IF(OR(Table1[[#This Row],[DiscountPct]]&lt;0,Table1[[#This Row],[DiscountPct]]&gt;0.3),"Check","OK")</f>
        <v>OK</v>
      </c>
      <c r="U271" s="11">
        <v>0.154</v>
      </c>
      <c r="V271" s="15">
        <f t="shared" si="63"/>
        <v>0</v>
      </c>
      <c r="W271" s="11">
        <f t="shared" si="64"/>
        <v>6.2281614179052078E-2</v>
      </c>
      <c r="X271" s="17">
        <f t="shared" si="65"/>
        <v>7200</v>
      </c>
      <c r="Y271" s="17">
        <f t="shared" si="66"/>
        <v>478.21139999999923</v>
      </c>
      <c r="Z271" s="17">
        <f t="shared" si="67"/>
        <v>7678.2113999999992</v>
      </c>
      <c r="AA271" s="17" t="str">
        <f t="shared" si="68"/>
        <v>Q1-2024</v>
      </c>
      <c r="AB271" s="12" t="str">
        <f t="shared" si="69"/>
        <v>Jan-2024</v>
      </c>
      <c r="AC271" s="12" t="str">
        <f t="shared" si="70"/>
        <v>Medium</v>
      </c>
      <c r="AD271">
        <v>10</v>
      </c>
      <c r="AE271" s="12">
        <f>_xlfn.MINIFS(Table1[MonthDate], Table1[Country], Table1[[#This Row],[Country]])</f>
        <v>44927</v>
      </c>
      <c r="AF271" s="12">
        <f t="shared" si="71"/>
        <v>45292</v>
      </c>
      <c r="AG271">
        <f>AD271*(1 + Scenario_Control!$B$4)</f>
        <v>11</v>
      </c>
      <c r="AH271">
        <f>O271*(1 + Scenario_Control!$B$3)</f>
        <v>756</v>
      </c>
      <c r="AI271">
        <f t="shared" si="72"/>
        <v>1689.2065080000002</v>
      </c>
      <c r="AJ271">
        <f t="shared" si="73"/>
        <v>-6626.7934919999998</v>
      </c>
      <c r="AK271" s="29">
        <f>MIN(Q271*(1-U271), Scenario_Control!$B$2*Q271)</f>
        <v>181.51800000000003</v>
      </c>
      <c r="AL271" s="15">
        <f t="shared" si="74"/>
        <v>0</v>
      </c>
      <c r="AM271" s="8">
        <f>DATEDIF(Table1[[#This Row],[Country_FirstMonth]], Table1[[#This Row],[MonthDate]], "m")</f>
        <v>12</v>
      </c>
    </row>
    <row r="272" spans="1:39" x14ac:dyDescent="0.25">
      <c r="A272" t="s">
        <v>284</v>
      </c>
      <c r="B272" s="12">
        <v>45141</v>
      </c>
      <c r="C272" s="12">
        <f t="shared" si="60"/>
        <v>45152</v>
      </c>
      <c r="D272" s="2" t="str">
        <f>IF(Table1[[#This Row],[RequiredDate]]&lt;Table1[[#This Row],[OrderDate]],"Check","OK")</f>
        <v>OK</v>
      </c>
      <c r="E272" s="2">
        <v>45152</v>
      </c>
      <c r="F272" s="15">
        <f t="shared" si="61"/>
        <v>11</v>
      </c>
      <c r="G272" t="s">
        <v>648</v>
      </c>
      <c r="H272" t="s">
        <v>655</v>
      </c>
      <c r="I272" t="s">
        <v>672</v>
      </c>
      <c r="J272" t="s">
        <v>701</v>
      </c>
      <c r="K272" t="s">
        <v>711</v>
      </c>
      <c r="L272" t="s">
        <v>713</v>
      </c>
      <c r="M272" t="s">
        <v>733</v>
      </c>
      <c r="N272" t="s">
        <v>1004</v>
      </c>
      <c r="O272" s="29">
        <v>232.73</v>
      </c>
      <c r="P272" t="str">
        <f>IF(Table1[[#This Row],[UnitPrice]]&lt;=0,"Check","OK")</f>
        <v>OK</v>
      </c>
      <c r="Q272" s="29">
        <f t="shared" si="62"/>
        <v>334.19</v>
      </c>
      <c r="R272">
        <v>334.19</v>
      </c>
      <c r="S272" s="5">
        <f>IF(Table1[[#This Row],[Discount_Flag]]="Check", MIN(MAX(Table1[[#This Row],[DiscountPct]],0),0.3), Table1[[#This Row],[DiscountPct]])</f>
        <v>0.13400000000000001</v>
      </c>
      <c r="T272" t="str">
        <f>IF(OR(Table1[[#This Row],[DiscountPct]]&lt;0,Table1[[#This Row],[DiscountPct]]&gt;0.3),"Check","OK")</f>
        <v>OK</v>
      </c>
      <c r="U272" s="11">
        <v>0.13400000000000001</v>
      </c>
      <c r="V272" s="15">
        <f t="shared" si="63"/>
        <v>0</v>
      </c>
      <c r="W272" s="11">
        <f t="shared" si="64"/>
        <v>0.1958426658729559</v>
      </c>
      <c r="X272" s="17">
        <f t="shared" si="65"/>
        <v>5818.25</v>
      </c>
      <c r="Y272" s="17">
        <f t="shared" si="66"/>
        <v>1416.9634999999998</v>
      </c>
      <c r="Z272" s="17">
        <f t="shared" si="67"/>
        <v>7235.2134999999998</v>
      </c>
      <c r="AA272" s="17" t="str">
        <f t="shared" si="68"/>
        <v>Q3-2023</v>
      </c>
      <c r="AB272" s="12" t="str">
        <f t="shared" si="69"/>
        <v>Aug-2023</v>
      </c>
      <c r="AC272" s="12" t="str">
        <f t="shared" si="70"/>
        <v>Low</v>
      </c>
      <c r="AD272">
        <v>25</v>
      </c>
      <c r="AE272" s="12">
        <f>_xlfn.MINIFS(Table1[MonthDate], Table1[Country], Table1[[#This Row],[Country]])</f>
        <v>44927</v>
      </c>
      <c r="AF272" s="12">
        <f t="shared" si="71"/>
        <v>45139</v>
      </c>
      <c r="AG272">
        <f>AD272*(1 + Scenario_Control!$B$4)</f>
        <v>27.500000000000004</v>
      </c>
      <c r="AH272">
        <f>O272*(1 + Scenario_Control!$B$3)</f>
        <v>244.3665</v>
      </c>
      <c r="AI272">
        <f t="shared" si="72"/>
        <v>1591.7469700000004</v>
      </c>
      <c r="AJ272">
        <f t="shared" si="73"/>
        <v>-5128.3317800000004</v>
      </c>
      <c r="AK272" s="29">
        <f>MIN(Q272*(1-U272), Scenario_Control!$B$2*Q272)</f>
        <v>66.838000000000008</v>
      </c>
      <c r="AL272" s="15">
        <f t="shared" si="74"/>
        <v>0</v>
      </c>
      <c r="AM272" s="8">
        <f>DATEDIF(Table1[[#This Row],[Country_FirstMonth]], Table1[[#This Row],[MonthDate]], "m")</f>
        <v>7</v>
      </c>
    </row>
    <row r="273" spans="1:39" x14ac:dyDescent="0.25">
      <c r="A273" t="s">
        <v>285</v>
      </c>
      <c r="B273" s="12">
        <v>45707</v>
      </c>
      <c r="C273" s="12">
        <f t="shared" si="60"/>
        <v>45725</v>
      </c>
      <c r="D273" s="2" t="str">
        <f>IF(Table1[[#This Row],[RequiredDate]]&lt;Table1[[#This Row],[OrderDate]],"Check","OK")</f>
        <v>OK</v>
      </c>
      <c r="E273" s="2">
        <v>45725</v>
      </c>
      <c r="F273" s="15">
        <f t="shared" si="61"/>
        <v>18</v>
      </c>
      <c r="G273" t="s">
        <v>647</v>
      </c>
      <c r="H273" t="s">
        <v>654</v>
      </c>
      <c r="I273" t="s">
        <v>680</v>
      </c>
      <c r="J273" t="s">
        <v>705</v>
      </c>
      <c r="K273" t="s">
        <v>711</v>
      </c>
      <c r="L273" t="s">
        <v>719</v>
      </c>
      <c r="M273" t="s">
        <v>732</v>
      </c>
      <c r="N273" t="s">
        <v>1005</v>
      </c>
      <c r="O273" s="29">
        <v>325.87</v>
      </c>
      <c r="P273" t="str">
        <f>IF(Table1[[#This Row],[UnitPrice]]&lt;=0,"Check","OK")</f>
        <v>OK</v>
      </c>
      <c r="Q273" s="29">
        <f t="shared" si="62"/>
        <v>538.79</v>
      </c>
      <c r="R273">
        <v>538.79</v>
      </c>
      <c r="S273" s="5">
        <f>IF(Table1[[#This Row],[Discount_Flag]]="Check", MIN(MAX(Table1[[#This Row],[DiscountPct]],0),0.3), Table1[[#This Row],[DiscountPct]])</f>
        <v>0.17399999999999999</v>
      </c>
      <c r="T273" t="str">
        <f>IF(OR(Table1[[#This Row],[DiscountPct]]&lt;0,Table1[[#This Row],[DiscountPct]]&gt;0.3),"Check","OK")</f>
        <v>OK</v>
      </c>
      <c r="U273" s="11">
        <v>0.17399999999999999</v>
      </c>
      <c r="V273" s="15">
        <f t="shared" si="63"/>
        <v>0</v>
      </c>
      <c r="W273" s="11">
        <f t="shared" si="64"/>
        <v>0.26777457172778013</v>
      </c>
      <c r="X273" s="17">
        <f t="shared" si="65"/>
        <v>5213.92</v>
      </c>
      <c r="Y273" s="17">
        <f t="shared" si="66"/>
        <v>1906.7286400000003</v>
      </c>
      <c r="Z273" s="17">
        <f t="shared" si="67"/>
        <v>7120.6486400000003</v>
      </c>
      <c r="AA273" s="17" t="str">
        <f t="shared" si="68"/>
        <v>Q1-2025</v>
      </c>
      <c r="AB273" s="12" t="str">
        <f t="shared" si="69"/>
        <v>Feb-2025</v>
      </c>
      <c r="AC273" s="12" t="str">
        <f t="shared" si="70"/>
        <v>Low</v>
      </c>
      <c r="AD273">
        <v>16</v>
      </c>
      <c r="AE273" s="12">
        <f>_xlfn.MINIFS(Table1[MonthDate], Table1[Country], Table1[[#This Row],[Country]])</f>
        <v>44927</v>
      </c>
      <c r="AF273" s="12">
        <f t="shared" si="71"/>
        <v>45689</v>
      </c>
      <c r="AG273">
        <f>AD273*(1 + Scenario_Control!$B$4)</f>
        <v>17.600000000000001</v>
      </c>
      <c r="AH273">
        <f>O273*(1 + Scenario_Control!$B$3)</f>
        <v>342.1635</v>
      </c>
      <c r="AI273">
        <f t="shared" si="72"/>
        <v>1566.5427008000001</v>
      </c>
      <c r="AJ273">
        <f t="shared" si="73"/>
        <v>-4455.5348991999999</v>
      </c>
      <c r="AK273" s="29">
        <f>MIN(Q273*(1-U273), Scenario_Control!$B$2*Q273)</f>
        <v>107.758</v>
      </c>
      <c r="AL273" s="15">
        <f t="shared" si="74"/>
        <v>0</v>
      </c>
      <c r="AM273" s="8">
        <f>DATEDIF(Table1[[#This Row],[Country_FirstMonth]], Table1[[#This Row],[MonthDate]], "m")</f>
        <v>25</v>
      </c>
    </row>
    <row r="274" spans="1:39" x14ac:dyDescent="0.25">
      <c r="A274" t="s">
        <v>286</v>
      </c>
      <c r="B274" s="12">
        <v>45382</v>
      </c>
      <c r="C274" s="12">
        <f t="shared" si="60"/>
        <v>45399</v>
      </c>
      <c r="D274" s="2" t="str">
        <f>IF(Table1[[#This Row],[RequiredDate]]&lt;Table1[[#This Row],[OrderDate]],"Check","OK")</f>
        <v>OK</v>
      </c>
      <c r="E274" s="2">
        <v>45399</v>
      </c>
      <c r="F274" s="15">
        <f t="shared" si="61"/>
        <v>17</v>
      </c>
      <c r="G274" t="s">
        <v>649</v>
      </c>
      <c r="H274" t="s">
        <v>656</v>
      </c>
      <c r="I274" t="s">
        <v>698</v>
      </c>
      <c r="J274" t="s">
        <v>702</v>
      </c>
      <c r="K274" t="s">
        <v>711</v>
      </c>
      <c r="L274" t="s">
        <v>722</v>
      </c>
      <c r="M274" t="s">
        <v>732</v>
      </c>
      <c r="N274" t="s">
        <v>1006</v>
      </c>
      <c r="O274" s="29">
        <v>1025.51</v>
      </c>
      <c r="P274" t="str">
        <f>IF(Table1[[#This Row],[UnitPrice]]&lt;=0,"Check","OK")</f>
        <v>OK</v>
      </c>
      <c r="Q274" s="29">
        <f t="shared" si="62"/>
        <v>1436.54</v>
      </c>
      <c r="R274">
        <v>1436.54</v>
      </c>
      <c r="S274" s="5">
        <f>IF(Table1[[#This Row],[Discount_Flag]]="Check", MIN(MAX(Table1[[#This Row],[DiscountPct]],0),0.3), Table1[[#This Row],[DiscountPct]])</f>
        <v>0.13900000000000001</v>
      </c>
      <c r="T274" t="str">
        <f>IF(OR(Table1[[#This Row],[DiscountPct]]&lt;0,Table1[[#This Row],[DiscountPct]]&gt;0.3),"Check","OK")</f>
        <v>OK</v>
      </c>
      <c r="U274" s="11">
        <v>0.13900000000000001</v>
      </c>
      <c r="V274" s="15">
        <f t="shared" si="63"/>
        <v>0</v>
      </c>
      <c r="W274" s="11">
        <f t="shared" si="64"/>
        <v>0.17087688127656453</v>
      </c>
      <c r="X274" s="17">
        <f t="shared" si="65"/>
        <v>28714.28</v>
      </c>
      <c r="Y274" s="17">
        <f t="shared" si="66"/>
        <v>5917.8263200000001</v>
      </c>
      <c r="Z274" s="17">
        <f t="shared" si="67"/>
        <v>34632.106319999999</v>
      </c>
      <c r="AA274" s="17" t="str">
        <f t="shared" si="68"/>
        <v>Q1-2024</v>
      </c>
      <c r="AB274" s="12" t="str">
        <f t="shared" si="69"/>
        <v>Mar-2024</v>
      </c>
      <c r="AC274" s="12" t="str">
        <f t="shared" si="70"/>
        <v>Medium</v>
      </c>
      <c r="AD274">
        <v>28</v>
      </c>
      <c r="AE274" s="12">
        <f>_xlfn.MINIFS(Table1[MonthDate], Table1[Country], Table1[[#This Row],[Country]])</f>
        <v>44927</v>
      </c>
      <c r="AF274" s="12">
        <f t="shared" si="71"/>
        <v>45352</v>
      </c>
      <c r="AG274">
        <f>AD274*(1 + Scenario_Control!$B$4)</f>
        <v>30.800000000000004</v>
      </c>
      <c r="AH274">
        <f>O274*(1 + Scenario_Control!$B$3)</f>
        <v>1076.7855</v>
      </c>
      <c r="AI274">
        <f t="shared" si="72"/>
        <v>7619.0633903999997</v>
      </c>
      <c r="AJ274">
        <f t="shared" si="73"/>
        <v>-25545.930009600008</v>
      </c>
      <c r="AK274" s="29">
        <f>MIN(Q274*(1-U274), Scenario_Control!$B$2*Q274)</f>
        <v>287.30799999999999</v>
      </c>
      <c r="AL274" s="15">
        <f t="shared" si="74"/>
        <v>0</v>
      </c>
      <c r="AM274" s="8">
        <f>DATEDIF(Table1[[#This Row],[Country_FirstMonth]], Table1[[#This Row],[MonthDate]], "m")</f>
        <v>14</v>
      </c>
    </row>
    <row r="275" spans="1:39" x14ac:dyDescent="0.25">
      <c r="A275" t="s">
        <v>287</v>
      </c>
      <c r="B275" s="12">
        <v>45131</v>
      </c>
      <c r="C275" s="12">
        <f t="shared" si="60"/>
        <v>45151</v>
      </c>
      <c r="D275" s="2" t="str">
        <f>IF(Table1[[#This Row],[RequiredDate]]&lt;Table1[[#This Row],[OrderDate]],"Check","OK")</f>
        <v>OK</v>
      </c>
      <c r="E275" s="2">
        <v>45151</v>
      </c>
      <c r="F275" s="15">
        <f t="shared" si="61"/>
        <v>20</v>
      </c>
      <c r="G275" t="s">
        <v>648</v>
      </c>
      <c r="H275" t="s">
        <v>653</v>
      </c>
      <c r="I275" t="s">
        <v>681</v>
      </c>
      <c r="J275" t="s">
        <v>702</v>
      </c>
      <c r="K275" t="s">
        <v>711</v>
      </c>
      <c r="L275" t="s">
        <v>712</v>
      </c>
      <c r="M275" t="s">
        <v>732</v>
      </c>
      <c r="N275" t="s">
        <v>1007</v>
      </c>
      <c r="O275" s="29">
        <v>1082.3800000000001</v>
      </c>
      <c r="P275" t="str">
        <f>IF(Table1[[#This Row],[UnitPrice]]&lt;=0,"Check","OK")</f>
        <v>OK</v>
      </c>
      <c r="Q275" s="29">
        <f t="shared" si="62"/>
        <v>1766.55</v>
      </c>
      <c r="R275">
        <v>1766.55</v>
      </c>
      <c r="S275" s="5">
        <f>IF(Table1[[#This Row],[Discount_Flag]]="Check", MIN(MAX(Table1[[#This Row],[DiscountPct]],0),0.3), Table1[[#This Row],[DiscountPct]])</f>
        <v>0.16400000000000001</v>
      </c>
      <c r="T275" t="str">
        <f>IF(OR(Table1[[#This Row],[DiscountPct]]&lt;0,Table1[[#This Row],[DiscountPct]]&gt;0.3),"Check","OK")</f>
        <v>OK</v>
      </c>
      <c r="U275" s="11">
        <v>0.16400000000000001</v>
      </c>
      <c r="V275" s="15">
        <f t="shared" si="63"/>
        <v>0</v>
      </c>
      <c r="W275" s="11">
        <f t="shared" si="64"/>
        <v>0.26709523157550752</v>
      </c>
      <c r="X275" s="17">
        <f t="shared" si="65"/>
        <v>21647.600000000002</v>
      </c>
      <c r="Y275" s="17">
        <f t="shared" si="66"/>
        <v>7889.1159999999982</v>
      </c>
      <c r="Z275" s="17">
        <f t="shared" si="67"/>
        <v>29536.716</v>
      </c>
      <c r="AA275" s="17" t="str">
        <f t="shared" si="68"/>
        <v>Q3-2023</v>
      </c>
      <c r="AB275" s="12" t="str">
        <f t="shared" si="69"/>
        <v>Jul-2023</v>
      </c>
      <c r="AC275" s="12" t="str">
        <f t="shared" si="70"/>
        <v>Medium</v>
      </c>
      <c r="AD275">
        <v>20</v>
      </c>
      <c r="AE275" s="12">
        <f>_xlfn.MINIFS(Table1[MonthDate], Table1[Country], Table1[[#This Row],[Country]])</f>
        <v>44927</v>
      </c>
      <c r="AF275" s="12">
        <f t="shared" si="71"/>
        <v>45108</v>
      </c>
      <c r="AG275">
        <f>AD275*(1 + Scenario_Control!$B$4)</f>
        <v>22</v>
      </c>
      <c r="AH275">
        <f>O275*(1 + Scenario_Control!$B$3)</f>
        <v>1136.4990000000003</v>
      </c>
      <c r="AI275">
        <f t="shared" si="72"/>
        <v>6498.0775199999998</v>
      </c>
      <c r="AJ275">
        <f t="shared" si="73"/>
        <v>-18504.900480000008</v>
      </c>
      <c r="AK275" s="29">
        <f>MIN(Q275*(1-U275), Scenario_Control!$B$2*Q275)</f>
        <v>353.31</v>
      </c>
      <c r="AL275" s="15">
        <f t="shared" si="74"/>
        <v>0</v>
      </c>
      <c r="AM275" s="8">
        <f>DATEDIF(Table1[[#This Row],[Country_FirstMonth]], Table1[[#This Row],[MonthDate]], "m")</f>
        <v>6</v>
      </c>
    </row>
    <row r="276" spans="1:39" x14ac:dyDescent="0.25">
      <c r="A276" t="s">
        <v>288</v>
      </c>
      <c r="B276" s="12">
        <v>45367</v>
      </c>
      <c r="C276" s="12">
        <f t="shared" si="60"/>
        <v>45395</v>
      </c>
      <c r="D276" s="2" t="str">
        <f>IF(Table1[[#This Row],[RequiredDate]]&lt;Table1[[#This Row],[OrderDate]],"Check","OK")</f>
        <v>OK</v>
      </c>
      <c r="E276" s="2">
        <v>45395</v>
      </c>
      <c r="F276" s="15">
        <f t="shared" si="61"/>
        <v>28</v>
      </c>
      <c r="G276" t="s">
        <v>649</v>
      </c>
      <c r="H276" t="s">
        <v>657</v>
      </c>
      <c r="I276" t="s">
        <v>690</v>
      </c>
      <c r="J276" t="s">
        <v>705</v>
      </c>
      <c r="K276" t="s">
        <v>708</v>
      </c>
      <c r="L276" t="s">
        <v>723</v>
      </c>
      <c r="M276" t="s">
        <v>728</v>
      </c>
      <c r="N276" t="s">
        <v>1008</v>
      </c>
      <c r="O276" s="29">
        <v>287.61</v>
      </c>
      <c r="P276" t="str">
        <f>IF(Table1[[#This Row],[UnitPrice]]&lt;=0,"Check","OK")</f>
        <v>OK</v>
      </c>
      <c r="Q276" s="29">
        <f t="shared" si="62"/>
        <v>628.54</v>
      </c>
      <c r="R276">
        <v>628.54</v>
      </c>
      <c r="S276" s="5">
        <f>IF(Table1[[#This Row],[Discount_Flag]]="Check", MIN(MAX(Table1[[#This Row],[DiscountPct]],0),0.3), Table1[[#This Row],[DiscountPct]])</f>
        <v>0.13500000000000001</v>
      </c>
      <c r="T276" t="str">
        <f>IF(OR(Table1[[#This Row],[DiscountPct]]&lt;0,Table1[[#This Row],[DiscountPct]]&gt;0.3),"Check","OK")</f>
        <v>OK</v>
      </c>
      <c r="U276" s="11">
        <v>0.13500000000000001</v>
      </c>
      <c r="V276" s="15">
        <f t="shared" si="63"/>
        <v>0</v>
      </c>
      <c r="W276" s="11">
        <f t="shared" si="64"/>
        <v>0.47100087531964613</v>
      </c>
      <c r="X276" s="17">
        <f t="shared" si="65"/>
        <v>6039.81</v>
      </c>
      <c r="Y276" s="17">
        <f t="shared" si="66"/>
        <v>5377.619099999999</v>
      </c>
      <c r="Z276" s="17">
        <f t="shared" si="67"/>
        <v>11417.429099999999</v>
      </c>
      <c r="AA276" s="17" t="str">
        <f t="shared" si="68"/>
        <v>Q1-2024</v>
      </c>
      <c r="AB276" s="12" t="str">
        <f t="shared" si="69"/>
        <v>Mar-2024</v>
      </c>
      <c r="AC276" s="12" t="str">
        <f t="shared" si="70"/>
        <v>Medium</v>
      </c>
      <c r="AD276">
        <v>21</v>
      </c>
      <c r="AE276" s="12">
        <f>_xlfn.MINIFS(Table1[MonthDate], Table1[Country], Table1[[#This Row],[Country]])</f>
        <v>44927</v>
      </c>
      <c r="AF276" s="12">
        <f t="shared" si="71"/>
        <v>45352</v>
      </c>
      <c r="AG276">
        <f>AD276*(1 + Scenario_Control!$B$4)</f>
        <v>23.1</v>
      </c>
      <c r="AH276">
        <f>O276*(1 + Scenario_Control!$B$3)</f>
        <v>301.99050000000005</v>
      </c>
      <c r="AI276">
        <f t="shared" si="72"/>
        <v>2511.834402</v>
      </c>
      <c r="AJ276">
        <f t="shared" si="73"/>
        <v>-4464.1461480000016</v>
      </c>
      <c r="AK276" s="29">
        <f>MIN(Q276*(1-U276), Scenario_Control!$B$2*Q276)</f>
        <v>125.708</v>
      </c>
      <c r="AL276" s="15">
        <f t="shared" si="74"/>
        <v>0</v>
      </c>
      <c r="AM276" s="8">
        <f>DATEDIF(Table1[[#This Row],[Country_FirstMonth]], Table1[[#This Row],[MonthDate]], "m")</f>
        <v>14</v>
      </c>
    </row>
    <row r="277" spans="1:39" x14ac:dyDescent="0.25">
      <c r="A277" t="s">
        <v>289</v>
      </c>
      <c r="B277" s="12">
        <v>45316</v>
      </c>
      <c r="C277" s="12">
        <f t="shared" si="60"/>
        <v>45318</v>
      </c>
      <c r="D277" s="2" t="str">
        <f>IF(Table1[[#This Row],[RequiredDate]]&lt;Table1[[#This Row],[OrderDate]],"Check","OK")</f>
        <v>OK</v>
      </c>
      <c r="E277" s="2">
        <v>45318</v>
      </c>
      <c r="F277" s="15">
        <f t="shared" si="61"/>
        <v>2</v>
      </c>
      <c r="G277" t="s">
        <v>648</v>
      </c>
      <c r="H277" t="s">
        <v>655</v>
      </c>
      <c r="I277" t="s">
        <v>670</v>
      </c>
      <c r="J277" t="s">
        <v>703</v>
      </c>
      <c r="K277" t="s">
        <v>709</v>
      </c>
      <c r="L277" t="s">
        <v>725</v>
      </c>
      <c r="M277" t="s">
        <v>731</v>
      </c>
      <c r="N277" t="s">
        <v>1009</v>
      </c>
      <c r="O277" s="29">
        <v>1410.97</v>
      </c>
      <c r="P277" t="str">
        <f>IF(Table1[[#This Row],[UnitPrice]]&lt;=0,"Check","OK")</f>
        <v>OK</v>
      </c>
      <c r="Q277" s="29">
        <f t="shared" si="62"/>
        <v>1650.75</v>
      </c>
      <c r="R277">
        <v>1650.75</v>
      </c>
      <c r="S277" s="5">
        <f>IF(Table1[[#This Row],[Discount_Flag]]="Check", MIN(MAX(Table1[[#This Row],[DiscountPct]],0),0.3), Table1[[#This Row],[DiscountPct]])</f>
        <v>0.13500000000000001</v>
      </c>
      <c r="T277" t="str">
        <f>IF(OR(Table1[[#This Row],[DiscountPct]]&lt;0,Table1[[#This Row],[DiscountPct]]&gt;0.3),"Check","OK")</f>
        <v>OK</v>
      </c>
      <c r="U277" s="11">
        <v>0.13500000000000001</v>
      </c>
      <c r="V277" s="15">
        <f t="shared" si="63"/>
        <v>0</v>
      </c>
      <c r="W277" s="11">
        <f t="shared" si="64"/>
        <v>1.1855707556295596E-2</v>
      </c>
      <c r="X277" s="17">
        <f t="shared" si="65"/>
        <v>8465.82</v>
      </c>
      <c r="Y277" s="17">
        <f t="shared" si="66"/>
        <v>101.57250000000022</v>
      </c>
      <c r="Z277" s="17">
        <f t="shared" si="67"/>
        <v>8567.3924999999999</v>
      </c>
      <c r="AA277" s="17" t="str">
        <f t="shared" si="68"/>
        <v>Q1-2024</v>
      </c>
      <c r="AB277" s="12" t="str">
        <f t="shared" si="69"/>
        <v>Jan-2024</v>
      </c>
      <c r="AC277" s="12" t="str">
        <f t="shared" si="70"/>
        <v>Medium</v>
      </c>
      <c r="AD277">
        <v>6</v>
      </c>
      <c r="AE277" s="12">
        <f>_xlfn.MINIFS(Table1[MonthDate], Table1[Country], Table1[[#This Row],[Country]])</f>
        <v>44927</v>
      </c>
      <c r="AF277" s="12">
        <f t="shared" si="71"/>
        <v>45292</v>
      </c>
      <c r="AG277">
        <f>AD277*(1 + Scenario_Control!$B$4)</f>
        <v>6.6000000000000005</v>
      </c>
      <c r="AH277">
        <f>O277*(1 + Scenario_Control!$B$3)</f>
        <v>1481.5185000000001</v>
      </c>
      <c r="AI277">
        <f t="shared" si="72"/>
        <v>1884.8263500000003</v>
      </c>
      <c r="AJ277">
        <f t="shared" si="73"/>
        <v>-7893.1957500000017</v>
      </c>
      <c r="AK277" s="29">
        <f>MIN(Q277*(1-U277), Scenario_Control!$B$2*Q277)</f>
        <v>330.15000000000003</v>
      </c>
      <c r="AL277" s="15">
        <f t="shared" si="74"/>
        <v>1</v>
      </c>
      <c r="AM277" s="8">
        <f>DATEDIF(Table1[[#This Row],[Country_FirstMonth]], Table1[[#This Row],[MonthDate]], "m")</f>
        <v>12</v>
      </c>
    </row>
    <row r="278" spans="1:39" x14ac:dyDescent="0.25">
      <c r="A278" t="s">
        <v>290</v>
      </c>
      <c r="B278" s="12">
        <v>45378</v>
      </c>
      <c r="C278" s="12">
        <f t="shared" si="60"/>
        <v>45393</v>
      </c>
      <c r="D278" s="2" t="str">
        <f>IF(Table1[[#This Row],[RequiredDate]]&lt;Table1[[#This Row],[OrderDate]],"Check","OK")</f>
        <v>OK</v>
      </c>
      <c r="E278" s="2">
        <v>45393</v>
      </c>
      <c r="F278" s="15">
        <f t="shared" si="61"/>
        <v>15</v>
      </c>
      <c r="G278" t="s">
        <v>648</v>
      </c>
      <c r="H278" t="s">
        <v>660</v>
      </c>
      <c r="I278" t="s">
        <v>686</v>
      </c>
      <c r="J278" t="s">
        <v>705</v>
      </c>
      <c r="K278" t="s">
        <v>711</v>
      </c>
      <c r="L278" t="s">
        <v>719</v>
      </c>
      <c r="M278" t="s">
        <v>729</v>
      </c>
      <c r="N278" t="s">
        <v>1010</v>
      </c>
      <c r="O278" s="29">
        <v>1338.35</v>
      </c>
      <c r="P278" t="str">
        <f>IF(Table1[[#This Row],[UnitPrice]]&lt;=0,"Check","OK")</f>
        <v>OK</v>
      </c>
      <c r="Q278" s="29">
        <f t="shared" si="62"/>
        <v>2247.14</v>
      </c>
      <c r="R278">
        <v>2247.14</v>
      </c>
      <c r="S278" s="5">
        <f>IF(Table1[[#This Row],[Discount_Flag]]="Check", MIN(MAX(Table1[[#This Row],[DiscountPct]],0),0.3), Table1[[#This Row],[DiscountPct]])</f>
        <v>0.115</v>
      </c>
      <c r="T278" t="str">
        <f>IF(OR(Table1[[#This Row],[DiscountPct]]&lt;0,Table1[[#This Row],[DiscountPct]]&gt;0.3),"Check","OK")</f>
        <v>OK</v>
      </c>
      <c r="U278" s="11">
        <v>0.115</v>
      </c>
      <c r="V278" s="15">
        <f t="shared" si="63"/>
        <v>0</v>
      </c>
      <c r="W278" s="11">
        <f t="shared" si="64"/>
        <v>0.32702907384246205</v>
      </c>
      <c r="X278" s="17">
        <f t="shared" si="65"/>
        <v>53534</v>
      </c>
      <c r="Y278" s="17">
        <f t="shared" si="66"/>
        <v>26014.755999999994</v>
      </c>
      <c r="Z278" s="17">
        <f t="shared" si="67"/>
        <v>79548.755999999994</v>
      </c>
      <c r="AA278" s="17" t="str">
        <f t="shared" si="68"/>
        <v>Q1-2024</v>
      </c>
      <c r="AB278" s="12" t="str">
        <f t="shared" si="69"/>
        <v>Mar-2024</v>
      </c>
      <c r="AC278" s="12" t="str">
        <f t="shared" si="70"/>
        <v>High</v>
      </c>
      <c r="AD278">
        <v>40</v>
      </c>
      <c r="AE278" s="12">
        <f>_xlfn.MINIFS(Table1[MonthDate], Table1[Country], Table1[[#This Row],[Country]])</f>
        <v>44927</v>
      </c>
      <c r="AF278" s="12">
        <f t="shared" si="71"/>
        <v>45352</v>
      </c>
      <c r="AG278">
        <f>AD278*(1 + Scenario_Control!$B$4)</f>
        <v>44</v>
      </c>
      <c r="AH278">
        <f>O278*(1 + Scenario_Control!$B$3)</f>
        <v>1405.2674999999999</v>
      </c>
      <c r="AI278">
        <f t="shared" si="72"/>
        <v>17500.726319999998</v>
      </c>
      <c r="AJ278">
        <f t="shared" si="73"/>
        <v>-44331.043680000002</v>
      </c>
      <c r="AK278" s="29">
        <f>MIN(Q278*(1-U278), Scenario_Control!$B$2*Q278)</f>
        <v>449.428</v>
      </c>
      <c r="AL278" s="15">
        <f t="shared" si="74"/>
        <v>0</v>
      </c>
      <c r="AM278" s="8">
        <f>DATEDIF(Table1[[#This Row],[Country_FirstMonth]], Table1[[#This Row],[MonthDate]], "m")</f>
        <v>14</v>
      </c>
    </row>
    <row r="279" spans="1:39" x14ac:dyDescent="0.25">
      <c r="A279" t="s">
        <v>291</v>
      </c>
      <c r="B279" s="12">
        <v>45832</v>
      </c>
      <c r="C279" s="12">
        <f t="shared" si="60"/>
        <v>45852</v>
      </c>
      <c r="D279" s="2" t="str">
        <f>IF(Table1[[#This Row],[RequiredDate]]&lt;Table1[[#This Row],[OrderDate]],"Check","OK")</f>
        <v>OK</v>
      </c>
      <c r="E279" s="2">
        <v>45852</v>
      </c>
      <c r="F279" s="15">
        <f t="shared" si="61"/>
        <v>20</v>
      </c>
      <c r="G279" t="s">
        <v>649</v>
      </c>
      <c r="H279" t="s">
        <v>656</v>
      </c>
      <c r="I279" t="s">
        <v>671</v>
      </c>
      <c r="J279" t="s">
        <v>701</v>
      </c>
      <c r="K279" t="s">
        <v>711</v>
      </c>
      <c r="L279" t="s">
        <v>719</v>
      </c>
      <c r="M279" t="s">
        <v>733</v>
      </c>
      <c r="N279" t="s">
        <v>1011</v>
      </c>
      <c r="O279" s="29">
        <v>385.08</v>
      </c>
      <c r="P279" t="str">
        <f>IF(Table1[[#This Row],[UnitPrice]]&lt;=0,"Check","OK")</f>
        <v>OK</v>
      </c>
      <c r="Q279" s="29">
        <f t="shared" si="62"/>
        <v>893.19</v>
      </c>
      <c r="R279">
        <v>893.19</v>
      </c>
      <c r="S279" s="5">
        <f>IF(Table1[[#This Row],[Discount_Flag]]="Check", MIN(MAX(Table1[[#This Row],[DiscountPct]],0),0.3), Table1[[#This Row],[DiscountPct]])</f>
        <v>0.151</v>
      </c>
      <c r="T279" t="str">
        <f>IF(OR(Table1[[#This Row],[DiscountPct]]&lt;0,Table1[[#This Row],[DiscountPct]]&gt;0.3),"Check","OK")</f>
        <v>OK</v>
      </c>
      <c r="U279" s="11">
        <v>0.151</v>
      </c>
      <c r="V279" s="15">
        <f t="shared" si="63"/>
        <v>0</v>
      </c>
      <c r="W279" s="11">
        <f t="shared" si="64"/>
        <v>0.49219213762621666</v>
      </c>
      <c r="X279" s="17">
        <f t="shared" si="65"/>
        <v>3080.64</v>
      </c>
      <c r="Y279" s="17">
        <f t="shared" si="66"/>
        <v>2985.9064800000001</v>
      </c>
      <c r="Z279" s="17">
        <f t="shared" si="67"/>
        <v>6066.54648</v>
      </c>
      <c r="AA279" s="17" t="str">
        <f t="shared" si="68"/>
        <v>Q2-2025</v>
      </c>
      <c r="AB279" s="12" t="str">
        <f t="shared" si="69"/>
        <v>Jun-2025</v>
      </c>
      <c r="AC279" s="12" t="str">
        <f t="shared" si="70"/>
        <v>Medium</v>
      </c>
      <c r="AD279">
        <v>8</v>
      </c>
      <c r="AE279" s="12">
        <f>_xlfn.MINIFS(Table1[MonthDate], Table1[Country], Table1[[#This Row],[Country]])</f>
        <v>44927</v>
      </c>
      <c r="AF279" s="12">
        <f t="shared" si="71"/>
        <v>45809</v>
      </c>
      <c r="AG279">
        <f>AD279*(1 + Scenario_Control!$B$4)</f>
        <v>8.8000000000000007</v>
      </c>
      <c r="AH279">
        <f>O279*(1 + Scenario_Control!$B$3)</f>
        <v>404.334</v>
      </c>
      <c r="AI279">
        <f t="shared" si="72"/>
        <v>1334.6402256000003</v>
      </c>
      <c r="AJ279">
        <f t="shared" si="73"/>
        <v>-2223.4989744000004</v>
      </c>
      <c r="AK279" s="29">
        <f>MIN(Q279*(1-U279), Scenario_Control!$B$2*Q279)</f>
        <v>178.63800000000003</v>
      </c>
      <c r="AL279" s="15">
        <f t="shared" si="74"/>
        <v>0</v>
      </c>
      <c r="AM279" s="8">
        <f>DATEDIF(Table1[[#This Row],[Country_FirstMonth]], Table1[[#This Row],[MonthDate]], "m")</f>
        <v>29</v>
      </c>
    </row>
    <row r="280" spans="1:39" x14ac:dyDescent="0.25">
      <c r="A280" t="s">
        <v>292</v>
      </c>
      <c r="B280" s="12">
        <v>45459</v>
      </c>
      <c r="C280" s="12">
        <f t="shared" si="60"/>
        <v>45476</v>
      </c>
      <c r="D280" s="2" t="str">
        <f>IF(Table1[[#This Row],[RequiredDate]]&lt;Table1[[#This Row],[OrderDate]],"Check","OK")</f>
        <v>OK</v>
      </c>
      <c r="E280" s="2">
        <v>45476</v>
      </c>
      <c r="F280" s="15">
        <f t="shared" si="61"/>
        <v>17</v>
      </c>
      <c r="G280" t="s">
        <v>646</v>
      </c>
      <c r="H280" t="s">
        <v>661</v>
      </c>
      <c r="I280" t="s">
        <v>682</v>
      </c>
      <c r="J280" t="s">
        <v>706</v>
      </c>
      <c r="K280" t="s">
        <v>709</v>
      </c>
      <c r="L280" t="s">
        <v>721</v>
      </c>
      <c r="M280" t="s">
        <v>730</v>
      </c>
      <c r="N280" t="s">
        <v>1012</v>
      </c>
      <c r="O280" s="29">
        <v>1173.83</v>
      </c>
      <c r="P280" t="str">
        <f>IF(Table1[[#This Row],[UnitPrice]]&lt;=0,"Check","OK")</f>
        <v>OK</v>
      </c>
      <c r="Q280" s="29">
        <f t="shared" si="62"/>
        <v>2328.9</v>
      </c>
      <c r="R280">
        <v>2328.9</v>
      </c>
      <c r="S280" s="5">
        <f>IF(Table1[[#This Row],[Discount_Flag]]="Check", MIN(MAX(Table1[[#This Row],[DiscountPct]],0),0.3), Table1[[#This Row],[DiscountPct]])</f>
        <v>0.12</v>
      </c>
      <c r="T280" t="str">
        <f>IF(OR(Table1[[#This Row],[DiscountPct]]&lt;0,Table1[[#This Row],[DiscountPct]]&gt;0.3),"Check","OK")</f>
        <v>OK</v>
      </c>
      <c r="U280" s="11">
        <v>0.12</v>
      </c>
      <c r="V280" s="15">
        <f t="shared" si="63"/>
        <v>0</v>
      </c>
      <c r="W280" s="11">
        <f t="shared" si="64"/>
        <v>0.42724130393201637</v>
      </c>
      <c r="X280" s="17">
        <f t="shared" si="65"/>
        <v>19955.11</v>
      </c>
      <c r="Y280" s="17">
        <f t="shared" si="66"/>
        <v>14885.234000000004</v>
      </c>
      <c r="Z280" s="17">
        <f t="shared" si="67"/>
        <v>34840.344000000005</v>
      </c>
      <c r="AA280" s="17" t="str">
        <f t="shared" si="68"/>
        <v>Q2-2024</v>
      </c>
      <c r="AB280" s="12" t="str">
        <f t="shared" si="69"/>
        <v>Jun-2024</v>
      </c>
      <c r="AC280" s="12" t="str">
        <f t="shared" si="70"/>
        <v>High</v>
      </c>
      <c r="AD280">
        <v>17</v>
      </c>
      <c r="AE280" s="12">
        <f>_xlfn.MINIFS(Table1[MonthDate], Table1[Country], Table1[[#This Row],[Country]])</f>
        <v>44927</v>
      </c>
      <c r="AF280" s="12">
        <f t="shared" si="71"/>
        <v>45444</v>
      </c>
      <c r="AG280">
        <f>AD280*(1 + Scenario_Control!$B$4)</f>
        <v>18.700000000000003</v>
      </c>
      <c r="AH280">
        <f>O280*(1 + Scenario_Control!$B$3)</f>
        <v>1232.5215000000001</v>
      </c>
      <c r="AI280">
        <f t="shared" si="72"/>
        <v>7664.875680000001</v>
      </c>
      <c r="AJ280">
        <f t="shared" si="73"/>
        <v>-15383.276370000003</v>
      </c>
      <c r="AK280" s="29">
        <f>MIN(Q280*(1-U280), Scenario_Control!$B$2*Q280)</f>
        <v>465.78000000000003</v>
      </c>
      <c r="AL280" s="15">
        <f t="shared" si="74"/>
        <v>0</v>
      </c>
      <c r="AM280" s="8">
        <f>DATEDIF(Table1[[#This Row],[Country_FirstMonth]], Table1[[#This Row],[MonthDate]], "m")</f>
        <v>17</v>
      </c>
    </row>
    <row r="281" spans="1:39" x14ac:dyDescent="0.25">
      <c r="A281" t="s">
        <v>293</v>
      </c>
      <c r="B281" s="12">
        <v>45229</v>
      </c>
      <c r="C281" s="12">
        <f t="shared" si="60"/>
        <v>45244</v>
      </c>
      <c r="D281" s="2" t="str">
        <f>IF(Table1[[#This Row],[RequiredDate]]&lt;Table1[[#This Row],[OrderDate]],"Check","OK")</f>
        <v>OK</v>
      </c>
      <c r="E281" s="2">
        <v>45244</v>
      </c>
      <c r="F281" s="15">
        <f t="shared" si="61"/>
        <v>15</v>
      </c>
      <c r="G281" t="s">
        <v>647</v>
      </c>
      <c r="H281" t="s">
        <v>654</v>
      </c>
      <c r="I281" t="s">
        <v>668</v>
      </c>
      <c r="J281" t="s">
        <v>701</v>
      </c>
      <c r="K281" t="s">
        <v>708</v>
      </c>
      <c r="L281" t="s">
        <v>721</v>
      </c>
      <c r="M281" t="s">
        <v>731</v>
      </c>
      <c r="N281" t="s">
        <v>1013</v>
      </c>
      <c r="O281" s="29">
        <v>953.46</v>
      </c>
      <c r="P281" t="str">
        <f>IF(Table1[[#This Row],[UnitPrice]]&lt;=0,"Check","OK")</f>
        <v>OK</v>
      </c>
      <c r="Q281" s="29">
        <f t="shared" si="62"/>
        <v>2066.75</v>
      </c>
      <c r="R281">
        <v>2066.75</v>
      </c>
      <c r="S281" s="5">
        <f>IF(Table1[[#This Row],[Discount_Flag]]="Check", MIN(MAX(Table1[[#This Row],[DiscountPct]],0),0.3), Table1[[#This Row],[DiscountPct]])</f>
        <v>0.13800000000000001</v>
      </c>
      <c r="T281" t="str">
        <f>IF(OR(Table1[[#This Row],[DiscountPct]]&lt;0,Table1[[#This Row],[DiscountPct]]&gt;0.3),"Check","OK")</f>
        <v>OK</v>
      </c>
      <c r="U281" s="11">
        <v>0.13800000000000001</v>
      </c>
      <c r="V281" s="15">
        <f t="shared" si="63"/>
        <v>0</v>
      </c>
      <c r="W281" s="11">
        <f t="shared" si="64"/>
        <v>0.46481089238318446</v>
      </c>
      <c r="X281" s="17">
        <f t="shared" si="65"/>
        <v>4767.3</v>
      </c>
      <c r="Y281" s="17">
        <f t="shared" si="66"/>
        <v>4140.392499999999</v>
      </c>
      <c r="Z281" s="17">
        <f t="shared" si="67"/>
        <v>8907.6924999999992</v>
      </c>
      <c r="AA281" s="17" t="str">
        <f t="shared" si="68"/>
        <v>Q4-2023</v>
      </c>
      <c r="AB281" s="12" t="str">
        <f t="shared" si="69"/>
        <v>Oct-2023</v>
      </c>
      <c r="AC281" s="12" t="str">
        <f t="shared" si="70"/>
        <v>High</v>
      </c>
      <c r="AD281">
        <v>5</v>
      </c>
      <c r="AE281" s="12">
        <f>_xlfn.MINIFS(Table1[MonthDate], Table1[Country], Table1[[#This Row],[Country]])</f>
        <v>44927</v>
      </c>
      <c r="AF281" s="12">
        <f t="shared" si="71"/>
        <v>45200</v>
      </c>
      <c r="AG281">
        <f>AD281*(1 + Scenario_Control!$B$4)</f>
        <v>5.5</v>
      </c>
      <c r="AH281">
        <f>O281*(1 + Scenario_Control!$B$3)</f>
        <v>1001.133</v>
      </c>
      <c r="AI281">
        <f t="shared" si="72"/>
        <v>1959.69235</v>
      </c>
      <c r="AJ281">
        <f t="shared" si="73"/>
        <v>-3546.5391499999996</v>
      </c>
      <c r="AK281" s="29">
        <f>MIN(Q281*(1-U281), Scenario_Control!$B$2*Q281)</f>
        <v>413.35</v>
      </c>
      <c r="AL281" s="15">
        <f t="shared" si="74"/>
        <v>0</v>
      </c>
      <c r="AM281" s="8">
        <f>DATEDIF(Table1[[#This Row],[Country_FirstMonth]], Table1[[#This Row],[MonthDate]], "m")</f>
        <v>9</v>
      </c>
    </row>
    <row r="282" spans="1:39" x14ac:dyDescent="0.25">
      <c r="A282" t="s">
        <v>294</v>
      </c>
      <c r="B282" s="12">
        <v>45092</v>
      </c>
      <c r="C282" s="12">
        <f t="shared" si="60"/>
        <v>45100</v>
      </c>
      <c r="D282" s="2" t="str">
        <f>IF(Table1[[#This Row],[RequiredDate]]&lt;Table1[[#This Row],[OrderDate]],"Check","OK")</f>
        <v>OK</v>
      </c>
      <c r="E282" s="2">
        <v>45100</v>
      </c>
      <c r="F282" s="15">
        <f t="shared" si="61"/>
        <v>8</v>
      </c>
      <c r="G282" t="s">
        <v>648</v>
      </c>
      <c r="H282" t="s">
        <v>660</v>
      </c>
      <c r="I282" t="s">
        <v>686</v>
      </c>
      <c r="J282" t="s">
        <v>704</v>
      </c>
      <c r="K282" t="s">
        <v>710</v>
      </c>
      <c r="L282" t="s">
        <v>719</v>
      </c>
      <c r="M282" t="s">
        <v>732</v>
      </c>
      <c r="N282" t="s">
        <v>1014</v>
      </c>
      <c r="O282" s="29">
        <v>1097.0899999999999</v>
      </c>
      <c r="P282" t="str">
        <f>IF(Table1[[#This Row],[UnitPrice]]&lt;=0,"Check","OK")</f>
        <v>OK</v>
      </c>
      <c r="Q282" s="29">
        <f t="shared" si="62"/>
        <v>2182.31</v>
      </c>
      <c r="R282">
        <v>2182.31</v>
      </c>
      <c r="S282" s="5">
        <f>IF(Table1[[#This Row],[Discount_Flag]]="Check", MIN(MAX(Table1[[#This Row],[DiscountPct]],0),0.3), Table1[[#This Row],[DiscountPct]])</f>
        <v>0.112</v>
      </c>
      <c r="T282" t="str">
        <f>IF(OR(Table1[[#This Row],[DiscountPct]]&lt;0,Table1[[#This Row],[DiscountPct]]&gt;0.3),"Check","OK")</f>
        <v>OK</v>
      </c>
      <c r="U282" s="11">
        <v>0.112</v>
      </c>
      <c r="V282" s="15">
        <f t="shared" si="63"/>
        <v>0</v>
      </c>
      <c r="W282" s="11">
        <f t="shared" si="64"/>
        <v>0.43387432962699546</v>
      </c>
      <c r="X282" s="17">
        <f t="shared" si="65"/>
        <v>9873.81</v>
      </c>
      <c r="Y282" s="17">
        <f t="shared" si="66"/>
        <v>7567.2115200000026</v>
      </c>
      <c r="Z282" s="17">
        <f t="shared" si="67"/>
        <v>17441.021520000002</v>
      </c>
      <c r="AA282" s="17" t="str">
        <f t="shared" si="68"/>
        <v>Q2-2023</v>
      </c>
      <c r="AB282" s="12" t="str">
        <f t="shared" si="69"/>
        <v>Jun-2023</v>
      </c>
      <c r="AC282" s="12" t="str">
        <f t="shared" si="70"/>
        <v>High</v>
      </c>
      <c r="AD282">
        <v>9</v>
      </c>
      <c r="AE282" s="12">
        <f>_xlfn.MINIFS(Table1[MonthDate], Table1[Country], Table1[[#This Row],[Country]])</f>
        <v>44927</v>
      </c>
      <c r="AF282" s="12">
        <f t="shared" si="71"/>
        <v>45078</v>
      </c>
      <c r="AG282">
        <f>AD282*(1 + Scenario_Control!$B$4)</f>
        <v>9.9</v>
      </c>
      <c r="AH282">
        <f>O282*(1 + Scenario_Control!$B$3)</f>
        <v>1151.9445000000001</v>
      </c>
      <c r="AI282">
        <f t="shared" si="72"/>
        <v>3837.0247343999999</v>
      </c>
      <c r="AJ282">
        <f t="shared" si="73"/>
        <v>-7567.2258156000007</v>
      </c>
      <c r="AK282" s="29">
        <f>MIN(Q282*(1-U282), Scenario_Control!$B$2*Q282)</f>
        <v>436.46199999999999</v>
      </c>
      <c r="AL282" s="15">
        <f t="shared" si="74"/>
        <v>0</v>
      </c>
      <c r="AM282" s="8">
        <f>DATEDIF(Table1[[#This Row],[Country_FirstMonth]], Table1[[#This Row],[MonthDate]], "m")</f>
        <v>5</v>
      </c>
    </row>
    <row r="283" spans="1:39" x14ac:dyDescent="0.25">
      <c r="A283" t="s">
        <v>295</v>
      </c>
      <c r="B283" s="12">
        <v>45730</v>
      </c>
      <c r="C283" s="12">
        <f t="shared" si="60"/>
        <v>45745</v>
      </c>
      <c r="D283" s="2" t="str">
        <f>IF(Table1[[#This Row],[RequiredDate]]&lt;Table1[[#This Row],[OrderDate]],"Check","OK")</f>
        <v>OK</v>
      </c>
      <c r="E283" s="2">
        <v>45745</v>
      </c>
      <c r="F283" s="15">
        <f t="shared" si="61"/>
        <v>15</v>
      </c>
      <c r="G283" t="s">
        <v>647</v>
      </c>
      <c r="H283" t="s">
        <v>652</v>
      </c>
      <c r="I283" t="s">
        <v>689</v>
      </c>
      <c r="J283" t="s">
        <v>703</v>
      </c>
      <c r="K283" t="s">
        <v>711</v>
      </c>
      <c r="L283" t="s">
        <v>722</v>
      </c>
      <c r="M283" t="s">
        <v>729</v>
      </c>
      <c r="N283" t="s">
        <v>1015</v>
      </c>
      <c r="O283" s="29">
        <v>1106.96</v>
      </c>
      <c r="P283" t="str">
        <f>IF(Table1[[#This Row],[UnitPrice]]&lt;=0,"Check","OK")</f>
        <v>OK</v>
      </c>
      <c r="Q283" s="29">
        <f t="shared" si="62"/>
        <v>2726.62</v>
      </c>
      <c r="R283">
        <v>2726.62</v>
      </c>
      <c r="S283" s="5">
        <f>IF(Table1[[#This Row],[Discount_Flag]]="Check", MIN(MAX(Table1[[#This Row],[DiscountPct]],0),0.3), Table1[[#This Row],[DiscountPct]])</f>
        <v>0.3</v>
      </c>
      <c r="T283" t="str">
        <f>IF(OR(Table1[[#This Row],[DiscountPct]]&lt;0,Table1[[#This Row],[DiscountPct]]&gt;0.3),"Check","OK")</f>
        <v>Check</v>
      </c>
      <c r="U283" s="11">
        <v>0.317</v>
      </c>
      <c r="V283" s="15">
        <f t="shared" si="63"/>
        <v>1</v>
      </c>
      <c r="W283" s="11">
        <f t="shared" si="64"/>
        <v>0.42002500217432992</v>
      </c>
      <c r="X283" s="17">
        <f t="shared" si="65"/>
        <v>7748.72</v>
      </c>
      <c r="Y283" s="17">
        <f t="shared" si="66"/>
        <v>5611.7179999999998</v>
      </c>
      <c r="Z283" s="17">
        <f t="shared" si="67"/>
        <v>13360.438</v>
      </c>
      <c r="AA283" s="17" t="str">
        <f t="shared" si="68"/>
        <v>Q1-2025</v>
      </c>
      <c r="AB283" s="12" t="str">
        <f t="shared" si="69"/>
        <v>Mar-2025</v>
      </c>
      <c r="AC283" s="12" t="str">
        <f t="shared" si="70"/>
        <v>High</v>
      </c>
      <c r="AD283">
        <v>7</v>
      </c>
      <c r="AE283" s="12">
        <f>_xlfn.MINIFS(Table1[MonthDate], Table1[Country], Table1[[#This Row],[Country]])</f>
        <v>44986</v>
      </c>
      <c r="AF283" s="12">
        <f t="shared" si="71"/>
        <v>45717</v>
      </c>
      <c r="AG283">
        <f>AD283*(1 + Scenario_Control!$B$4)</f>
        <v>7.7000000000000011</v>
      </c>
      <c r="AH283">
        <f>O283*(1 + Scenario_Control!$B$3)</f>
        <v>1162.308</v>
      </c>
      <c r="AI283">
        <f t="shared" si="72"/>
        <v>2867.9134484000006</v>
      </c>
      <c r="AJ283">
        <f t="shared" si="73"/>
        <v>-6081.8581516000013</v>
      </c>
      <c r="AK283" s="29">
        <f>MIN(Q283*(1-U283), Scenario_Control!$B$2*Q283)</f>
        <v>545.32399999999996</v>
      </c>
      <c r="AL283" s="15">
        <f t="shared" si="74"/>
        <v>0</v>
      </c>
      <c r="AM283" s="8">
        <f>DATEDIF(Table1[[#This Row],[Country_FirstMonth]], Table1[[#This Row],[MonthDate]], "m")</f>
        <v>24</v>
      </c>
    </row>
    <row r="284" spans="1:39" x14ac:dyDescent="0.25">
      <c r="A284" t="s">
        <v>296</v>
      </c>
      <c r="B284" s="12">
        <v>45153</v>
      </c>
      <c r="C284" s="12">
        <f t="shared" si="60"/>
        <v>45163</v>
      </c>
      <c r="D284" s="2" t="str">
        <f>IF(Table1[[#This Row],[RequiredDate]]&lt;Table1[[#This Row],[OrderDate]],"Check","OK")</f>
        <v>OK</v>
      </c>
      <c r="E284" s="2">
        <v>45163</v>
      </c>
      <c r="F284" s="15">
        <f t="shared" si="61"/>
        <v>10</v>
      </c>
      <c r="G284" t="s">
        <v>646</v>
      </c>
      <c r="H284" t="s">
        <v>650</v>
      </c>
      <c r="I284" t="s">
        <v>664</v>
      </c>
      <c r="J284" t="s">
        <v>705</v>
      </c>
      <c r="K284" t="s">
        <v>707</v>
      </c>
      <c r="L284" t="s">
        <v>725</v>
      </c>
      <c r="M284" t="s">
        <v>730</v>
      </c>
      <c r="N284" t="s">
        <v>1016</v>
      </c>
      <c r="O284" s="29">
        <v>91.85</v>
      </c>
      <c r="P284" t="str">
        <f>IF(Table1[[#This Row],[UnitPrice]]&lt;=0,"Check","OK")</f>
        <v>OK</v>
      </c>
      <c r="Q284" s="29">
        <f t="shared" si="62"/>
        <v>111.29</v>
      </c>
      <c r="R284">
        <v>111.29</v>
      </c>
      <c r="S284" s="5">
        <f>IF(Table1[[#This Row],[Discount_Flag]]="Check", MIN(MAX(Table1[[#This Row],[DiscountPct]],0),0.3), Table1[[#This Row],[DiscountPct]])</f>
        <v>0</v>
      </c>
      <c r="T284" t="str">
        <f>IF(OR(Table1[[#This Row],[DiscountPct]]&lt;0,Table1[[#This Row],[DiscountPct]]&gt;0.3),"Check","OK")</f>
        <v>OK</v>
      </c>
      <c r="U284" s="11">
        <v>0</v>
      </c>
      <c r="V284" s="15">
        <f t="shared" si="63"/>
        <v>0</v>
      </c>
      <c r="W284" s="11">
        <f t="shared" si="64"/>
        <v>0.17467876718483258</v>
      </c>
      <c r="X284" s="17">
        <f t="shared" si="65"/>
        <v>551.09999999999991</v>
      </c>
      <c r="Y284" s="17">
        <f t="shared" si="66"/>
        <v>116.6400000000001</v>
      </c>
      <c r="Z284" s="17">
        <f t="shared" si="67"/>
        <v>667.74</v>
      </c>
      <c r="AA284" s="17" t="str">
        <f t="shared" si="68"/>
        <v>Q3-2023</v>
      </c>
      <c r="AB284" s="12" t="str">
        <f t="shared" si="69"/>
        <v>Aug-2023</v>
      </c>
      <c r="AC284" s="12" t="str">
        <f t="shared" si="70"/>
        <v>Low</v>
      </c>
      <c r="AD284">
        <v>6</v>
      </c>
      <c r="AE284" s="12">
        <f>_xlfn.MINIFS(Table1[MonthDate], Table1[Country], Table1[[#This Row],[Country]])</f>
        <v>44927</v>
      </c>
      <c r="AF284" s="12">
        <f t="shared" si="71"/>
        <v>45139</v>
      </c>
      <c r="AG284">
        <f>AD284*(1 + Scenario_Control!$B$4)</f>
        <v>6.6000000000000005</v>
      </c>
      <c r="AH284">
        <f>O284*(1 + Scenario_Control!$B$3)</f>
        <v>96.442499999999995</v>
      </c>
      <c r="AI284">
        <f t="shared" si="72"/>
        <v>146.90280000000004</v>
      </c>
      <c r="AJ284">
        <f t="shared" si="73"/>
        <v>-489.6176999999999</v>
      </c>
      <c r="AK284" s="29">
        <f>MIN(Q284*(1-U284), Scenario_Control!$B$2*Q284)</f>
        <v>22.258000000000003</v>
      </c>
      <c r="AL284" s="15">
        <f t="shared" si="74"/>
        <v>0</v>
      </c>
      <c r="AM284" s="8">
        <f>DATEDIF(Table1[[#This Row],[Country_FirstMonth]], Table1[[#This Row],[MonthDate]], "m")</f>
        <v>7</v>
      </c>
    </row>
    <row r="285" spans="1:39" x14ac:dyDescent="0.25">
      <c r="A285" t="s">
        <v>297</v>
      </c>
      <c r="B285" s="12">
        <v>45794</v>
      </c>
      <c r="C285" s="12">
        <f t="shared" si="60"/>
        <v>45805</v>
      </c>
      <c r="D285" s="2" t="str">
        <f>IF(Table1[[#This Row],[RequiredDate]]&lt;Table1[[#This Row],[OrderDate]],"Check","OK")</f>
        <v>OK</v>
      </c>
      <c r="E285" s="2">
        <v>45805</v>
      </c>
      <c r="F285" s="15">
        <f t="shared" si="61"/>
        <v>11</v>
      </c>
      <c r="G285" t="s">
        <v>647</v>
      </c>
      <c r="H285" t="s">
        <v>654</v>
      </c>
      <c r="I285" t="s">
        <v>668</v>
      </c>
      <c r="J285" t="s">
        <v>701</v>
      </c>
      <c r="K285" t="s">
        <v>710</v>
      </c>
      <c r="L285" t="s">
        <v>717</v>
      </c>
      <c r="M285" t="s">
        <v>731</v>
      </c>
      <c r="N285" t="s">
        <v>1017</v>
      </c>
      <c r="O285" s="29">
        <v>623.4</v>
      </c>
      <c r="P285" t="str">
        <f>IF(Table1[[#This Row],[UnitPrice]]&lt;=0,"Check","OK")</f>
        <v>OK</v>
      </c>
      <c r="Q285" s="29">
        <f t="shared" si="62"/>
        <v>1100.0899999999999</v>
      </c>
      <c r="R285">
        <v>1100.0899999999999</v>
      </c>
      <c r="S285" s="5">
        <f>IF(Table1[[#This Row],[Discount_Flag]]="Check", MIN(MAX(Table1[[#This Row],[DiscountPct]],0),0.3), Table1[[#This Row],[DiscountPct]])</f>
        <v>0.114</v>
      </c>
      <c r="T285" t="str">
        <f>IF(OR(Table1[[#This Row],[DiscountPct]]&lt;0,Table1[[#This Row],[DiscountPct]]&gt;0.3),"Check","OK")</f>
        <v>OK</v>
      </c>
      <c r="U285" s="11">
        <v>0.114</v>
      </c>
      <c r="V285" s="15">
        <f t="shared" si="63"/>
        <v>0</v>
      </c>
      <c r="W285" s="11">
        <f t="shared" si="64"/>
        <v>0.36040529579490388</v>
      </c>
      <c r="X285" s="17">
        <f t="shared" si="65"/>
        <v>7480.7999999999993</v>
      </c>
      <c r="Y285" s="17">
        <f t="shared" si="66"/>
        <v>4215.3568799999994</v>
      </c>
      <c r="Z285" s="17">
        <f t="shared" si="67"/>
        <v>11696.156879999999</v>
      </c>
      <c r="AA285" s="17" t="str">
        <f t="shared" si="68"/>
        <v>Q2-2025</v>
      </c>
      <c r="AB285" s="12" t="str">
        <f t="shared" si="69"/>
        <v>May-2025</v>
      </c>
      <c r="AC285" s="12" t="str">
        <f t="shared" si="70"/>
        <v>Medium</v>
      </c>
      <c r="AD285">
        <v>12</v>
      </c>
      <c r="AE285" s="12">
        <f>_xlfn.MINIFS(Table1[MonthDate], Table1[Country], Table1[[#This Row],[Country]])</f>
        <v>44927</v>
      </c>
      <c r="AF285" s="12">
        <f t="shared" si="71"/>
        <v>45778</v>
      </c>
      <c r="AG285">
        <f>AD285*(1 + Scenario_Control!$B$4)</f>
        <v>13.200000000000001</v>
      </c>
      <c r="AH285">
        <f>O285*(1 + Scenario_Control!$B$3)</f>
        <v>654.57000000000005</v>
      </c>
      <c r="AI285">
        <f t="shared" si="72"/>
        <v>2573.1545136000004</v>
      </c>
      <c r="AJ285">
        <f t="shared" si="73"/>
        <v>-6067.1694864000001</v>
      </c>
      <c r="AK285" s="29">
        <f>MIN(Q285*(1-U285), Scenario_Control!$B$2*Q285)</f>
        <v>220.018</v>
      </c>
      <c r="AL285" s="15">
        <f t="shared" si="74"/>
        <v>0</v>
      </c>
      <c r="AM285" s="8">
        <f>DATEDIF(Table1[[#This Row],[Country_FirstMonth]], Table1[[#This Row],[MonthDate]], "m")</f>
        <v>28</v>
      </c>
    </row>
    <row r="286" spans="1:39" x14ac:dyDescent="0.25">
      <c r="A286" t="s">
        <v>298</v>
      </c>
      <c r="B286" s="12">
        <v>45304</v>
      </c>
      <c r="C286" s="12">
        <f t="shared" si="60"/>
        <v>45327</v>
      </c>
      <c r="D286" s="2" t="str">
        <f>IF(Table1[[#This Row],[RequiredDate]]&lt;Table1[[#This Row],[OrderDate]],"Check","OK")</f>
        <v>OK</v>
      </c>
      <c r="E286" s="2">
        <v>45327</v>
      </c>
      <c r="F286" s="15">
        <f t="shared" si="61"/>
        <v>23</v>
      </c>
      <c r="G286" t="s">
        <v>649</v>
      </c>
      <c r="H286" t="s">
        <v>656</v>
      </c>
      <c r="I286" t="s">
        <v>698</v>
      </c>
      <c r="J286" t="s">
        <v>702</v>
      </c>
      <c r="K286" t="s">
        <v>711</v>
      </c>
      <c r="L286" t="s">
        <v>717</v>
      </c>
      <c r="M286" t="s">
        <v>731</v>
      </c>
      <c r="N286" t="s">
        <v>1018</v>
      </c>
      <c r="O286" s="29">
        <v>1017.93</v>
      </c>
      <c r="P286" t="str">
        <f>IF(Table1[[#This Row],[UnitPrice]]&lt;=0,"Check","OK")</f>
        <v>OK</v>
      </c>
      <c r="Q286" s="29">
        <f t="shared" si="62"/>
        <v>1529.14</v>
      </c>
      <c r="R286">
        <v>1529.14</v>
      </c>
      <c r="S286" s="5">
        <f>IF(Table1[[#This Row],[Discount_Flag]]="Check", MIN(MAX(Table1[[#This Row],[DiscountPct]],0),0.3), Table1[[#This Row],[DiscountPct]])</f>
        <v>0.155</v>
      </c>
      <c r="T286" t="str">
        <f>IF(OR(Table1[[#This Row],[DiscountPct]]&lt;0,Table1[[#This Row],[DiscountPct]]&gt;0.3),"Check","OK")</f>
        <v>OK</v>
      </c>
      <c r="U286" s="11">
        <v>0.155</v>
      </c>
      <c r="V286" s="15">
        <f t="shared" si="63"/>
        <v>0</v>
      </c>
      <c r="W286" s="11">
        <f t="shared" si="64"/>
        <v>0.21220366508366503</v>
      </c>
      <c r="X286" s="17">
        <f t="shared" si="65"/>
        <v>12215.16</v>
      </c>
      <c r="Y286" s="17">
        <f t="shared" si="66"/>
        <v>3290.3196000000007</v>
      </c>
      <c r="Z286" s="17">
        <f t="shared" si="67"/>
        <v>15505.479600000001</v>
      </c>
      <c r="AA286" s="17" t="str">
        <f t="shared" si="68"/>
        <v>Q1-2024</v>
      </c>
      <c r="AB286" s="12" t="str">
        <f t="shared" si="69"/>
        <v>Jan-2024</v>
      </c>
      <c r="AC286" s="12" t="str">
        <f t="shared" si="70"/>
        <v>Medium</v>
      </c>
      <c r="AD286">
        <v>12</v>
      </c>
      <c r="AE286" s="12">
        <f>_xlfn.MINIFS(Table1[MonthDate], Table1[Country], Table1[[#This Row],[Country]])</f>
        <v>44927</v>
      </c>
      <c r="AF286" s="12">
        <f t="shared" si="71"/>
        <v>45292</v>
      </c>
      <c r="AG286">
        <f>AD286*(1 + Scenario_Control!$B$4)</f>
        <v>13.200000000000001</v>
      </c>
      <c r="AH286">
        <f>O286*(1 + Scenario_Control!$B$3)</f>
        <v>1068.8264999999999</v>
      </c>
      <c r="AI286">
        <f t="shared" si="72"/>
        <v>3411.2055120000005</v>
      </c>
      <c r="AJ286">
        <f t="shared" si="73"/>
        <v>-10697.304287999999</v>
      </c>
      <c r="AK286" s="29">
        <f>MIN(Q286*(1-U286), Scenario_Control!$B$2*Q286)</f>
        <v>305.82800000000003</v>
      </c>
      <c r="AL286" s="15">
        <f t="shared" si="74"/>
        <v>0</v>
      </c>
      <c r="AM286" s="8">
        <f>DATEDIF(Table1[[#This Row],[Country_FirstMonth]], Table1[[#This Row],[MonthDate]], "m")</f>
        <v>12</v>
      </c>
    </row>
    <row r="287" spans="1:39" x14ac:dyDescent="0.25">
      <c r="A287" t="s">
        <v>299</v>
      </c>
      <c r="B287" s="12">
        <v>45101</v>
      </c>
      <c r="C287" s="12">
        <f t="shared" si="60"/>
        <v>45128</v>
      </c>
      <c r="D287" s="2" t="str">
        <f>IF(Table1[[#This Row],[RequiredDate]]&lt;Table1[[#This Row],[OrderDate]],"Check","OK")</f>
        <v>OK</v>
      </c>
      <c r="E287" s="2">
        <v>45128</v>
      </c>
      <c r="F287" s="15">
        <f t="shared" si="61"/>
        <v>27</v>
      </c>
      <c r="G287" t="s">
        <v>647</v>
      </c>
      <c r="H287" t="s">
        <v>652</v>
      </c>
      <c r="I287" t="s">
        <v>694</v>
      </c>
      <c r="J287" t="s">
        <v>704</v>
      </c>
      <c r="K287" t="s">
        <v>709</v>
      </c>
      <c r="L287" t="s">
        <v>713</v>
      </c>
      <c r="M287" t="s">
        <v>730</v>
      </c>
      <c r="N287" t="s">
        <v>1019</v>
      </c>
      <c r="O287" s="29">
        <v>554.76</v>
      </c>
      <c r="P287" t="str">
        <f>IF(Table1[[#This Row],[UnitPrice]]&lt;=0,"Check","OK")</f>
        <v>OK</v>
      </c>
      <c r="Q287" s="29">
        <f t="shared" si="62"/>
        <v>728.69</v>
      </c>
      <c r="R287">
        <v>728.69</v>
      </c>
      <c r="S287" s="5">
        <f>IF(Table1[[#This Row],[Discount_Flag]]="Check", MIN(MAX(Table1[[#This Row],[DiscountPct]],0),0.3), Table1[[#This Row],[DiscountPct]])</f>
        <v>0.22</v>
      </c>
      <c r="T287" t="str">
        <f>IF(OR(Table1[[#This Row],[DiscountPct]]&lt;0,Table1[[#This Row],[DiscountPct]]&gt;0.3),"Check","OK")</f>
        <v>OK</v>
      </c>
      <c r="U287" s="11">
        <v>0.22</v>
      </c>
      <c r="V287" s="15">
        <f t="shared" si="63"/>
        <v>1</v>
      </c>
      <c r="W287" s="11">
        <f t="shared" si="64"/>
        <v>2.395975074343119E-2</v>
      </c>
      <c r="X287" s="17">
        <f t="shared" si="65"/>
        <v>3883.3199999999997</v>
      </c>
      <c r="Y287" s="17">
        <f t="shared" si="66"/>
        <v>95.32740000000058</v>
      </c>
      <c r="Z287" s="17">
        <f t="shared" si="67"/>
        <v>3978.6474000000003</v>
      </c>
      <c r="AA287" s="17" t="str">
        <f t="shared" si="68"/>
        <v>Q2-2023</v>
      </c>
      <c r="AB287" s="12" t="str">
        <f t="shared" si="69"/>
        <v>Jun-2023</v>
      </c>
      <c r="AC287" s="12" t="str">
        <f t="shared" si="70"/>
        <v>Medium</v>
      </c>
      <c r="AD287">
        <v>7</v>
      </c>
      <c r="AE287" s="12">
        <f>_xlfn.MINIFS(Table1[MonthDate], Table1[Country], Table1[[#This Row],[Country]])</f>
        <v>44986</v>
      </c>
      <c r="AF287" s="12">
        <f t="shared" si="71"/>
        <v>45078</v>
      </c>
      <c r="AG287">
        <f>AD287*(1 + Scenario_Control!$B$4)</f>
        <v>7.7000000000000011</v>
      </c>
      <c r="AH287">
        <f>O287*(1 + Scenario_Control!$B$3)</f>
        <v>582.49800000000005</v>
      </c>
      <c r="AI287">
        <f t="shared" si="72"/>
        <v>875.3024280000003</v>
      </c>
      <c r="AJ287">
        <f t="shared" si="73"/>
        <v>-3609.9321720000003</v>
      </c>
      <c r="AK287" s="29">
        <f>MIN(Q287*(1-U287), Scenario_Control!$B$2*Q287)</f>
        <v>145.73800000000003</v>
      </c>
      <c r="AL287" s="15">
        <f t="shared" si="74"/>
        <v>0</v>
      </c>
      <c r="AM287" s="8">
        <f>DATEDIF(Table1[[#This Row],[Country_FirstMonth]], Table1[[#This Row],[MonthDate]], "m")</f>
        <v>3</v>
      </c>
    </row>
    <row r="288" spans="1:39" x14ac:dyDescent="0.25">
      <c r="A288" t="s">
        <v>300</v>
      </c>
      <c r="B288" s="12">
        <v>45751</v>
      </c>
      <c r="C288" s="12">
        <f t="shared" si="60"/>
        <v>45760</v>
      </c>
      <c r="D288" s="2" t="str">
        <f>IF(Table1[[#This Row],[RequiredDate]]&lt;Table1[[#This Row],[OrderDate]],"Check","OK")</f>
        <v>OK</v>
      </c>
      <c r="E288" s="2">
        <v>45760</v>
      </c>
      <c r="F288" s="15">
        <f t="shared" si="61"/>
        <v>9</v>
      </c>
      <c r="G288" t="s">
        <v>649</v>
      </c>
      <c r="H288" t="s">
        <v>656</v>
      </c>
      <c r="I288" t="s">
        <v>684</v>
      </c>
      <c r="J288" t="s">
        <v>704</v>
      </c>
      <c r="K288" t="s">
        <v>709</v>
      </c>
      <c r="L288" t="s">
        <v>721</v>
      </c>
      <c r="M288" t="s">
        <v>730</v>
      </c>
      <c r="N288" t="s">
        <v>1020</v>
      </c>
      <c r="O288" s="29">
        <v>7.02</v>
      </c>
      <c r="P288" t="str">
        <f>IF(Table1[[#This Row],[UnitPrice]]&lt;=0,"Check","OK")</f>
        <v>OK</v>
      </c>
      <c r="Q288" s="29">
        <f t="shared" si="62"/>
        <v>6.28</v>
      </c>
      <c r="R288">
        <v>6.28</v>
      </c>
      <c r="S288" s="5">
        <f>IF(Table1[[#This Row],[Discount_Flag]]="Check", MIN(MAX(Table1[[#This Row],[DiscountPct]],0),0.3), Table1[[#This Row],[DiscountPct]])</f>
        <v>0.13400000000000001</v>
      </c>
      <c r="T288" t="str">
        <f>IF(OR(Table1[[#This Row],[DiscountPct]]&lt;0,Table1[[#This Row],[DiscountPct]]&gt;0.3),"Check","OK")</f>
        <v>OK</v>
      </c>
      <c r="U288" s="11">
        <v>0.13400000000000001</v>
      </c>
      <c r="V288" s="15">
        <f t="shared" si="63"/>
        <v>0</v>
      </c>
      <c r="W288" s="11">
        <f t="shared" si="64"/>
        <v>-0.29080184169106066</v>
      </c>
      <c r="X288" s="17">
        <f t="shared" si="65"/>
        <v>98.28</v>
      </c>
      <c r="Y288" s="17">
        <f t="shared" si="66"/>
        <v>-22.141279999999995</v>
      </c>
      <c r="Z288" s="17">
        <f t="shared" si="67"/>
        <v>76.138720000000006</v>
      </c>
      <c r="AA288" s="17" t="str">
        <f t="shared" si="68"/>
        <v>Q2-2025</v>
      </c>
      <c r="AB288" s="12" t="str">
        <f t="shared" si="69"/>
        <v>Apr-2025</v>
      </c>
      <c r="AC288" s="12" t="str">
        <f t="shared" si="70"/>
        <v>Low</v>
      </c>
      <c r="AD288">
        <v>14</v>
      </c>
      <c r="AE288" s="12">
        <f>_xlfn.MINIFS(Table1[MonthDate], Table1[Country], Table1[[#This Row],[Country]])</f>
        <v>44927</v>
      </c>
      <c r="AF288" s="12">
        <f t="shared" si="71"/>
        <v>45748</v>
      </c>
      <c r="AG288">
        <f>AD288*(1 + Scenario_Control!$B$4)</f>
        <v>15.400000000000002</v>
      </c>
      <c r="AH288">
        <f>O288*(1 + Scenario_Control!$B$3)</f>
        <v>7.3709999999999996</v>
      </c>
      <c r="AI288">
        <f t="shared" si="72"/>
        <v>16.750518400000004</v>
      </c>
      <c r="AJ288">
        <f t="shared" si="73"/>
        <v>-96.7628816</v>
      </c>
      <c r="AK288" s="29">
        <f>MIN(Q288*(1-U288), Scenario_Control!$B$2*Q288)</f>
        <v>1.2560000000000002</v>
      </c>
      <c r="AL288" s="15">
        <f t="shared" si="74"/>
        <v>0</v>
      </c>
      <c r="AM288" s="8">
        <f>DATEDIF(Table1[[#This Row],[Country_FirstMonth]], Table1[[#This Row],[MonthDate]], "m")</f>
        <v>27</v>
      </c>
    </row>
    <row r="289" spans="1:39" x14ac:dyDescent="0.25">
      <c r="A289" t="s">
        <v>301</v>
      </c>
      <c r="B289" s="12">
        <v>45542</v>
      </c>
      <c r="C289" s="12">
        <f t="shared" si="60"/>
        <v>45542</v>
      </c>
      <c r="D289" s="2" t="str">
        <f>IF(Table1[[#This Row],[RequiredDate]]&lt;Table1[[#This Row],[OrderDate]],"Check","OK")</f>
        <v>OK</v>
      </c>
      <c r="E289" s="2">
        <v>45542</v>
      </c>
      <c r="F289" s="15">
        <f t="shared" si="61"/>
        <v>0</v>
      </c>
      <c r="G289" t="s">
        <v>647</v>
      </c>
      <c r="H289" t="s">
        <v>654</v>
      </c>
      <c r="I289" t="s">
        <v>691</v>
      </c>
      <c r="J289" t="s">
        <v>702</v>
      </c>
      <c r="K289" t="s">
        <v>710</v>
      </c>
      <c r="L289" t="s">
        <v>717</v>
      </c>
      <c r="M289" t="s">
        <v>729</v>
      </c>
      <c r="N289" t="s">
        <v>1021</v>
      </c>
      <c r="O289" s="29">
        <v>1066.6500000000001</v>
      </c>
      <c r="P289" t="str">
        <f>IF(Table1[[#This Row],[UnitPrice]]&lt;=0,"Check","OK")</f>
        <v>OK</v>
      </c>
      <c r="Q289" s="29">
        <f t="shared" si="62"/>
        <v>2569.77</v>
      </c>
      <c r="R289">
        <v>2569.77</v>
      </c>
      <c r="S289" s="5">
        <f>IF(Table1[[#This Row],[Discount_Flag]]="Check", MIN(MAX(Table1[[#This Row],[DiscountPct]],0),0.3), Table1[[#This Row],[DiscountPct]])</f>
        <v>0.13400000000000001</v>
      </c>
      <c r="T289" t="str">
        <f>IF(OR(Table1[[#This Row],[DiscountPct]]&lt;0,Table1[[#This Row],[DiscountPct]]&gt;0.3),"Check","OK")</f>
        <v>OK</v>
      </c>
      <c r="U289" s="11">
        <v>0.13400000000000001</v>
      </c>
      <c r="V289" s="15">
        <f t="shared" si="63"/>
        <v>0</v>
      </c>
      <c r="W289" s="11">
        <f t="shared" si="64"/>
        <v>0.52069739331368348</v>
      </c>
      <c r="X289" s="17">
        <f t="shared" si="65"/>
        <v>9599.85</v>
      </c>
      <c r="Y289" s="17">
        <f t="shared" si="66"/>
        <v>10428.937380000001</v>
      </c>
      <c r="Z289" s="17">
        <f t="shared" si="67"/>
        <v>20028.787380000002</v>
      </c>
      <c r="AA289" s="17" t="str">
        <f t="shared" si="68"/>
        <v>Q3-2024</v>
      </c>
      <c r="AB289" s="12" t="str">
        <f t="shared" si="69"/>
        <v>Sept-2024</v>
      </c>
      <c r="AC289" s="12" t="str">
        <f t="shared" si="70"/>
        <v>High</v>
      </c>
      <c r="AD289">
        <v>9</v>
      </c>
      <c r="AE289" s="12">
        <f>_xlfn.MINIFS(Table1[MonthDate], Table1[Country], Table1[[#This Row],[Country]])</f>
        <v>44927</v>
      </c>
      <c r="AF289" s="12">
        <f t="shared" si="71"/>
        <v>45536</v>
      </c>
      <c r="AG289">
        <f>AD289*(1 + Scenario_Control!$B$4)</f>
        <v>9.9</v>
      </c>
      <c r="AH289">
        <f>O289*(1 + Scenario_Control!$B$3)</f>
        <v>1119.9825000000001</v>
      </c>
      <c r="AI289">
        <f t="shared" si="72"/>
        <v>4406.3332236000006</v>
      </c>
      <c r="AJ289">
        <f t="shared" si="73"/>
        <v>-6681.4935264000014</v>
      </c>
      <c r="AK289" s="29">
        <f>MIN(Q289*(1-U289), Scenario_Control!$B$2*Q289)</f>
        <v>513.95400000000006</v>
      </c>
      <c r="AL289" s="15">
        <f t="shared" si="74"/>
        <v>1</v>
      </c>
      <c r="AM289" s="8">
        <f>DATEDIF(Table1[[#This Row],[Country_FirstMonth]], Table1[[#This Row],[MonthDate]], "m")</f>
        <v>20</v>
      </c>
    </row>
    <row r="290" spans="1:39" x14ac:dyDescent="0.25">
      <c r="A290" t="s">
        <v>302</v>
      </c>
      <c r="B290" s="12">
        <v>45319</v>
      </c>
      <c r="C290" s="12">
        <f t="shared" si="60"/>
        <v>45321</v>
      </c>
      <c r="D290" s="2" t="str">
        <f>IF(Table1[[#This Row],[RequiredDate]]&lt;Table1[[#This Row],[OrderDate]],"Check","OK")</f>
        <v>OK</v>
      </c>
      <c r="E290" s="2">
        <v>45321</v>
      </c>
      <c r="F290" s="15">
        <f t="shared" si="61"/>
        <v>2</v>
      </c>
      <c r="G290" t="s">
        <v>646</v>
      </c>
      <c r="H290" t="s">
        <v>661</v>
      </c>
      <c r="I290" t="s">
        <v>695</v>
      </c>
      <c r="J290" t="s">
        <v>704</v>
      </c>
      <c r="K290" t="s">
        <v>711</v>
      </c>
      <c r="L290" t="s">
        <v>721</v>
      </c>
      <c r="M290" t="s">
        <v>733</v>
      </c>
      <c r="N290" t="s">
        <v>1022</v>
      </c>
      <c r="O290" s="29">
        <v>798.45</v>
      </c>
      <c r="P290" t="str">
        <f>IF(Table1[[#This Row],[UnitPrice]]&lt;=0,"Check","OK")</f>
        <v>OK</v>
      </c>
      <c r="Q290" s="29">
        <f t="shared" si="62"/>
        <v>1592.02</v>
      </c>
      <c r="R290">
        <v>1592.02</v>
      </c>
      <c r="S290" s="5">
        <f>IF(Table1[[#This Row],[Discount_Flag]]="Check", MIN(MAX(Table1[[#This Row],[DiscountPct]],0),0.3), Table1[[#This Row],[DiscountPct]])</f>
        <v>6.6000000000000003E-2</v>
      </c>
      <c r="T290" t="str">
        <f>IF(OR(Table1[[#This Row],[DiscountPct]]&lt;0,Table1[[#This Row],[DiscountPct]]&gt;0.3),"Check","OK")</f>
        <v>OK</v>
      </c>
      <c r="U290" s="11">
        <v>6.6000000000000003E-2</v>
      </c>
      <c r="V290" s="15">
        <f t="shared" si="63"/>
        <v>0</v>
      </c>
      <c r="W290" s="11">
        <f t="shared" si="64"/>
        <v>0.46302714768494585</v>
      </c>
      <c r="X290" s="17">
        <f t="shared" si="65"/>
        <v>14372.1</v>
      </c>
      <c r="Y290" s="17">
        <f t="shared" si="66"/>
        <v>12392.940239999998</v>
      </c>
      <c r="Z290" s="17">
        <f t="shared" si="67"/>
        <v>26765.040239999998</v>
      </c>
      <c r="AA290" s="17" t="str">
        <f t="shared" si="68"/>
        <v>Q1-2024</v>
      </c>
      <c r="AB290" s="12" t="str">
        <f t="shared" si="69"/>
        <v>Jan-2024</v>
      </c>
      <c r="AC290" s="12" t="str">
        <f t="shared" si="70"/>
        <v>Medium</v>
      </c>
      <c r="AD290">
        <v>18</v>
      </c>
      <c r="AE290" s="12">
        <f>_xlfn.MINIFS(Table1[MonthDate], Table1[Country], Table1[[#This Row],[Country]])</f>
        <v>44927</v>
      </c>
      <c r="AF290" s="12">
        <f t="shared" si="71"/>
        <v>45292</v>
      </c>
      <c r="AG290">
        <f>AD290*(1 + Scenario_Control!$B$4)</f>
        <v>19.8</v>
      </c>
      <c r="AH290">
        <f>O290*(1 + Scenario_Control!$B$3)</f>
        <v>838.37250000000006</v>
      </c>
      <c r="AI290">
        <f t="shared" si="72"/>
        <v>5888.3088527999998</v>
      </c>
      <c r="AJ290">
        <f t="shared" si="73"/>
        <v>-10711.466647200003</v>
      </c>
      <c r="AK290" s="29">
        <f>MIN(Q290*(1-U290), Scenario_Control!$B$2*Q290)</f>
        <v>318.404</v>
      </c>
      <c r="AL290" s="15">
        <f t="shared" si="74"/>
        <v>1</v>
      </c>
      <c r="AM290" s="8">
        <f>DATEDIF(Table1[[#This Row],[Country_FirstMonth]], Table1[[#This Row],[MonthDate]], "m")</f>
        <v>12</v>
      </c>
    </row>
    <row r="291" spans="1:39" x14ac:dyDescent="0.25">
      <c r="A291" t="s">
        <v>303</v>
      </c>
      <c r="B291" s="12">
        <v>45125</v>
      </c>
      <c r="C291" s="12">
        <f t="shared" si="60"/>
        <v>45148</v>
      </c>
      <c r="D291" s="2" t="str">
        <f>IF(Table1[[#This Row],[RequiredDate]]&lt;Table1[[#This Row],[OrderDate]],"Check","OK")</f>
        <v>OK</v>
      </c>
      <c r="E291" s="2">
        <v>45148</v>
      </c>
      <c r="F291" s="15">
        <f t="shared" si="61"/>
        <v>23</v>
      </c>
      <c r="G291" t="s">
        <v>646</v>
      </c>
      <c r="H291" t="s">
        <v>661</v>
      </c>
      <c r="I291" t="s">
        <v>682</v>
      </c>
      <c r="J291" t="s">
        <v>705</v>
      </c>
      <c r="K291" t="s">
        <v>707</v>
      </c>
      <c r="L291" t="s">
        <v>716</v>
      </c>
      <c r="M291" t="s">
        <v>727</v>
      </c>
      <c r="N291" t="s">
        <v>1023</v>
      </c>
      <c r="O291" s="29">
        <v>1271.56</v>
      </c>
      <c r="P291" t="str">
        <f>IF(Table1[[#This Row],[UnitPrice]]&lt;=0,"Check","OK")</f>
        <v>OK</v>
      </c>
      <c r="Q291" s="29">
        <f t="shared" si="62"/>
        <v>995.47</v>
      </c>
      <c r="R291">
        <v>995.47</v>
      </c>
      <c r="S291" s="5">
        <f>IF(Table1[[#This Row],[Discount_Flag]]="Check", MIN(MAX(Table1[[#This Row],[DiscountPct]],0),0.3), Table1[[#This Row],[DiscountPct]])</f>
        <v>0.192</v>
      </c>
      <c r="T291" t="str">
        <f>IF(OR(Table1[[#This Row],[DiscountPct]]&lt;0,Table1[[#This Row],[DiscountPct]]&gt;0.3),"Check","OK")</f>
        <v>OK</v>
      </c>
      <c r="U291" s="11">
        <v>0.192</v>
      </c>
      <c r="V291" s="15">
        <f t="shared" si="63"/>
        <v>0</v>
      </c>
      <c r="W291" s="11">
        <f t="shared" si="64"/>
        <v>-0.58087423155607754</v>
      </c>
      <c r="X291" s="17">
        <f t="shared" si="65"/>
        <v>16530.28</v>
      </c>
      <c r="Y291" s="17">
        <f t="shared" si="66"/>
        <v>-6073.8631199999982</v>
      </c>
      <c r="Z291" s="17">
        <f t="shared" si="67"/>
        <v>10456.416880000001</v>
      </c>
      <c r="AA291" s="17" t="str">
        <f t="shared" si="68"/>
        <v>Q3-2023</v>
      </c>
      <c r="AB291" s="12" t="str">
        <f t="shared" si="69"/>
        <v>Jul-2023</v>
      </c>
      <c r="AC291" s="12" t="str">
        <f t="shared" si="70"/>
        <v>Medium</v>
      </c>
      <c r="AD291">
        <v>13</v>
      </c>
      <c r="AE291" s="12">
        <f>_xlfn.MINIFS(Table1[MonthDate], Table1[Country], Table1[[#This Row],[Country]])</f>
        <v>44927</v>
      </c>
      <c r="AF291" s="12">
        <f t="shared" si="71"/>
        <v>45108</v>
      </c>
      <c r="AG291">
        <f>AD291*(1 + Scenario_Control!$B$4)</f>
        <v>14.3</v>
      </c>
      <c r="AH291">
        <f>O291*(1 + Scenario_Control!$B$3)</f>
        <v>1335.1379999999999</v>
      </c>
      <c r="AI291">
        <f t="shared" si="72"/>
        <v>2300.4117136000004</v>
      </c>
      <c r="AJ291">
        <f t="shared" si="73"/>
        <v>-16792.061686399997</v>
      </c>
      <c r="AK291" s="29">
        <f>MIN(Q291*(1-U291), Scenario_Control!$B$2*Q291)</f>
        <v>199.09400000000002</v>
      </c>
      <c r="AL291" s="15">
        <f t="shared" si="74"/>
        <v>0</v>
      </c>
      <c r="AM291" s="8">
        <f>DATEDIF(Table1[[#This Row],[Country_FirstMonth]], Table1[[#This Row],[MonthDate]], "m")</f>
        <v>6</v>
      </c>
    </row>
    <row r="292" spans="1:39" x14ac:dyDescent="0.25">
      <c r="A292" t="s">
        <v>304</v>
      </c>
      <c r="B292" s="12">
        <v>45897</v>
      </c>
      <c r="C292" s="12">
        <f t="shared" si="60"/>
        <v>45904</v>
      </c>
      <c r="D292" s="2" t="str">
        <f>IF(Table1[[#This Row],[RequiredDate]]&lt;Table1[[#This Row],[OrderDate]],"Check","OK")</f>
        <v>Check</v>
      </c>
      <c r="E292" s="2">
        <v>45895</v>
      </c>
      <c r="F292" s="15">
        <f t="shared" si="61"/>
        <v>7</v>
      </c>
      <c r="G292" t="s">
        <v>646</v>
      </c>
      <c r="H292" t="s">
        <v>651</v>
      </c>
      <c r="I292" t="s">
        <v>663</v>
      </c>
      <c r="J292" t="s">
        <v>705</v>
      </c>
      <c r="K292" t="s">
        <v>707</v>
      </c>
      <c r="L292" t="s">
        <v>720</v>
      </c>
      <c r="M292" t="s">
        <v>733</v>
      </c>
      <c r="N292" t="s">
        <v>1024</v>
      </c>
      <c r="O292" s="29">
        <v>521.05999999999995</v>
      </c>
      <c r="P292" t="str">
        <f>IF(Table1[[#This Row],[UnitPrice]]&lt;=0,"Check","OK")</f>
        <v>OK</v>
      </c>
      <c r="Q292" s="29">
        <f t="shared" si="62"/>
        <v>1240.31</v>
      </c>
      <c r="R292">
        <v>1240.31</v>
      </c>
      <c r="S292" s="5">
        <f>IF(Table1[[#This Row],[Discount_Flag]]="Check", MIN(MAX(Table1[[#This Row],[DiscountPct]],0),0.3), Table1[[#This Row],[DiscountPct]])</f>
        <v>0.14599999999999999</v>
      </c>
      <c r="T292" t="str">
        <f>IF(OR(Table1[[#This Row],[DiscountPct]]&lt;0,Table1[[#This Row],[DiscountPct]]&gt;0.3),"Check","OK")</f>
        <v>OK</v>
      </c>
      <c r="U292" s="11">
        <v>0.14599999999999999</v>
      </c>
      <c r="V292" s="15">
        <f t="shared" si="63"/>
        <v>0</v>
      </c>
      <c r="W292" s="11">
        <f t="shared" si="64"/>
        <v>0.50807417885650974</v>
      </c>
      <c r="X292" s="17">
        <f t="shared" si="65"/>
        <v>9379.0799999999981</v>
      </c>
      <c r="Y292" s="17">
        <f t="shared" si="66"/>
        <v>9686.9653199999993</v>
      </c>
      <c r="Z292" s="17">
        <f t="shared" si="67"/>
        <v>19066.045319999997</v>
      </c>
      <c r="AA292" s="17" t="str">
        <f t="shared" si="68"/>
        <v>Q3-2025</v>
      </c>
      <c r="AB292" s="12" t="str">
        <f t="shared" si="69"/>
        <v>Aug-2025</v>
      </c>
      <c r="AC292" s="12" t="str">
        <f t="shared" si="70"/>
        <v>Medium</v>
      </c>
      <c r="AD292">
        <v>18</v>
      </c>
      <c r="AE292" s="12">
        <f>_xlfn.MINIFS(Table1[MonthDate], Table1[Country], Table1[[#This Row],[Country]])</f>
        <v>44927</v>
      </c>
      <c r="AF292" s="12">
        <f t="shared" si="71"/>
        <v>45870</v>
      </c>
      <c r="AG292">
        <f>AD292*(1 + Scenario_Control!$B$4)</f>
        <v>19.8</v>
      </c>
      <c r="AH292">
        <f>O292*(1 + Scenario_Control!$B$3)</f>
        <v>547.11299999999994</v>
      </c>
      <c r="AI292">
        <f t="shared" si="72"/>
        <v>4194.5299704000008</v>
      </c>
      <c r="AJ292">
        <f t="shared" si="73"/>
        <v>-6638.3074295999977</v>
      </c>
      <c r="AK292" s="29">
        <f>MIN(Q292*(1-U292), Scenario_Control!$B$2*Q292)</f>
        <v>248.06200000000001</v>
      </c>
      <c r="AL292" s="15">
        <f t="shared" si="74"/>
        <v>1</v>
      </c>
      <c r="AM292" s="8">
        <f>DATEDIF(Table1[[#This Row],[Country_FirstMonth]], Table1[[#This Row],[MonthDate]], "m")</f>
        <v>31</v>
      </c>
    </row>
    <row r="293" spans="1:39" x14ac:dyDescent="0.25">
      <c r="A293" t="s">
        <v>305</v>
      </c>
      <c r="B293" s="12">
        <v>45746</v>
      </c>
      <c r="C293" s="12">
        <f t="shared" si="60"/>
        <v>45754</v>
      </c>
      <c r="D293" s="2" t="str">
        <f>IF(Table1[[#This Row],[RequiredDate]]&lt;Table1[[#This Row],[OrderDate]],"Check","OK")</f>
        <v>OK</v>
      </c>
      <c r="E293" s="2">
        <v>45754</v>
      </c>
      <c r="F293" s="15">
        <f t="shared" si="61"/>
        <v>8</v>
      </c>
      <c r="G293" t="s">
        <v>648</v>
      </c>
      <c r="H293" t="s">
        <v>655</v>
      </c>
      <c r="I293" t="s">
        <v>670</v>
      </c>
      <c r="J293" t="s">
        <v>703</v>
      </c>
      <c r="K293" t="s">
        <v>711</v>
      </c>
      <c r="L293" t="s">
        <v>716</v>
      </c>
      <c r="M293" t="s">
        <v>728</v>
      </c>
      <c r="N293" t="s">
        <v>1025</v>
      </c>
      <c r="O293" s="29">
        <v>71.62</v>
      </c>
      <c r="P293" t="str">
        <f>IF(Table1[[#This Row],[UnitPrice]]&lt;=0,"Check","OK")</f>
        <v>OK</v>
      </c>
      <c r="Q293" s="29">
        <f t="shared" si="62"/>
        <v>118.37</v>
      </c>
      <c r="R293">
        <v>118.37</v>
      </c>
      <c r="S293" s="5">
        <f>IF(Table1[[#This Row],[Discount_Flag]]="Check", MIN(MAX(Table1[[#This Row],[DiscountPct]],0),0.3), Table1[[#This Row],[DiscountPct]])</f>
        <v>0.156</v>
      </c>
      <c r="T293" t="str">
        <f>IF(OR(Table1[[#This Row],[DiscountPct]]&lt;0,Table1[[#This Row],[DiscountPct]]&gt;0.3),"Check","OK")</f>
        <v>OK</v>
      </c>
      <c r="U293" s="11">
        <v>0.156</v>
      </c>
      <c r="V293" s="15">
        <f t="shared" si="63"/>
        <v>0</v>
      </c>
      <c r="W293" s="11">
        <f t="shared" si="64"/>
        <v>0.28311379652603474</v>
      </c>
      <c r="X293" s="17">
        <f t="shared" si="65"/>
        <v>787.82</v>
      </c>
      <c r="Y293" s="17">
        <f t="shared" si="66"/>
        <v>311.12708000000009</v>
      </c>
      <c r="Z293" s="17">
        <f t="shared" si="67"/>
        <v>1098.9470800000001</v>
      </c>
      <c r="AA293" s="17" t="str">
        <f t="shared" si="68"/>
        <v>Q1-2025</v>
      </c>
      <c r="AB293" s="12" t="str">
        <f t="shared" si="69"/>
        <v>Mar-2025</v>
      </c>
      <c r="AC293" s="12" t="str">
        <f t="shared" si="70"/>
        <v>Low</v>
      </c>
      <c r="AD293">
        <v>11</v>
      </c>
      <c r="AE293" s="12">
        <f>_xlfn.MINIFS(Table1[MonthDate], Table1[Country], Table1[[#This Row],[Country]])</f>
        <v>44927</v>
      </c>
      <c r="AF293" s="12">
        <f t="shared" si="71"/>
        <v>45717</v>
      </c>
      <c r="AG293">
        <f>AD293*(1 + Scenario_Control!$B$4)</f>
        <v>12.100000000000001</v>
      </c>
      <c r="AH293">
        <f>O293*(1 + Scenario_Control!$B$3)</f>
        <v>75.201000000000008</v>
      </c>
      <c r="AI293">
        <f t="shared" si="72"/>
        <v>241.76835760000003</v>
      </c>
      <c r="AJ293">
        <f t="shared" si="73"/>
        <v>-668.16374240000016</v>
      </c>
      <c r="AK293" s="29">
        <f>MIN(Q293*(1-U293), Scenario_Control!$B$2*Q293)</f>
        <v>23.674000000000003</v>
      </c>
      <c r="AL293" s="15">
        <f t="shared" si="74"/>
        <v>0</v>
      </c>
      <c r="AM293" s="8">
        <f>DATEDIF(Table1[[#This Row],[Country_FirstMonth]], Table1[[#This Row],[MonthDate]], "m")</f>
        <v>26</v>
      </c>
    </row>
    <row r="294" spans="1:39" x14ac:dyDescent="0.25">
      <c r="A294" t="s">
        <v>306</v>
      </c>
      <c r="B294" s="12">
        <v>45220</v>
      </c>
      <c r="C294" s="12">
        <f t="shared" si="60"/>
        <v>45239</v>
      </c>
      <c r="D294" s="2" t="str">
        <f>IF(Table1[[#This Row],[RequiredDate]]&lt;Table1[[#This Row],[OrderDate]],"Check","OK")</f>
        <v>OK</v>
      </c>
      <c r="E294" s="2">
        <v>45239</v>
      </c>
      <c r="F294" s="15">
        <f t="shared" si="61"/>
        <v>19</v>
      </c>
      <c r="G294" t="s">
        <v>649</v>
      </c>
      <c r="H294" t="s">
        <v>658</v>
      </c>
      <c r="I294" t="s">
        <v>683</v>
      </c>
      <c r="J294" t="s">
        <v>703</v>
      </c>
      <c r="K294" t="s">
        <v>711</v>
      </c>
      <c r="L294" t="s">
        <v>720</v>
      </c>
      <c r="M294" t="s">
        <v>733</v>
      </c>
      <c r="N294" t="s">
        <v>1026</v>
      </c>
      <c r="O294" s="29">
        <v>1142.48</v>
      </c>
      <c r="P294" t="str">
        <f>IF(Table1[[#This Row],[UnitPrice]]&lt;=0,"Check","OK")</f>
        <v>OK</v>
      </c>
      <c r="Q294" s="29">
        <f t="shared" si="62"/>
        <v>2105.5300000000002</v>
      </c>
      <c r="R294">
        <v>2105.5300000000002</v>
      </c>
      <c r="S294" s="5">
        <f>IF(Table1[[#This Row],[Discount_Flag]]="Check", MIN(MAX(Table1[[#This Row],[DiscountPct]],0),0.3), Table1[[#This Row],[DiscountPct]])</f>
        <v>0.20699999999999999</v>
      </c>
      <c r="T294" t="str">
        <f>IF(OR(Table1[[#This Row],[DiscountPct]]&lt;0,Table1[[#This Row],[DiscountPct]]&gt;0.3),"Check","OK")</f>
        <v>OK</v>
      </c>
      <c r="U294" s="11">
        <v>0.20699999999999999</v>
      </c>
      <c r="V294" s="15">
        <f t="shared" si="63"/>
        <v>1</v>
      </c>
      <c r="W294" s="11">
        <f t="shared" si="64"/>
        <v>0.31575129346680658</v>
      </c>
      <c r="X294" s="17">
        <f t="shared" si="65"/>
        <v>15994.720000000001</v>
      </c>
      <c r="Y294" s="17">
        <f t="shared" si="66"/>
        <v>7380.8740600000019</v>
      </c>
      <c r="Z294" s="17">
        <f t="shared" si="67"/>
        <v>23375.594060000003</v>
      </c>
      <c r="AA294" s="17" t="str">
        <f t="shared" si="68"/>
        <v>Q4-2023</v>
      </c>
      <c r="AB294" s="12" t="str">
        <f t="shared" si="69"/>
        <v>Oct-2023</v>
      </c>
      <c r="AC294" s="12" t="str">
        <f t="shared" si="70"/>
        <v>High</v>
      </c>
      <c r="AD294">
        <v>14</v>
      </c>
      <c r="AE294" s="12">
        <f>_xlfn.MINIFS(Table1[MonthDate], Table1[Country], Table1[[#This Row],[Country]])</f>
        <v>44927</v>
      </c>
      <c r="AF294" s="12">
        <f t="shared" si="71"/>
        <v>45200</v>
      </c>
      <c r="AG294">
        <f>AD294*(1 + Scenario_Control!$B$4)</f>
        <v>15.400000000000002</v>
      </c>
      <c r="AH294">
        <f>O294*(1 + Scenario_Control!$B$3)</f>
        <v>1199.604</v>
      </c>
      <c r="AI294">
        <f t="shared" si="72"/>
        <v>5142.6306932000016</v>
      </c>
      <c r="AJ294">
        <f t="shared" si="73"/>
        <v>-13331.270906800004</v>
      </c>
      <c r="AK294" s="29">
        <f>MIN(Q294*(1-U294), Scenario_Control!$B$2*Q294)</f>
        <v>421.10600000000005</v>
      </c>
      <c r="AL294" s="15">
        <f t="shared" si="74"/>
        <v>0</v>
      </c>
      <c r="AM294" s="8">
        <f>DATEDIF(Table1[[#This Row],[Country_FirstMonth]], Table1[[#This Row],[MonthDate]], "m")</f>
        <v>9</v>
      </c>
    </row>
    <row r="295" spans="1:39" x14ac:dyDescent="0.25">
      <c r="A295" t="s">
        <v>307</v>
      </c>
      <c r="B295" s="12">
        <v>45161</v>
      </c>
      <c r="C295" s="12">
        <f t="shared" si="60"/>
        <v>45191</v>
      </c>
      <c r="D295" s="2" t="str">
        <f>IF(Table1[[#This Row],[RequiredDate]]&lt;Table1[[#This Row],[OrderDate]],"Check","OK")</f>
        <v>OK</v>
      </c>
      <c r="E295" s="2">
        <v>45191</v>
      </c>
      <c r="F295" s="15">
        <f t="shared" si="61"/>
        <v>30</v>
      </c>
      <c r="G295" t="s">
        <v>649</v>
      </c>
      <c r="H295" t="s">
        <v>658</v>
      </c>
      <c r="I295" t="s">
        <v>683</v>
      </c>
      <c r="J295" t="s">
        <v>704</v>
      </c>
      <c r="K295" t="s">
        <v>710</v>
      </c>
      <c r="L295" t="s">
        <v>719</v>
      </c>
      <c r="M295" t="s">
        <v>733</v>
      </c>
      <c r="N295" t="s">
        <v>1027</v>
      </c>
      <c r="O295" s="29">
        <v>209.81</v>
      </c>
      <c r="P295" t="str">
        <f>IF(Table1[[#This Row],[UnitPrice]]&lt;=0,"Check","OK")</f>
        <v>OK</v>
      </c>
      <c r="Q295" s="29">
        <f t="shared" si="62"/>
        <v>523</v>
      </c>
      <c r="R295">
        <v>523</v>
      </c>
      <c r="S295" s="5">
        <f>IF(Table1[[#This Row],[Discount_Flag]]="Check", MIN(MAX(Table1[[#This Row],[DiscountPct]],0),0.3), Table1[[#This Row],[DiscountPct]])</f>
        <v>5.8999999999999997E-2</v>
      </c>
      <c r="T295" t="str">
        <f>IF(OR(Table1[[#This Row],[DiscountPct]]&lt;0,Table1[[#This Row],[DiscountPct]]&gt;0.3),"Check","OK")</f>
        <v>OK</v>
      </c>
      <c r="U295" s="11">
        <v>5.8999999999999997E-2</v>
      </c>
      <c r="V295" s="15">
        <f t="shared" si="63"/>
        <v>0</v>
      </c>
      <c r="W295" s="11">
        <f t="shared" si="64"/>
        <v>0.57368082041195356</v>
      </c>
      <c r="X295" s="17">
        <f t="shared" si="65"/>
        <v>3147.15</v>
      </c>
      <c r="Y295" s="17">
        <f t="shared" si="66"/>
        <v>4234.9950000000008</v>
      </c>
      <c r="Z295" s="17">
        <f t="shared" si="67"/>
        <v>7382.1450000000004</v>
      </c>
      <c r="AA295" s="17" t="str">
        <f t="shared" si="68"/>
        <v>Q3-2023</v>
      </c>
      <c r="AB295" s="12" t="str">
        <f t="shared" si="69"/>
        <v>Aug-2023</v>
      </c>
      <c r="AC295" s="12" t="str">
        <f t="shared" si="70"/>
        <v>Low</v>
      </c>
      <c r="AD295">
        <v>15</v>
      </c>
      <c r="AE295" s="12">
        <f>_xlfn.MINIFS(Table1[MonthDate], Table1[Country], Table1[[#This Row],[Country]])</f>
        <v>44927</v>
      </c>
      <c r="AF295" s="12">
        <f t="shared" si="71"/>
        <v>45139</v>
      </c>
      <c r="AG295">
        <f>AD295*(1 + Scenario_Control!$B$4)</f>
        <v>16.5</v>
      </c>
      <c r="AH295">
        <f>O295*(1 + Scenario_Control!$B$3)</f>
        <v>220.3005</v>
      </c>
      <c r="AI295">
        <f t="shared" si="72"/>
        <v>1624.0719000000001</v>
      </c>
      <c r="AJ295">
        <f t="shared" si="73"/>
        <v>-2010.88635</v>
      </c>
      <c r="AK295" s="29">
        <f>MIN(Q295*(1-U295), Scenario_Control!$B$2*Q295)</f>
        <v>104.60000000000001</v>
      </c>
      <c r="AL295" s="15">
        <f t="shared" si="74"/>
        <v>0</v>
      </c>
      <c r="AM295" s="8">
        <f>DATEDIF(Table1[[#This Row],[Country_FirstMonth]], Table1[[#This Row],[MonthDate]], "m")</f>
        <v>7</v>
      </c>
    </row>
    <row r="296" spans="1:39" x14ac:dyDescent="0.25">
      <c r="A296" t="s">
        <v>308</v>
      </c>
      <c r="B296" s="12">
        <v>45758</v>
      </c>
      <c r="C296" s="12">
        <f t="shared" si="60"/>
        <v>45781</v>
      </c>
      <c r="D296" s="2" t="str">
        <f>IF(Table1[[#This Row],[RequiredDate]]&lt;Table1[[#This Row],[OrderDate]],"Check","OK")</f>
        <v>OK</v>
      </c>
      <c r="E296" s="2">
        <v>45781</v>
      </c>
      <c r="F296" s="15">
        <f t="shared" si="61"/>
        <v>23</v>
      </c>
      <c r="G296" t="s">
        <v>647</v>
      </c>
      <c r="H296" t="s">
        <v>652</v>
      </c>
      <c r="I296" t="s">
        <v>666</v>
      </c>
      <c r="J296" t="s">
        <v>705</v>
      </c>
      <c r="K296" t="s">
        <v>708</v>
      </c>
      <c r="L296" t="s">
        <v>724</v>
      </c>
      <c r="M296" t="s">
        <v>727</v>
      </c>
      <c r="N296" t="s">
        <v>1028</v>
      </c>
      <c r="O296" s="29">
        <v>786.2</v>
      </c>
      <c r="P296" t="str">
        <f>IF(Table1[[#This Row],[UnitPrice]]&lt;=0,"Check","OK")</f>
        <v>OK</v>
      </c>
      <c r="Q296" s="29">
        <f t="shared" si="62"/>
        <v>1075.3</v>
      </c>
      <c r="R296">
        <v>1075.3</v>
      </c>
      <c r="S296" s="5">
        <f>IF(Table1[[#This Row],[Discount_Flag]]="Check", MIN(MAX(Table1[[#This Row],[DiscountPct]],0),0.3), Table1[[#This Row],[DiscountPct]])</f>
        <v>0.08</v>
      </c>
      <c r="T296" t="str">
        <f>IF(OR(Table1[[#This Row],[DiscountPct]]&lt;0,Table1[[#This Row],[DiscountPct]]&gt;0.3),"Check","OK")</f>
        <v>OK</v>
      </c>
      <c r="U296" s="11">
        <v>0.08</v>
      </c>
      <c r="V296" s="15">
        <f t="shared" si="63"/>
        <v>0</v>
      </c>
      <c r="W296" s="11">
        <f t="shared" si="64"/>
        <v>0.20527739478163815</v>
      </c>
      <c r="X296" s="17">
        <f t="shared" si="65"/>
        <v>7075.8</v>
      </c>
      <c r="Y296" s="17">
        <f t="shared" si="66"/>
        <v>1827.6839999999984</v>
      </c>
      <c r="Z296" s="17">
        <f t="shared" si="67"/>
        <v>8903.4839999999986</v>
      </c>
      <c r="AA296" s="17" t="str">
        <f t="shared" si="68"/>
        <v>Q2-2025</v>
      </c>
      <c r="AB296" s="12" t="str">
        <f t="shared" si="69"/>
        <v>Apr-2025</v>
      </c>
      <c r="AC296" s="12" t="str">
        <f t="shared" si="70"/>
        <v>Medium</v>
      </c>
      <c r="AD296">
        <v>9</v>
      </c>
      <c r="AE296" s="12">
        <f>_xlfn.MINIFS(Table1[MonthDate], Table1[Country], Table1[[#This Row],[Country]])</f>
        <v>44986</v>
      </c>
      <c r="AF296" s="12">
        <f t="shared" si="71"/>
        <v>45748</v>
      </c>
      <c r="AG296">
        <f>AD296*(1 + Scenario_Control!$B$4)</f>
        <v>9.9</v>
      </c>
      <c r="AH296">
        <f>O296*(1 + Scenario_Control!$B$3)</f>
        <v>825.5100000000001</v>
      </c>
      <c r="AI296">
        <f t="shared" si="72"/>
        <v>1958.7664800000002</v>
      </c>
      <c r="AJ296">
        <f t="shared" si="73"/>
        <v>-6213.7825200000007</v>
      </c>
      <c r="AK296" s="29">
        <f>MIN(Q296*(1-U296), Scenario_Control!$B$2*Q296)</f>
        <v>215.06</v>
      </c>
      <c r="AL296" s="15">
        <f t="shared" si="74"/>
        <v>0</v>
      </c>
      <c r="AM296" s="8">
        <f>DATEDIF(Table1[[#This Row],[Country_FirstMonth]], Table1[[#This Row],[MonthDate]], "m")</f>
        <v>25</v>
      </c>
    </row>
    <row r="297" spans="1:39" x14ac:dyDescent="0.25">
      <c r="A297" t="s">
        <v>309</v>
      </c>
      <c r="B297" s="12">
        <v>45809</v>
      </c>
      <c r="C297" s="12">
        <f t="shared" si="60"/>
        <v>45835</v>
      </c>
      <c r="D297" s="2" t="str">
        <f>IF(Table1[[#This Row],[RequiredDate]]&lt;Table1[[#This Row],[OrderDate]],"Check","OK")</f>
        <v>OK</v>
      </c>
      <c r="E297" s="2">
        <v>45835</v>
      </c>
      <c r="F297" s="15">
        <f t="shared" si="61"/>
        <v>26</v>
      </c>
      <c r="G297" t="s">
        <v>649</v>
      </c>
      <c r="H297" t="s">
        <v>656</v>
      </c>
      <c r="I297" t="s">
        <v>684</v>
      </c>
      <c r="J297" t="s">
        <v>704</v>
      </c>
      <c r="K297" t="s">
        <v>710</v>
      </c>
      <c r="L297" t="s">
        <v>718</v>
      </c>
      <c r="M297" t="s">
        <v>731</v>
      </c>
      <c r="N297" t="s">
        <v>1029</v>
      </c>
      <c r="O297" s="29">
        <v>1362.31</v>
      </c>
      <c r="P297" t="str">
        <f>IF(Table1[[#This Row],[UnitPrice]]&lt;=0,"Check","OK")</f>
        <v>OK</v>
      </c>
      <c r="Q297" s="29">
        <f t="shared" si="62"/>
        <v>3294.57</v>
      </c>
      <c r="R297">
        <v>3294.57</v>
      </c>
      <c r="S297" s="5">
        <f>IF(Table1[[#This Row],[Discount_Flag]]="Check", MIN(MAX(Table1[[#This Row],[DiscountPct]],0),0.3), Table1[[#This Row],[DiscountPct]])</f>
        <v>0.113</v>
      </c>
      <c r="T297" t="str">
        <f>IF(OR(Table1[[#This Row],[DiscountPct]]&lt;0,Table1[[#This Row],[DiscountPct]]&gt;0.3),"Check","OK")</f>
        <v>OK</v>
      </c>
      <c r="U297" s="11">
        <v>0.113</v>
      </c>
      <c r="V297" s="15">
        <f t="shared" si="63"/>
        <v>0</v>
      </c>
      <c r="W297" s="11">
        <f t="shared" si="64"/>
        <v>0.5338200561157721</v>
      </c>
      <c r="X297" s="17">
        <f t="shared" si="65"/>
        <v>9536.17</v>
      </c>
      <c r="Y297" s="17">
        <f t="shared" si="66"/>
        <v>10919.815130000001</v>
      </c>
      <c r="Z297" s="17">
        <f t="shared" si="67"/>
        <v>20455.985130000001</v>
      </c>
      <c r="AA297" s="17" t="str">
        <f t="shared" si="68"/>
        <v>Q2-2025</v>
      </c>
      <c r="AB297" s="12" t="str">
        <f t="shared" si="69"/>
        <v>Jun-2025</v>
      </c>
      <c r="AC297" s="12" t="str">
        <f t="shared" si="70"/>
        <v>High</v>
      </c>
      <c r="AD297">
        <v>7</v>
      </c>
      <c r="AE297" s="12">
        <f>_xlfn.MINIFS(Table1[MonthDate], Table1[Country], Table1[[#This Row],[Country]])</f>
        <v>44927</v>
      </c>
      <c r="AF297" s="12">
        <f t="shared" si="71"/>
        <v>45809</v>
      </c>
      <c r="AG297">
        <f>AD297*(1 + Scenario_Control!$B$4)</f>
        <v>7.7000000000000011</v>
      </c>
      <c r="AH297">
        <f>O297*(1 + Scenario_Control!$B$3)</f>
        <v>1430.4255000000001</v>
      </c>
      <c r="AI297">
        <f t="shared" si="72"/>
        <v>4500.3167286000016</v>
      </c>
      <c r="AJ297">
        <f t="shared" si="73"/>
        <v>-6513.9596214000003</v>
      </c>
      <c r="AK297" s="29">
        <f>MIN(Q297*(1-U297), Scenario_Control!$B$2*Q297)</f>
        <v>658.9140000000001</v>
      </c>
      <c r="AL297" s="15">
        <f t="shared" si="74"/>
        <v>0</v>
      </c>
      <c r="AM297" s="8">
        <f>DATEDIF(Table1[[#This Row],[Country_FirstMonth]], Table1[[#This Row],[MonthDate]], "m")</f>
        <v>29</v>
      </c>
    </row>
    <row r="298" spans="1:39" x14ac:dyDescent="0.25">
      <c r="A298" t="s">
        <v>310</v>
      </c>
      <c r="B298" s="12">
        <v>45353</v>
      </c>
      <c r="C298" s="12">
        <f t="shared" si="60"/>
        <v>45367</v>
      </c>
      <c r="D298" s="2" t="str">
        <f>IF(Table1[[#This Row],[RequiredDate]]&lt;Table1[[#This Row],[OrderDate]],"Check","OK")</f>
        <v>OK</v>
      </c>
      <c r="E298" s="2">
        <v>45367</v>
      </c>
      <c r="F298" s="15">
        <f t="shared" si="61"/>
        <v>14</v>
      </c>
      <c r="G298" t="s">
        <v>648</v>
      </c>
      <c r="H298" t="s">
        <v>653</v>
      </c>
      <c r="I298" t="s">
        <v>688</v>
      </c>
      <c r="J298" t="s">
        <v>703</v>
      </c>
      <c r="K298" t="s">
        <v>711</v>
      </c>
      <c r="L298" t="s">
        <v>719</v>
      </c>
      <c r="M298" t="s">
        <v>728</v>
      </c>
      <c r="N298" t="s">
        <v>1030</v>
      </c>
      <c r="O298" s="29">
        <v>248.24</v>
      </c>
      <c r="P298" t="str">
        <f>IF(Table1[[#This Row],[UnitPrice]]&lt;=0,"Check","OK")</f>
        <v>OK</v>
      </c>
      <c r="Q298" s="29">
        <f t="shared" si="62"/>
        <v>464.05</v>
      </c>
      <c r="R298">
        <v>464.05</v>
      </c>
      <c r="S298" s="5">
        <f>IF(Table1[[#This Row],[Discount_Flag]]="Check", MIN(MAX(Table1[[#This Row],[DiscountPct]],0),0.3), Table1[[#This Row],[DiscountPct]])</f>
        <v>0.16900000000000001</v>
      </c>
      <c r="T298" t="str">
        <f>IF(OR(Table1[[#This Row],[DiscountPct]]&lt;0,Table1[[#This Row],[DiscountPct]]&gt;0.3),"Check","OK")</f>
        <v>OK</v>
      </c>
      <c r="U298" s="11">
        <v>0.16900000000000001</v>
      </c>
      <c r="V298" s="15">
        <f t="shared" si="63"/>
        <v>0</v>
      </c>
      <c r="W298" s="11">
        <f t="shared" si="64"/>
        <v>0.3562667203975462</v>
      </c>
      <c r="X298" s="17">
        <f t="shared" si="65"/>
        <v>2730.6400000000003</v>
      </c>
      <c r="Y298" s="17">
        <f t="shared" si="66"/>
        <v>1511.2410499999996</v>
      </c>
      <c r="Z298" s="17">
        <f t="shared" si="67"/>
        <v>4241.88105</v>
      </c>
      <c r="AA298" s="17" t="str">
        <f t="shared" si="68"/>
        <v>Q1-2024</v>
      </c>
      <c r="AB298" s="12" t="str">
        <f t="shared" si="69"/>
        <v>Mar-2024</v>
      </c>
      <c r="AC298" s="12" t="str">
        <f t="shared" si="70"/>
        <v>Low</v>
      </c>
      <c r="AD298">
        <v>11</v>
      </c>
      <c r="AE298" s="12">
        <f>_xlfn.MINIFS(Table1[MonthDate], Table1[Country], Table1[[#This Row],[Country]])</f>
        <v>44927</v>
      </c>
      <c r="AF298" s="12">
        <f t="shared" si="71"/>
        <v>45352</v>
      </c>
      <c r="AG298">
        <f>AD298*(1 + Scenario_Control!$B$4)</f>
        <v>12.100000000000001</v>
      </c>
      <c r="AH298">
        <f>O298*(1 + Scenario_Control!$B$3)</f>
        <v>260.65200000000004</v>
      </c>
      <c r="AI298">
        <f t="shared" si="72"/>
        <v>933.21383100000014</v>
      </c>
      <c r="AJ298">
        <f t="shared" si="73"/>
        <v>-2220.675369000001</v>
      </c>
      <c r="AK298" s="29">
        <f>MIN(Q298*(1-U298), Scenario_Control!$B$2*Q298)</f>
        <v>92.81</v>
      </c>
      <c r="AL298" s="15">
        <f t="shared" si="74"/>
        <v>0</v>
      </c>
      <c r="AM298" s="8">
        <f>DATEDIF(Table1[[#This Row],[Country_FirstMonth]], Table1[[#This Row],[MonthDate]], "m")</f>
        <v>14</v>
      </c>
    </row>
    <row r="299" spans="1:39" x14ac:dyDescent="0.25">
      <c r="A299" t="s">
        <v>311</v>
      </c>
      <c r="B299" s="12">
        <v>45097</v>
      </c>
      <c r="C299" s="12">
        <f t="shared" si="60"/>
        <v>45115</v>
      </c>
      <c r="D299" s="2" t="str">
        <f>IF(Table1[[#This Row],[RequiredDate]]&lt;Table1[[#This Row],[OrderDate]],"Check","OK")</f>
        <v>OK</v>
      </c>
      <c r="E299" s="2">
        <v>45115</v>
      </c>
      <c r="F299" s="15">
        <f t="shared" si="61"/>
        <v>18</v>
      </c>
      <c r="G299" t="s">
        <v>648</v>
      </c>
      <c r="H299" t="s">
        <v>660</v>
      </c>
      <c r="I299" t="s">
        <v>697</v>
      </c>
      <c r="J299" t="s">
        <v>703</v>
      </c>
      <c r="K299" t="s">
        <v>711</v>
      </c>
      <c r="L299" t="s">
        <v>721</v>
      </c>
      <c r="M299" t="s">
        <v>732</v>
      </c>
      <c r="N299" t="s">
        <v>1031</v>
      </c>
      <c r="O299" s="29">
        <v>337</v>
      </c>
      <c r="P299" t="str">
        <f>IF(Table1[[#This Row],[UnitPrice]]&lt;=0,"Check","OK")</f>
        <v>OK</v>
      </c>
      <c r="Q299" s="29">
        <f t="shared" si="62"/>
        <v>511.03</v>
      </c>
      <c r="R299">
        <v>511.03</v>
      </c>
      <c r="S299" s="5">
        <f>IF(Table1[[#This Row],[Discount_Flag]]="Check", MIN(MAX(Table1[[#This Row],[DiscountPct]],0),0.3), Table1[[#This Row],[DiscountPct]])</f>
        <v>0.108</v>
      </c>
      <c r="T299" t="str">
        <f>IF(OR(Table1[[#This Row],[DiscountPct]]&lt;0,Table1[[#This Row],[DiscountPct]]&gt;0.3),"Check","OK")</f>
        <v>OK</v>
      </c>
      <c r="U299" s="11">
        <v>0.108</v>
      </c>
      <c r="V299" s="15">
        <f t="shared" si="63"/>
        <v>0</v>
      </c>
      <c r="W299" s="11">
        <f t="shared" si="64"/>
        <v>0.26070349963219458</v>
      </c>
      <c r="X299" s="17">
        <f t="shared" si="65"/>
        <v>2359</v>
      </c>
      <c r="Y299" s="17">
        <f t="shared" si="66"/>
        <v>831.8713200000002</v>
      </c>
      <c r="Z299" s="17">
        <f t="shared" si="67"/>
        <v>3190.8713200000002</v>
      </c>
      <c r="AA299" s="17" t="str">
        <f t="shared" si="68"/>
        <v>Q2-2023</v>
      </c>
      <c r="AB299" s="12" t="str">
        <f t="shared" si="69"/>
        <v>Jun-2023</v>
      </c>
      <c r="AC299" s="12" t="str">
        <f t="shared" si="70"/>
        <v>Low</v>
      </c>
      <c r="AD299">
        <v>7</v>
      </c>
      <c r="AE299" s="12">
        <f>_xlfn.MINIFS(Table1[MonthDate], Table1[Country], Table1[[#This Row],[Country]])</f>
        <v>44927</v>
      </c>
      <c r="AF299" s="12">
        <f t="shared" si="71"/>
        <v>45078</v>
      </c>
      <c r="AG299">
        <f>AD299*(1 + Scenario_Control!$B$4)</f>
        <v>7.7000000000000011</v>
      </c>
      <c r="AH299">
        <f>O299*(1 + Scenario_Control!$B$3)</f>
        <v>353.85</v>
      </c>
      <c r="AI299">
        <f t="shared" si="72"/>
        <v>701.99169040000015</v>
      </c>
      <c r="AJ299">
        <f t="shared" si="73"/>
        <v>-2022.6533096000003</v>
      </c>
      <c r="AK299" s="29">
        <f>MIN(Q299*(1-U299), Scenario_Control!$B$2*Q299)</f>
        <v>102.206</v>
      </c>
      <c r="AL299" s="15">
        <f t="shared" si="74"/>
        <v>0</v>
      </c>
      <c r="AM299" s="8">
        <f>DATEDIF(Table1[[#This Row],[Country_FirstMonth]], Table1[[#This Row],[MonthDate]], "m")</f>
        <v>5</v>
      </c>
    </row>
    <row r="300" spans="1:39" x14ac:dyDescent="0.25">
      <c r="A300" t="s">
        <v>312</v>
      </c>
      <c r="B300" s="12">
        <v>45377</v>
      </c>
      <c r="C300" s="12">
        <f t="shared" si="60"/>
        <v>45387</v>
      </c>
      <c r="D300" s="2" t="str">
        <f>IF(Table1[[#This Row],[RequiredDate]]&lt;Table1[[#This Row],[OrderDate]],"Check","OK")</f>
        <v>OK</v>
      </c>
      <c r="E300" s="2">
        <v>45387</v>
      </c>
      <c r="F300" s="15">
        <f t="shared" si="61"/>
        <v>10</v>
      </c>
      <c r="G300" t="s">
        <v>648</v>
      </c>
      <c r="H300" t="s">
        <v>660</v>
      </c>
      <c r="I300" t="s">
        <v>697</v>
      </c>
      <c r="J300" t="s">
        <v>704</v>
      </c>
      <c r="K300" t="s">
        <v>711</v>
      </c>
      <c r="L300" t="s">
        <v>713</v>
      </c>
      <c r="M300" t="s">
        <v>732</v>
      </c>
      <c r="N300" t="s">
        <v>1032</v>
      </c>
      <c r="O300" s="29">
        <v>5.66</v>
      </c>
      <c r="P300" t="str">
        <f>IF(Table1[[#This Row],[UnitPrice]]&lt;=0,"Check","OK")</f>
        <v>OK</v>
      </c>
      <c r="Q300" s="29">
        <f t="shared" si="62"/>
        <v>4.22</v>
      </c>
      <c r="R300">
        <v>4.22</v>
      </c>
      <c r="S300" s="5">
        <f>IF(Table1[[#This Row],[Discount_Flag]]="Check", MIN(MAX(Table1[[#This Row],[DiscountPct]],0),0.3), Table1[[#This Row],[DiscountPct]])</f>
        <v>0.11899999999999999</v>
      </c>
      <c r="T300" t="str">
        <f>IF(OR(Table1[[#This Row],[DiscountPct]]&lt;0,Table1[[#This Row],[DiscountPct]]&gt;0.3),"Check","OK")</f>
        <v>OK</v>
      </c>
      <c r="U300" s="11">
        <v>0.11899999999999999</v>
      </c>
      <c r="V300" s="15">
        <f t="shared" si="63"/>
        <v>0</v>
      </c>
      <c r="W300" s="11">
        <f t="shared" si="64"/>
        <v>-0.52239753403876454</v>
      </c>
      <c r="X300" s="17">
        <f t="shared" si="65"/>
        <v>101.88</v>
      </c>
      <c r="Y300" s="17">
        <f t="shared" si="66"/>
        <v>-34.959239999999994</v>
      </c>
      <c r="Z300" s="17">
        <f t="shared" si="67"/>
        <v>66.920760000000001</v>
      </c>
      <c r="AA300" s="17" t="str">
        <f t="shared" si="68"/>
        <v>Q1-2024</v>
      </c>
      <c r="AB300" s="12" t="str">
        <f t="shared" si="69"/>
        <v>Mar-2024</v>
      </c>
      <c r="AC300" s="12" t="str">
        <f t="shared" si="70"/>
        <v>Low</v>
      </c>
      <c r="AD300">
        <v>18</v>
      </c>
      <c r="AE300" s="12">
        <f>_xlfn.MINIFS(Table1[MonthDate], Table1[Country], Table1[[#This Row],[Country]])</f>
        <v>44927</v>
      </c>
      <c r="AF300" s="12">
        <f t="shared" si="71"/>
        <v>45352</v>
      </c>
      <c r="AG300">
        <f>AD300*(1 + Scenario_Control!$B$4)</f>
        <v>19.8</v>
      </c>
      <c r="AH300">
        <f>O300*(1 + Scenario_Control!$B$3)</f>
        <v>5.9430000000000005</v>
      </c>
      <c r="AI300">
        <f t="shared" si="72"/>
        <v>14.722567200000002</v>
      </c>
      <c r="AJ300">
        <f t="shared" si="73"/>
        <v>-102.94883280000002</v>
      </c>
      <c r="AK300" s="29">
        <f>MIN(Q300*(1-U300), Scenario_Control!$B$2*Q300)</f>
        <v>0.84399999999999997</v>
      </c>
      <c r="AL300" s="15">
        <f t="shared" si="74"/>
        <v>0</v>
      </c>
      <c r="AM300" s="8">
        <f>DATEDIF(Table1[[#This Row],[Country_FirstMonth]], Table1[[#This Row],[MonthDate]], "m")</f>
        <v>14</v>
      </c>
    </row>
    <row r="301" spans="1:39" x14ac:dyDescent="0.25">
      <c r="A301" t="s">
        <v>313</v>
      </c>
      <c r="B301" s="12">
        <v>45679</v>
      </c>
      <c r="C301" s="12">
        <f t="shared" si="60"/>
        <v>45679</v>
      </c>
      <c r="D301" s="2" t="str">
        <f>IF(Table1[[#This Row],[RequiredDate]]&lt;Table1[[#This Row],[OrderDate]],"Check","OK")</f>
        <v>OK</v>
      </c>
      <c r="E301" s="2">
        <v>45679</v>
      </c>
      <c r="F301" s="15">
        <f t="shared" si="61"/>
        <v>0</v>
      </c>
      <c r="G301" t="s">
        <v>649</v>
      </c>
      <c r="H301" t="s">
        <v>657</v>
      </c>
      <c r="I301" t="s">
        <v>679</v>
      </c>
      <c r="J301" t="s">
        <v>705</v>
      </c>
      <c r="K301" t="s">
        <v>708</v>
      </c>
      <c r="L301" t="s">
        <v>717</v>
      </c>
      <c r="M301" t="s">
        <v>733</v>
      </c>
      <c r="N301" t="s">
        <v>1033</v>
      </c>
      <c r="O301" s="29">
        <v>591.72</v>
      </c>
      <c r="P301" t="str">
        <f>IF(Table1[[#This Row],[UnitPrice]]&lt;=0,"Check","OK")</f>
        <v>OK</v>
      </c>
      <c r="Q301" s="29">
        <f t="shared" si="62"/>
        <v>577.24</v>
      </c>
      <c r="R301">
        <v>577.24</v>
      </c>
      <c r="S301" s="5">
        <f>IF(Table1[[#This Row],[Discount_Flag]]="Check", MIN(MAX(Table1[[#This Row],[DiscountPct]],0),0.3), Table1[[#This Row],[DiscountPct]])</f>
        <v>0</v>
      </c>
      <c r="T301" t="str">
        <f>IF(OR(Table1[[#This Row],[DiscountPct]]&lt;0,Table1[[#This Row],[DiscountPct]]&gt;0.3),"Check","OK")</f>
        <v>OK</v>
      </c>
      <c r="U301" s="11">
        <v>0</v>
      </c>
      <c r="V301" s="15">
        <f t="shared" si="63"/>
        <v>0</v>
      </c>
      <c r="W301" s="11">
        <f t="shared" si="64"/>
        <v>-2.5084886702238195E-2</v>
      </c>
      <c r="X301" s="17">
        <f t="shared" si="65"/>
        <v>13017.84</v>
      </c>
      <c r="Y301" s="17">
        <f t="shared" si="66"/>
        <v>-318.55999999999949</v>
      </c>
      <c r="Z301" s="17">
        <f t="shared" si="67"/>
        <v>12699.28</v>
      </c>
      <c r="AA301" s="17" t="str">
        <f t="shared" si="68"/>
        <v>Q1-2025</v>
      </c>
      <c r="AB301" s="12" t="str">
        <f t="shared" si="69"/>
        <v>Jan-2025</v>
      </c>
      <c r="AC301" s="12" t="str">
        <f t="shared" si="70"/>
        <v>Low</v>
      </c>
      <c r="AD301">
        <v>22</v>
      </c>
      <c r="AE301" s="12">
        <f>_xlfn.MINIFS(Table1[MonthDate], Table1[Country], Table1[[#This Row],[Country]])</f>
        <v>44927</v>
      </c>
      <c r="AF301" s="12">
        <f t="shared" si="71"/>
        <v>45658</v>
      </c>
      <c r="AG301">
        <f>AD301*(1 + Scenario_Control!$B$4)</f>
        <v>24.200000000000003</v>
      </c>
      <c r="AH301">
        <f>O301*(1 + Scenario_Control!$B$3)</f>
        <v>621.30600000000004</v>
      </c>
      <c r="AI301">
        <f t="shared" si="72"/>
        <v>2793.8416000000007</v>
      </c>
      <c r="AJ301">
        <f t="shared" si="73"/>
        <v>-12241.763600000002</v>
      </c>
      <c r="AK301" s="29">
        <f>MIN(Q301*(1-U301), Scenario_Control!$B$2*Q301)</f>
        <v>115.44800000000001</v>
      </c>
      <c r="AL301" s="15">
        <f t="shared" si="74"/>
        <v>1</v>
      </c>
      <c r="AM301" s="8">
        <f>DATEDIF(Table1[[#This Row],[Country_FirstMonth]], Table1[[#This Row],[MonthDate]], "m")</f>
        <v>24</v>
      </c>
    </row>
    <row r="302" spans="1:39" x14ac:dyDescent="0.25">
      <c r="A302" t="s">
        <v>314</v>
      </c>
      <c r="B302" s="12">
        <v>45787</v>
      </c>
      <c r="C302" s="12">
        <f t="shared" si="60"/>
        <v>45804</v>
      </c>
      <c r="D302" s="2" t="str">
        <f>IF(Table1[[#This Row],[RequiredDate]]&lt;Table1[[#This Row],[OrderDate]],"Check","OK")</f>
        <v>OK</v>
      </c>
      <c r="E302" s="2">
        <v>45804</v>
      </c>
      <c r="F302" s="15">
        <f t="shared" si="61"/>
        <v>17</v>
      </c>
      <c r="G302" t="s">
        <v>648</v>
      </c>
      <c r="H302" t="s">
        <v>653</v>
      </c>
      <c r="I302" t="s">
        <v>688</v>
      </c>
      <c r="J302" t="s">
        <v>702</v>
      </c>
      <c r="K302" t="s">
        <v>711</v>
      </c>
      <c r="L302" t="s">
        <v>712</v>
      </c>
      <c r="M302" t="s">
        <v>727</v>
      </c>
      <c r="N302" t="s">
        <v>1034</v>
      </c>
      <c r="O302" s="29">
        <v>862.89</v>
      </c>
      <c r="P302" t="str">
        <f>IF(Table1[[#This Row],[UnitPrice]]&lt;=0,"Check","OK")</f>
        <v>OK</v>
      </c>
      <c r="Q302" s="29">
        <f t="shared" si="62"/>
        <v>1426.03</v>
      </c>
      <c r="R302">
        <v>1426.03</v>
      </c>
      <c r="S302" s="5">
        <f>IF(Table1[[#This Row],[Discount_Flag]]="Check", MIN(MAX(Table1[[#This Row],[DiscountPct]],0),0.3), Table1[[#This Row],[DiscountPct]])</f>
        <v>5.6000000000000001E-2</v>
      </c>
      <c r="T302" t="str">
        <f>IF(OR(Table1[[#This Row],[DiscountPct]]&lt;0,Table1[[#This Row],[DiscountPct]]&gt;0.3),"Check","OK")</f>
        <v>OK</v>
      </c>
      <c r="U302" s="11">
        <v>5.6000000000000001E-2</v>
      </c>
      <c r="V302" s="15">
        <f t="shared" si="63"/>
        <v>0</v>
      </c>
      <c r="W302" s="11">
        <f t="shared" si="64"/>
        <v>0.35900479665188778</v>
      </c>
      <c r="X302" s="17">
        <f t="shared" si="65"/>
        <v>16394.91</v>
      </c>
      <c r="Y302" s="17">
        <f t="shared" si="66"/>
        <v>9182.3640799999994</v>
      </c>
      <c r="Z302" s="17">
        <f t="shared" si="67"/>
        <v>25577.274079999999</v>
      </c>
      <c r="AA302" s="17" t="str">
        <f t="shared" si="68"/>
        <v>Q2-2025</v>
      </c>
      <c r="AB302" s="12" t="str">
        <f t="shared" si="69"/>
        <v>May-2025</v>
      </c>
      <c r="AC302" s="12" t="str">
        <f t="shared" si="70"/>
        <v>Medium</v>
      </c>
      <c r="AD302">
        <v>19</v>
      </c>
      <c r="AE302" s="12">
        <f>_xlfn.MINIFS(Table1[MonthDate], Table1[Country], Table1[[#This Row],[Country]])</f>
        <v>44927</v>
      </c>
      <c r="AF302" s="12">
        <f t="shared" si="71"/>
        <v>45778</v>
      </c>
      <c r="AG302">
        <f>AD302*(1 + Scenario_Control!$B$4)</f>
        <v>20.900000000000002</v>
      </c>
      <c r="AH302">
        <f>O302*(1 + Scenario_Control!$B$3)</f>
        <v>906.03449999999998</v>
      </c>
      <c r="AI302">
        <f t="shared" si="72"/>
        <v>5627.0002976000005</v>
      </c>
      <c r="AJ302">
        <f t="shared" si="73"/>
        <v>-13309.120752400002</v>
      </c>
      <c r="AK302" s="29">
        <f>MIN(Q302*(1-U302), Scenario_Control!$B$2*Q302)</f>
        <v>285.20600000000002</v>
      </c>
      <c r="AL302" s="15">
        <f t="shared" si="74"/>
        <v>0</v>
      </c>
      <c r="AM302" s="8">
        <f>DATEDIF(Table1[[#This Row],[Country_FirstMonth]], Table1[[#This Row],[MonthDate]], "m")</f>
        <v>28</v>
      </c>
    </row>
    <row r="303" spans="1:39" x14ac:dyDescent="0.25">
      <c r="A303" t="s">
        <v>315</v>
      </c>
      <c r="B303" s="12">
        <v>45204</v>
      </c>
      <c r="C303" s="12">
        <f t="shared" si="60"/>
        <v>45230</v>
      </c>
      <c r="D303" s="2" t="str">
        <f>IF(Table1[[#This Row],[RequiredDate]]&lt;Table1[[#This Row],[OrderDate]],"Check","OK")</f>
        <v>OK</v>
      </c>
      <c r="E303" s="2">
        <v>45230</v>
      </c>
      <c r="F303" s="15">
        <f t="shared" si="61"/>
        <v>26</v>
      </c>
      <c r="G303" t="s">
        <v>647</v>
      </c>
      <c r="H303" t="s">
        <v>659</v>
      </c>
      <c r="I303" t="s">
        <v>685</v>
      </c>
      <c r="J303" t="s">
        <v>704</v>
      </c>
      <c r="K303" t="s">
        <v>1428</v>
      </c>
      <c r="L303" t="s">
        <v>713</v>
      </c>
      <c r="M303" t="s">
        <v>728</v>
      </c>
      <c r="N303" t="s">
        <v>1035</v>
      </c>
      <c r="O303" s="29">
        <v>649.91</v>
      </c>
      <c r="P303" t="str">
        <f>IF(Table1[[#This Row],[UnitPrice]]&lt;=0,"Check","OK")</f>
        <v>OK</v>
      </c>
      <c r="Q303" s="29">
        <f t="shared" si="62"/>
        <v>1360.12</v>
      </c>
      <c r="R303">
        <v>1360.12</v>
      </c>
      <c r="S303" s="5">
        <f>IF(Table1[[#This Row],[Discount_Flag]]="Check", MIN(MAX(Table1[[#This Row],[DiscountPct]],0),0.3), Table1[[#This Row],[DiscountPct]])</f>
        <v>0.19400000000000001</v>
      </c>
      <c r="T303" t="str">
        <f>IF(OR(Table1[[#This Row],[DiscountPct]]&lt;0,Table1[[#This Row],[DiscountPct]]&gt;0.3),"Check","OK")</f>
        <v>OK</v>
      </c>
      <c r="U303" s="11">
        <v>0.19400000000000001</v>
      </c>
      <c r="V303" s="15">
        <f t="shared" si="63"/>
        <v>0</v>
      </c>
      <c r="W303" s="11">
        <f t="shared" si="64"/>
        <v>0.40715528749506769</v>
      </c>
      <c r="X303" s="17">
        <f t="shared" si="65"/>
        <v>5849.19</v>
      </c>
      <c r="Y303" s="17">
        <f t="shared" si="66"/>
        <v>4017.1204799999987</v>
      </c>
      <c r="Z303" s="17">
        <f t="shared" si="67"/>
        <v>9866.3104799999983</v>
      </c>
      <c r="AA303" s="17" t="str">
        <f t="shared" si="68"/>
        <v>Q4-2023</v>
      </c>
      <c r="AB303" s="12" t="str">
        <f t="shared" si="69"/>
        <v>Oct-2023</v>
      </c>
      <c r="AC303" s="12" t="str">
        <f t="shared" si="70"/>
        <v>Medium</v>
      </c>
      <c r="AD303">
        <v>9</v>
      </c>
      <c r="AE303" s="12">
        <f>_xlfn.MINIFS(Table1[MonthDate], Table1[Country], Table1[[#This Row],[Country]])</f>
        <v>44927</v>
      </c>
      <c r="AF303" s="12">
        <f t="shared" si="71"/>
        <v>45200</v>
      </c>
      <c r="AG303">
        <f>AD303*(1 + Scenario_Control!$B$4)</f>
        <v>9.9</v>
      </c>
      <c r="AH303">
        <f>O303*(1 + Scenario_Control!$B$3)</f>
        <v>682.40549999999996</v>
      </c>
      <c r="AI303">
        <f t="shared" si="72"/>
        <v>2170.5883056000002</v>
      </c>
      <c r="AJ303">
        <f t="shared" si="73"/>
        <v>-4585.2261443999996</v>
      </c>
      <c r="AK303" s="29">
        <f>MIN(Q303*(1-U303), Scenario_Control!$B$2*Q303)</f>
        <v>272.024</v>
      </c>
      <c r="AL303" s="15">
        <f t="shared" si="74"/>
        <v>0</v>
      </c>
      <c r="AM303" s="8">
        <f>DATEDIF(Table1[[#This Row],[Country_FirstMonth]], Table1[[#This Row],[MonthDate]], "m")</f>
        <v>9</v>
      </c>
    </row>
    <row r="304" spans="1:39" x14ac:dyDescent="0.25">
      <c r="A304" t="s">
        <v>316</v>
      </c>
      <c r="B304" s="12">
        <v>45125</v>
      </c>
      <c r="C304" s="12">
        <f t="shared" si="60"/>
        <v>45129</v>
      </c>
      <c r="D304" s="2" t="str">
        <f>IF(Table1[[#This Row],[RequiredDate]]&lt;Table1[[#This Row],[OrderDate]],"Check","OK")</f>
        <v>OK</v>
      </c>
      <c r="E304" s="2">
        <v>45129</v>
      </c>
      <c r="F304" s="15">
        <f t="shared" si="61"/>
        <v>4</v>
      </c>
      <c r="G304" t="s">
        <v>648</v>
      </c>
      <c r="H304" t="s">
        <v>655</v>
      </c>
      <c r="I304" t="s">
        <v>670</v>
      </c>
      <c r="J304" t="s">
        <v>704</v>
      </c>
      <c r="K304" t="s">
        <v>711</v>
      </c>
      <c r="L304" t="s">
        <v>721</v>
      </c>
      <c r="M304" t="s">
        <v>729</v>
      </c>
      <c r="N304" t="s">
        <v>1036</v>
      </c>
      <c r="O304" s="29">
        <v>1269.55</v>
      </c>
      <c r="P304" t="str">
        <f>IF(Table1[[#This Row],[UnitPrice]]&lt;=0,"Check","OK")</f>
        <v>OK</v>
      </c>
      <c r="Q304" s="29">
        <f t="shared" si="62"/>
        <v>2071.1</v>
      </c>
      <c r="R304">
        <v>2071.1</v>
      </c>
      <c r="S304" s="5">
        <f>IF(Table1[[#This Row],[Discount_Flag]]="Check", MIN(MAX(Table1[[#This Row],[DiscountPct]],0),0.3), Table1[[#This Row],[DiscountPct]])</f>
        <v>0.129</v>
      </c>
      <c r="T304" t="str">
        <f>IF(OR(Table1[[#This Row],[DiscountPct]]&lt;0,Table1[[#This Row],[DiscountPct]]&gt;0.3),"Check","OK")</f>
        <v>OK</v>
      </c>
      <c r="U304" s="11">
        <v>0.129</v>
      </c>
      <c r="V304" s="15">
        <f t="shared" si="63"/>
        <v>0</v>
      </c>
      <c r="W304" s="11">
        <f t="shared" si="64"/>
        <v>0.29623026549672354</v>
      </c>
      <c r="X304" s="17">
        <f t="shared" si="65"/>
        <v>27930.1</v>
      </c>
      <c r="Y304" s="17">
        <f t="shared" si="66"/>
        <v>11756.318200000002</v>
      </c>
      <c r="Z304" s="17">
        <f t="shared" si="67"/>
        <v>39686.4182</v>
      </c>
      <c r="AA304" s="17" t="str">
        <f t="shared" si="68"/>
        <v>Q3-2023</v>
      </c>
      <c r="AB304" s="12" t="str">
        <f t="shared" si="69"/>
        <v>Jul-2023</v>
      </c>
      <c r="AC304" s="12" t="str">
        <f t="shared" si="70"/>
        <v>High</v>
      </c>
      <c r="AD304">
        <v>22</v>
      </c>
      <c r="AE304" s="12">
        <f>_xlfn.MINIFS(Table1[MonthDate], Table1[Country], Table1[[#This Row],[Country]])</f>
        <v>44927</v>
      </c>
      <c r="AF304" s="12">
        <f t="shared" si="71"/>
        <v>45108</v>
      </c>
      <c r="AG304">
        <f>AD304*(1 + Scenario_Control!$B$4)</f>
        <v>24.200000000000003</v>
      </c>
      <c r="AH304">
        <f>O304*(1 + Scenario_Control!$B$3)</f>
        <v>1333.0274999999999</v>
      </c>
      <c r="AI304">
        <f t="shared" si="72"/>
        <v>8731.012004000002</v>
      </c>
      <c r="AJ304">
        <f t="shared" si="73"/>
        <v>-23528.253495999998</v>
      </c>
      <c r="AK304" s="29">
        <f>MIN(Q304*(1-U304), Scenario_Control!$B$2*Q304)</f>
        <v>414.22</v>
      </c>
      <c r="AL304" s="15">
        <f t="shared" si="74"/>
        <v>1</v>
      </c>
      <c r="AM304" s="8">
        <f>DATEDIF(Table1[[#This Row],[Country_FirstMonth]], Table1[[#This Row],[MonthDate]], "m")</f>
        <v>6</v>
      </c>
    </row>
    <row r="305" spans="1:39" x14ac:dyDescent="0.25">
      <c r="A305" t="s">
        <v>317</v>
      </c>
      <c r="B305" s="12">
        <v>45830</v>
      </c>
      <c r="C305" s="12">
        <f t="shared" si="60"/>
        <v>45846</v>
      </c>
      <c r="D305" s="2" t="str">
        <f>IF(Table1[[#This Row],[RequiredDate]]&lt;Table1[[#This Row],[OrderDate]],"Check","OK")</f>
        <v>OK</v>
      </c>
      <c r="E305" s="2">
        <v>45846</v>
      </c>
      <c r="F305" s="15">
        <f t="shared" si="61"/>
        <v>16</v>
      </c>
      <c r="G305" t="s">
        <v>649</v>
      </c>
      <c r="H305" t="s">
        <v>658</v>
      </c>
      <c r="I305" t="s">
        <v>683</v>
      </c>
      <c r="J305" t="s">
        <v>702</v>
      </c>
      <c r="K305" t="s">
        <v>711</v>
      </c>
      <c r="L305" t="s">
        <v>720</v>
      </c>
      <c r="M305" t="s">
        <v>730</v>
      </c>
      <c r="N305" t="s">
        <v>1037</v>
      </c>
      <c r="O305" s="29">
        <v>892.73</v>
      </c>
      <c r="P305" t="str">
        <f>IF(Table1[[#This Row],[UnitPrice]]&lt;=0,"Check","OK")</f>
        <v>OK</v>
      </c>
      <c r="Q305" s="29">
        <f t="shared" si="62"/>
        <v>979.84</v>
      </c>
      <c r="R305">
        <v>979.84</v>
      </c>
      <c r="S305" s="5">
        <f>IF(Table1[[#This Row],[Discount_Flag]]="Check", MIN(MAX(Table1[[#This Row],[DiscountPct]],0),0.3), Table1[[#This Row],[DiscountPct]])</f>
        <v>0.17399999999999999</v>
      </c>
      <c r="T305" t="str">
        <f>IF(OR(Table1[[#This Row],[DiscountPct]]&lt;0,Table1[[#This Row],[DiscountPct]]&gt;0.3),"Check","OK")</f>
        <v>OK</v>
      </c>
      <c r="U305" s="11">
        <v>0.17399999999999999</v>
      </c>
      <c r="V305" s="15">
        <f t="shared" si="63"/>
        <v>0</v>
      </c>
      <c r="W305" s="11">
        <f t="shared" si="64"/>
        <v>-0.10302388649112838</v>
      </c>
      <c r="X305" s="17">
        <f t="shared" si="65"/>
        <v>8927.2999999999993</v>
      </c>
      <c r="Y305" s="17">
        <f t="shared" si="66"/>
        <v>-833.82159999999931</v>
      </c>
      <c r="Z305" s="17">
        <f t="shared" si="67"/>
        <v>8093.4784</v>
      </c>
      <c r="AA305" s="17" t="str">
        <f t="shared" si="68"/>
        <v>Q2-2025</v>
      </c>
      <c r="AB305" s="12" t="str">
        <f t="shared" si="69"/>
        <v>Jun-2025</v>
      </c>
      <c r="AC305" s="12" t="str">
        <f t="shared" si="70"/>
        <v>Medium</v>
      </c>
      <c r="AD305">
        <v>10</v>
      </c>
      <c r="AE305" s="12">
        <f>_xlfn.MINIFS(Table1[MonthDate], Table1[Country], Table1[[#This Row],[Country]])</f>
        <v>44927</v>
      </c>
      <c r="AF305" s="12">
        <f t="shared" si="71"/>
        <v>45809</v>
      </c>
      <c r="AG305">
        <f>AD305*(1 + Scenario_Control!$B$4)</f>
        <v>11</v>
      </c>
      <c r="AH305">
        <f>O305*(1 + Scenario_Control!$B$3)</f>
        <v>937.36650000000009</v>
      </c>
      <c r="AI305">
        <f t="shared" si="72"/>
        <v>1780.5652480000003</v>
      </c>
      <c r="AJ305">
        <f t="shared" si="73"/>
        <v>-8530.4662520000002</v>
      </c>
      <c r="AK305" s="29">
        <f>MIN(Q305*(1-U305), Scenario_Control!$B$2*Q305)</f>
        <v>195.96800000000002</v>
      </c>
      <c r="AL305" s="15">
        <f t="shared" si="74"/>
        <v>0</v>
      </c>
      <c r="AM305" s="8">
        <f>DATEDIF(Table1[[#This Row],[Country_FirstMonth]], Table1[[#This Row],[MonthDate]], "m")</f>
        <v>29</v>
      </c>
    </row>
    <row r="306" spans="1:39" x14ac:dyDescent="0.25">
      <c r="A306" t="s">
        <v>318</v>
      </c>
      <c r="B306" s="12">
        <v>45462</v>
      </c>
      <c r="C306" s="12">
        <f t="shared" si="60"/>
        <v>45463</v>
      </c>
      <c r="D306" s="2" t="str">
        <f>IF(Table1[[#This Row],[RequiredDate]]&lt;Table1[[#This Row],[OrderDate]],"Check","OK")</f>
        <v>OK</v>
      </c>
      <c r="E306" s="2">
        <v>45463</v>
      </c>
      <c r="F306" s="15">
        <f t="shared" si="61"/>
        <v>1</v>
      </c>
      <c r="G306" t="s">
        <v>646</v>
      </c>
      <c r="H306" t="s">
        <v>650</v>
      </c>
      <c r="I306" t="s">
        <v>662</v>
      </c>
      <c r="J306" t="s">
        <v>705</v>
      </c>
      <c r="K306" t="s">
        <v>711</v>
      </c>
      <c r="L306" t="s">
        <v>713</v>
      </c>
      <c r="M306" t="s">
        <v>731</v>
      </c>
      <c r="N306" t="s">
        <v>1038</v>
      </c>
      <c r="O306" s="29">
        <v>231.63</v>
      </c>
      <c r="P306" t="str">
        <f>IF(Table1[[#This Row],[UnitPrice]]&lt;=0,"Check","OK")</f>
        <v>OK</v>
      </c>
      <c r="Q306" s="29">
        <f t="shared" si="62"/>
        <v>537.39</v>
      </c>
      <c r="R306">
        <v>537.39</v>
      </c>
      <c r="S306" s="5">
        <f>IF(Table1[[#This Row],[Discount_Flag]]="Check", MIN(MAX(Table1[[#This Row],[DiscountPct]],0),0.3), Table1[[#This Row],[DiscountPct]])</f>
        <v>0.08</v>
      </c>
      <c r="T306" t="str">
        <f>IF(OR(Table1[[#This Row],[DiscountPct]]&lt;0,Table1[[#This Row],[DiscountPct]]&gt;0.3),"Check","OK")</f>
        <v>OK</v>
      </c>
      <c r="U306" s="11">
        <v>0.08</v>
      </c>
      <c r="V306" s="15">
        <f t="shared" si="63"/>
        <v>0</v>
      </c>
      <c r="W306" s="11">
        <f t="shared" si="64"/>
        <v>0.53149158129024587</v>
      </c>
      <c r="X306" s="17">
        <f t="shared" si="65"/>
        <v>2779.56</v>
      </c>
      <c r="Y306" s="17">
        <f t="shared" si="66"/>
        <v>3153.2256000000002</v>
      </c>
      <c r="Z306" s="17">
        <f t="shared" si="67"/>
        <v>5932.7856000000002</v>
      </c>
      <c r="AA306" s="17" t="str">
        <f t="shared" si="68"/>
        <v>Q2-2024</v>
      </c>
      <c r="AB306" s="12" t="str">
        <f t="shared" si="69"/>
        <v>Jun-2024</v>
      </c>
      <c r="AC306" s="12" t="str">
        <f t="shared" si="70"/>
        <v>Low</v>
      </c>
      <c r="AD306">
        <v>12</v>
      </c>
      <c r="AE306" s="12">
        <f>_xlfn.MINIFS(Table1[MonthDate], Table1[Country], Table1[[#This Row],[Country]])</f>
        <v>44927</v>
      </c>
      <c r="AF306" s="12">
        <f t="shared" si="71"/>
        <v>45444</v>
      </c>
      <c r="AG306">
        <f>AD306*(1 + Scenario_Control!$B$4)</f>
        <v>13.200000000000001</v>
      </c>
      <c r="AH306">
        <f>O306*(1 + Scenario_Control!$B$3)</f>
        <v>243.2115</v>
      </c>
      <c r="AI306">
        <f t="shared" si="72"/>
        <v>1305.2128320000002</v>
      </c>
      <c r="AJ306">
        <f t="shared" si="73"/>
        <v>-1905.1789680000002</v>
      </c>
      <c r="AK306" s="29">
        <f>MIN(Q306*(1-U306), Scenario_Control!$B$2*Q306)</f>
        <v>107.47800000000001</v>
      </c>
      <c r="AL306" s="15">
        <f t="shared" si="74"/>
        <v>1</v>
      </c>
      <c r="AM306" s="8">
        <f>DATEDIF(Table1[[#This Row],[Country_FirstMonth]], Table1[[#This Row],[MonthDate]], "m")</f>
        <v>17</v>
      </c>
    </row>
    <row r="307" spans="1:39" x14ac:dyDescent="0.25">
      <c r="A307" t="s">
        <v>319</v>
      </c>
      <c r="B307" s="12">
        <v>45756</v>
      </c>
      <c r="C307" s="12">
        <f t="shared" si="60"/>
        <v>45759</v>
      </c>
      <c r="D307" s="2" t="str">
        <f>IF(Table1[[#This Row],[RequiredDate]]&lt;Table1[[#This Row],[OrderDate]],"Check","OK")</f>
        <v>OK</v>
      </c>
      <c r="E307" s="2">
        <v>45759</v>
      </c>
      <c r="F307" s="15">
        <f t="shared" si="61"/>
        <v>3</v>
      </c>
      <c r="G307" t="s">
        <v>649</v>
      </c>
      <c r="H307" t="s">
        <v>657</v>
      </c>
      <c r="I307" t="s">
        <v>679</v>
      </c>
      <c r="J307" t="s">
        <v>705</v>
      </c>
      <c r="K307" t="s">
        <v>710</v>
      </c>
      <c r="L307" t="s">
        <v>722</v>
      </c>
      <c r="M307" t="s">
        <v>732</v>
      </c>
      <c r="N307" t="s">
        <v>1039</v>
      </c>
      <c r="O307" s="29">
        <v>86.68</v>
      </c>
      <c r="P307" t="str">
        <f>IF(Table1[[#This Row],[UnitPrice]]&lt;=0,"Check","OK")</f>
        <v>OK</v>
      </c>
      <c r="Q307" s="29">
        <f t="shared" si="62"/>
        <v>213.32</v>
      </c>
      <c r="R307">
        <v>213.32</v>
      </c>
      <c r="S307" s="5">
        <f>IF(Table1[[#This Row],[Discount_Flag]]="Check", MIN(MAX(Table1[[#This Row],[DiscountPct]],0),0.3), Table1[[#This Row],[DiscountPct]])</f>
        <v>3.7999999999999999E-2</v>
      </c>
      <c r="T307" t="str">
        <f>IF(OR(Table1[[#This Row],[DiscountPct]]&lt;0,Table1[[#This Row],[DiscountPct]]&gt;0.3),"Check","OK")</f>
        <v>OK</v>
      </c>
      <c r="U307" s="11">
        <v>3.7999999999999999E-2</v>
      </c>
      <c r="V307" s="15">
        <f t="shared" si="63"/>
        <v>0</v>
      </c>
      <c r="W307" s="11">
        <f t="shared" si="64"/>
        <v>0.57761133459614611</v>
      </c>
      <c r="X307" s="17">
        <f t="shared" si="65"/>
        <v>693.44</v>
      </c>
      <c r="Y307" s="17">
        <f t="shared" si="66"/>
        <v>948.27071999999976</v>
      </c>
      <c r="Z307" s="17">
        <f t="shared" si="67"/>
        <v>1641.7107199999998</v>
      </c>
      <c r="AA307" s="17" t="str">
        <f t="shared" si="68"/>
        <v>Q2-2025</v>
      </c>
      <c r="AB307" s="12" t="str">
        <f t="shared" si="69"/>
        <v>Apr-2025</v>
      </c>
      <c r="AC307" s="12" t="str">
        <f t="shared" si="70"/>
        <v>Low</v>
      </c>
      <c r="AD307">
        <v>8</v>
      </c>
      <c r="AE307" s="12">
        <f>_xlfn.MINIFS(Table1[MonthDate], Table1[Country], Table1[[#This Row],[Country]])</f>
        <v>44927</v>
      </c>
      <c r="AF307" s="12">
        <f t="shared" si="71"/>
        <v>45748</v>
      </c>
      <c r="AG307">
        <f>AD307*(1 + Scenario_Control!$B$4)</f>
        <v>8.8000000000000007</v>
      </c>
      <c r="AH307">
        <f>O307*(1 + Scenario_Control!$B$3)</f>
        <v>91.01400000000001</v>
      </c>
      <c r="AI307">
        <f t="shared" si="72"/>
        <v>361.17635840000003</v>
      </c>
      <c r="AJ307">
        <f t="shared" si="73"/>
        <v>-439.74684160000015</v>
      </c>
      <c r="AK307" s="29">
        <f>MIN(Q307*(1-U307), Scenario_Control!$B$2*Q307)</f>
        <v>42.664000000000001</v>
      </c>
      <c r="AL307" s="15">
        <f t="shared" si="74"/>
        <v>1</v>
      </c>
      <c r="AM307" s="8">
        <f>DATEDIF(Table1[[#This Row],[Country_FirstMonth]], Table1[[#This Row],[MonthDate]], "m")</f>
        <v>27</v>
      </c>
    </row>
    <row r="308" spans="1:39" x14ac:dyDescent="0.25">
      <c r="A308" t="s">
        <v>320</v>
      </c>
      <c r="B308" s="12">
        <v>45741</v>
      </c>
      <c r="C308" s="12">
        <f t="shared" si="60"/>
        <v>45742</v>
      </c>
      <c r="D308" s="2" t="str">
        <f>IF(Table1[[#This Row],[RequiredDate]]&lt;Table1[[#This Row],[OrderDate]],"Check","OK")</f>
        <v>OK</v>
      </c>
      <c r="E308" s="2">
        <v>45742</v>
      </c>
      <c r="F308" s="15">
        <f t="shared" si="61"/>
        <v>1</v>
      </c>
      <c r="G308" t="s">
        <v>646</v>
      </c>
      <c r="H308" t="s">
        <v>651</v>
      </c>
      <c r="I308" t="s">
        <v>665</v>
      </c>
      <c r="J308" t="s">
        <v>702</v>
      </c>
      <c r="K308" t="s">
        <v>710</v>
      </c>
      <c r="L308" t="s">
        <v>715</v>
      </c>
      <c r="M308" t="s">
        <v>733</v>
      </c>
      <c r="N308" t="s">
        <v>1040</v>
      </c>
      <c r="O308" s="29">
        <v>1450.43</v>
      </c>
      <c r="P308" t="str">
        <f>IF(Table1[[#This Row],[UnitPrice]]&lt;=0,"Check","OK")</f>
        <v>OK</v>
      </c>
      <c r="Q308" s="29">
        <f t="shared" si="62"/>
        <v>1994.67</v>
      </c>
      <c r="R308">
        <v>1994.67</v>
      </c>
      <c r="S308" s="5">
        <f>IF(Table1[[#This Row],[Discount_Flag]]="Check", MIN(MAX(Table1[[#This Row],[DiscountPct]],0),0.3), Table1[[#This Row],[DiscountPct]])</f>
        <v>0.1</v>
      </c>
      <c r="T308" t="str">
        <f>IF(OR(Table1[[#This Row],[DiscountPct]]&lt;0,Table1[[#This Row],[DiscountPct]]&gt;0.3),"Check","OK")</f>
        <v>OK</v>
      </c>
      <c r="U308" s="11">
        <v>0.1</v>
      </c>
      <c r="V308" s="15">
        <f t="shared" si="63"/>
        <v>0</v>
      </c>
      <c r="W308" s="11">
        <f t="shared" si="64"/>
        <v>0.19205237513529116</v>
      </c>
      <c r="X308" s="17">
        <f t="shared" si="65"/>
        <v>34810.32</v>
      </c>
      <c r="Y308" s="17">
        <f t="shared" si="66"/>
        <v>8274.5520000000033</v>
      </c>
      <c r="Z308" s="17">
        <f t="shared" si="67"/>
        <v>43084.872000000003</v>
      </c>
      <c r="AA308" s="17" t="str">
        <f t="shared" si="68"/>
        <v>Q1-2025</v>
      </c>
      <c r="AB308" s="12" t="str">
        <f t="shared" si="69"/>
        <v>Mar-2025</v>
      </c>
      <c r="AC308" s="12" t="str">
        <f t="shared" si="70"/>
        <v>High</v>
      </c>
      <c r="AD308">
        <v>24</v>
      </c>
      <c r="AE308" s="12">
        <f>_xlfn.MINIFS(Table1[MonthDate], Table1[Country], Table1[[#This Row],[Country]])</f>
        <v>44927</v>
      </c>
      <c r="AF308" s="12">
        <f t="shared" si="71"/>
        <v>45717</v>
      </c>
      <c r="AG308">
        <f>AD308*(1 + Scenario_Control!$B$4)</f>
        <v>26.400000000000002</v>
      </c>
      <c r="AH308">
        <f>O308*(1 + Scenario_Control!$B$3)</f>
        <v>1522.9515000000001</v>
      </c>
      <c r="AI308">
        <f t="shared" si="72"/>
        <v>9478.6718400000009</v>
      </c>
      <c r="AJ308">
        <f t="shared" si="73"/>
        <v>-30727.247760000006</v>
      </c>
      <c r="AK308" s="29">
        <f>MIN(Q308*(1-U308), Scenario_Control!$B$2*Q308)</f>
        <v>398.93400000000003</v>
      </c>
      <c r="AL308" s="15">
        <f t="shared" si="74"/>
        <v>1</v>
      </c>
      <c r="AM308" s="8">
        <f>DATEDIF(Table1[[#This Row],[Country_FirstMonth]], Table1[[#This Row],[MonthDate]], "m")</f>
        <v>26</v>
      </c>
    </row>
    <row r="309" spans="1:39" x14ac:dyDescent="0.25">
      <c r="A309" t="s">
        <v>321</v>
      </c>
      <c r="B309" s="12">
        <v>45795</v>
      </c>
      <c r="C309" s="12">
        <f t="shared" si="60"/>
        <v>45817</v>
      </c>
      <c r="D309" s="2" t="str">
        <f>IF(Table1[[#This Row],[RequiredDate]]&lt;Table1[[#This Row],[OrderDate]],"Check","OK")</f>
        <v>OK</v>
      </c>
      <c r="E309" s="2">
        <v>45817</v>
      </c>
      <c r="F309" s="15">
        <f t="shared" si="61"/>
        <v>22</v>
      </c>
      <c r="G309" t="s">
        <v>648</v>
      </c>
      <c r="H309" t="s">
        <v>660</v>
      </c>
      <c r="I309" t="s">
        <v>700</v>
      </c>
      <c r="J309" t="s">
        <v>704</v>
      </c>
      <c r="K309" t="s">
        <v>707</v>
      </c>
      <c r="L309" t="s">
        <v>722</v>
      </c>
      <c r="M309" t="s">
        <v>729</v>
      </c>
      <c r="N309" t="s">
        <v>1041</v>
      </c>
      <c r="O309" s="29">
        <v>382.96</v>
      </c>
      <c r="P309" t="str">
        <f>IF(Table1[[#This Row],[UnitPrice]]&lt;=0,"Check","OK")</f>
        <v>OK</v>
      </c>
      <c r="Q309" s="29">
        <f t="shared" si="62"/>
        <v>552.84</v>
      </c>
      <c r="R309">
        <v>552.84</v>
      </c>
      <c r="S309" s="5">
        <f>IF(Table1[[#This Row],[Discount_Flag]]="Check", MIN(MAX(Table1[[#This Row],[DiscountPct]],0),0.3), Table1[[#This Row],[DiscountPct]])</f>
        <v>0.17599999999999999</v>
      </c>
      <c r="T309" t="str">
        <f>IF(OR(Table1[[#This Row],[DiscountPct]]&lt;0,Table1[[#This Row],[DiscountPct]]&gt;0.3),"Check","OK")</f>
        <v>OK</v>
      </c>
      <c r="U309" s="11">
        <v>0.17599999999999999</v>
      </c>
      <c r="V309" s="15">
        <f t="shared" si="63"/>
        <v>0</v>
      </c>
      <c r="W309" s="11">
        <f t="shared" si="64"/>
        <v>0.15932768693763483</v>
      </c>
      <c r="X309" s="17">
        <f t="shared" si="65"/>
        <v>3063.68</v>
      </c>
      <c r="Y309" s="17">
        <f t="shared" si="66"/>
        <v>580.64128000000073</v>
      </c>
      <c r="Z309" s="17">
        <f t="shared" si="67"/>
        <v>3644.3212800000006</v>
      </c>
      <c r="AA309" s="17" t="str">
        <f t="shared" si="68"/>
        <v>Q2-2025</v>
      </c>
      <c r="AB309" s="12" t="str">
        <f t="shared" si="69"/>
        <v>May-2025</v>
      </c>
      <c r="AC309" s="12" t="str">
        <f t="shared" si="70"/>
        <v>Low</v>
      </c>
      <c r="AD309">
        <v>8</v>
      </c>
      <c r="AE309" s="12">
        <f>_xlfn.MINIFS(Table1[MonthDate], Table1[Country], Table1[[#This Row],[Country]])</f>
        <v>44927</v>
      </c>
      <c r="AF309" s="12">
        <f t="shared" si="71"/>
        <v>45778</v>
      </c>
      <c r="AG309">
        <f>AD309*(1 + Scenario_Control!$B$4)</f>
        <v>8.8000000000000007</v>
      </c>
      <c r="AH309">
        <f>O309*(1 + Scenario_Control!$B$3)</f>
        <v>402.108</v>
      </c>
      <c r="AI309">
        <f t="shared" si="72"/>
        <v>801.75068160000023</v>
      </c>
      <c r="AJ309">
        <f t="shared" si="73"/>
        <v>-2736.7997184000005</v>
      </c>
      <c r="AK309" s="29">
        <f>MIN(Q309*(1-U309), Scenario_Control!$B$2*Q309)</f>
        <v>110.56800000000001</v>
      </c>
      <c r="AL309" s="15">
        <f t="shared" si="74"/>
        <v>0</v>
      </c>
      <c r="AM309" s="8">
        <f>DATEDIF(Table1[[#This Row],[Country_FirstMonth]], Table1[[#This Row],[MonthDate]], "m")</f>
        <v>28</v>
      </c>
    </row>
    <row r="310" spans="1:39" x14ac:dyDescent="0.25">
      <c r="A310" t="s">
        <v>322</v>
      </c>
      <c r="B310" s="12">
        <v>45679</v>
      </c>
      <c r="C310" s="12">
        <f t="shared" si="60"/>
        <v>45692</v>
      </c>
      <c r="D310" s="2" t="str">
        <f>IF(Table1[[#This Row],[RequiredDate]]&lt;Table1[[#This Row],[OrderDate]],"Check","OK")</f>
        <v>OK</v>
      </c>
      <c r="E310" s="2">
        <v>45692</v>
      </c>
      <c r="F310" s="15">
        <f t="shared" si="61"/>
        <v>13</v>
      </c>
      <c r="G310" t="s">
        <v>647</v>
      </c>
      <c r="H310" t="s">
        <v>652</v>
      </c>
      <c r="I310" t="s">
        <v>689</v>
      </c>
      <c r="J310" t="s">
        <v>705</v>
      </c>
      <c r="K310" t="s">
        <v>710</v>
      </c>
      <c r="L310" t="s">
        <v>716</v>
      </c>
      <c r="M310" t="s">
        <v>728</v>
      </c>
      <c r="N310" t="s">
        <v>1042</v>
      </c>
      <c r="O310" s="29">
        <v>122.29</v>
      </c>
      <c r="P310" t="str">
        <f>IF(Table1[[#This Row],[UnitPrice]]&lt;=0,"Check","OK")</f>
        <v>OK</v>
      </c>
      <c r="Q310" s="29">
        <f t="shared" si="62"/>
        <v>224.95</v>
      </c>
      <c r="R310">
        <v>224.95</v>
      </c>
      <c r="S310" s="5">
        <f>IF(Table1[[#This Row],[Discount_Flag]]="Check", MIN(MAX(Table1[[#This Row],[DiscountPct]],0),0.3), Table1[[#This Row],[DiscountPct]])</f>
        <v>0.153</v>
      </c>
      <c r="T310" t="str">
        <f>IF(OR(Table1[[#This Row],[DiscountPct]]&lt;0,Table1[[#This Row],[DiscountPct]]&gt;0.3),"Check","OK")</f>
        <v>OK</v>
      </c>
      <c r="U310" s="11">
        <v>0.153</v>
      </c>
      <c r="V310" s="15">
        <f t="shared" si="63"/>
        <v>0</v>
      </c>
      <c r="W310" s="11">
        <f t="shared" si="64"/>
        <v>0.3581677471026618</v>
      </c>
      <c r="X310" s="17">
        <f t="shared" si="65"/>
        <v>3424.1200000000003</v>
      </c>
      <c r="Y310" s="17">
        <f t="shared" si="66"/>
        <v>1910.7941999999989</v>
      </c>
      <c r="Z310" s="17">
        <f t="shared" si="67"/>
        <v>5334.9141999999993</v>
      </c>
      <c r="AA310" s="17" t="str">
        <f t="shared" si="68"/>
        <v>Q1-2025</v>
      </c>
      <c r="AB310" s="12" t="str">
        <f t="shared" si="69"/>
        <v>Jan-2025</v>
      </c>
      <c r="AC310" s="12" t="str">
        <f t="shared" si="70"/>
        <v>Low</v>
      </c>
      <c r="AD310">
        <v>28</v>
      </c>
      <c r="AE310" s="12">
        <f>_xlfn.MINIFS(Table1[MonthDate], Table1[Country], Table1[[#This Row],[Country]])</f>
        <v>44986</v>
      </c>
      <c r="AF310" s="12">
        <f t="shared" si="71"/>
        <v>45658</v>
      </c>
      <c r="AG310">
        <f>AD310*(1 + Scenario_Control!$B$4)</f>
        <v>30.800000000000004</v>
      </c>
      <c r="AH310">
        <f>O310*(1 + Scenario_Control!$B$3)</f>
        <v>128.40450000000001</v>
      </c>
      <c r="AI310">
        <f t="shared" si="72"/>
        <v>1173.6811240000002</v>
      </c>
      <c r="AJ310">
        <f t="shared" si="73"/>
        <v>-2781.1774760000008</v>
      </c>
      <c r="AK310" s="29">
        <f>MIN(Q310*(1-U310), Scenario_Control!$B$2*Q310)</f>
        <v>44.99</v>
      </c>
      <c r="AL310" s="15">
        <f t="shared" si="74"/>
        <v>0</v>
      </c>
      <c r="AM310" s="8">
        <f>DATEDIF(Table1[[#This Row],[Country_FirstMonth]], Table1[[#This Row],[MonthDate]], "m")</f>
        <v>22</v>
      </c>
    </row>
    <row r="311" spans="1:39" x14ac:dyDescent="0.25">
      <c r="A311" t="s">
        <v>323</v>
      </c>
      <c r="B311" s="12">
        <v>44936</v>
      </c>
      <c r="C311" s="12">
        <f t="shared" si="60"/>
        <v>44955</v>
      </c>
      <c r="D311" s="2" t="str">
        <f>IF(Table1[[#This Row],[RequiredDate]]&lt;Table1[[#This Row],[OrderDate]],"Check","OK")</f>
        <v>OK</v>
      </c>
      <c r="E311" s="2">
        <v>44955</v>
      </c>
      <c r="F311" s="15">
        <f t="shared" si="61"/>
        <v>19</v>
      </c>
      <c r="G311" t="s">
        <v>649</v>
      </c>
      <c r="H311" t="s">
        <v>657</v>
      </c>
      <c r="I311" t="s">
        <v>679</v>
      </c>
      <c r="J311" t="s">
        <v>703</v>
      </c>
      <c r="K311" t="s">
        <v>711</v>
      </c>
      <c r="L311" t="s">
        <v>726</v>
      </c>
      <c r="M311" t="s">
        <v>731</v>
      </c>
      <c r="N311" t="s">
        <v>1043</v>
      </c>
      <c r="O311" s="29">
        <v>401.66</v>
      </c>
      <c r="P311" t="str">
        <f>IF(Table1[[#This Row],[UnitPrice]]&lt;=0,"Check","OK")</f>
        <v>OK</v>
      </c>
      <c r="Q311" s="29">
        <f t="shared" si="62"/>
        <v>772.09</v>
      </c>
      <c r="R311">
        <v>772.09</v>
      </c>
      <c r="S311" s="5">
        <f>IF(Table1[[#This Row],[Discount_Flag]]="Check", MIN(MAX(Table1[[#This Row],[DiscountPct]],0),0.3), Table1[[#This Row],[DiscountPct]])</f>
        <v>8.8999999999999996E-2</v>
      </c>
      <c r="T311" t="str">
        <f>IF(OR(Table1[[#This Row],[DiscountPct]]&lt;0,Table1[[#This Row],[DiscountPct]]&gt;0.3),"Check","OK")</f>
        <v>OK</v>
      </c>
      <c r="U311" s="11">
        <v>8.8999999999999996E-2</v>
      </c>
      <c r="V311" s="15">
        <f t="shared" si="63"/>
        <v>0</v>
      </c>
      <c r="W311" s="11">
        <f t="shared" si="64"/>
        <v>0.42895244107619046</v>
      </c>
      <c r="X311" s="17">
        <f t="shared" si="65"/>
        <v>5623.2400000000007</v>
      </c>
      <c r="Y311" s="17">
        <f t="shared" si="66"/>
        <v>4223.99586</v>
      </c>
      <c r="Z311" s="17">
        <f t="shared" si="67"/>
        <v>9847.2358600000007</v>
      </c>
      <c r="AA311" s="17" t="str">
        <f t="shared" si="68"/>
        <v>Q1-2023</v>
      </c>
      <c r="AB311" s="12" t="str">
        <f t="shared" si="69"/>
        <v>Jan-2023</v>
      </c>
      <c r="AC311" s="12" t="str">
        <f t="shared" si="70"/>
        <v>Medium</v>
      </c>
      <c r="AD311">
        <v>14</v>
      </c>
      <c r="AE311" s="12">
        <f>_xlfn.MINIFS(Table1[MonthDate], Table1[Country], Table1[[#This Row],[Country]])</f>
        <v>44927</v>
      </c>
      <c r="AF311" s="12">
        <f t="shared" si="71"/>
        <v>44927</v>
      </c>
      <c r="AG311">
        <f>AD311*(1 + Scenario_Control!$B$4)</f>
        <v>15.400000000000002</v>
      </c>
      <c r="AH311">
        <f>O311*(1 + Scenario_Control!$B$3)</f>
        <v>421.74300000000005</v>
      </c>
      <c r="AI311">
        <f t="shared" si="72"/>
        <v>2166.3918892000002</v>
      </c>
      <c r="AJ311">
        <f t="shared" si="73"/>
        <v>-4328.4503108000017</v>
      </c>
      <c r="AK311" s="29">
        <f>MIN(Q311*(1-U311), Scenario_Control!$B$2*Q311)</f>
        <v>154.41800000000001</v>
      </c>
      <c r="AL311" s="15">
        <f t="shared" si="74"/>
        <v>0</v>
      </c>
      <c r="AM311" s="8">
        <f>DATEDIF(Table1[[#This Row],[Country_FirstMonth]], Table1[[#This Row],[MonthDate]], "m")</f>
        <v>0</v>
      </c>
    </row>
    <row r="312" spans="1:39" x14ac:dyDescent="0.25">
      <c r="A312" t="s">
        <v>324</v>
      </c>
      <c r="B312" s="12">
        <v>45655</v>
      </c>
      <c r="C312" s="12">
        <f t="shared" si="60"/>
        <v>45669</v>
      </c>
      <c r="D312" s="2" t="str">
        <f>IF(Table1[[#This Row],[RequiredDate]]&lt;Table1[[#This Row],[OrderDate]],"Check","OK")</f>
        <v>OK</v>
      </c>
      <c r="E312" s="2">
        <v>45669</v>
      </c>
      <c r="F312" s="15">
        <f t="shared" si="61"/>
        <v>14</v>
      </c>
      <c r="G312" t="s">
        <v>649</v>
      </c>
      <c r="H312" t="s">
        <v>658</v>
      </c>
      <c r="I312" t="s">
        <v>693</v>
      </c>
      <c r="J312" t="s">
        <v>701</v>
      </c>
      <c r="K312" t="s">
        <v>711</v>
      </c>
      <c r="L312" t="s">
        <v>717</v>
      </c>
      <c r="M312" t="s">
        <v>732</v>
      </c>
      <c r="N312" t="s">
        <v>1044</v>
      </c>
      <c r="O312" s="29">
        <v>1399.72</v>
      </c>
      <c r="P312" t="str">
        <f>IF(Table1[[#This Row],[UnitPrice]]&lt;=0,"Check","OK")</f>
        <v>OK</v>
      </c>
      <c r="Q312" s="29">
        <f t="shared" si="62"/>
        <v>3149.21</v>
      </c>
      <c r="R312">
        <v>3149.21</v>
      </c>
      <c r="S312" s="5">
        <f>IF(Table1[[#This Row],[Discount_Flag]]="Check", MIN(MAX(Table1[[#This Row],[DiscountPct]],0),0.3), Table1[[#This Row],[DiscountPct]])</f>
        <v>0.185</v>
      </c>
      <c r="T312" t="str">
        <f>IF(OR(Table1[[#This Row],[DiscountPct]]&lt;0,Table1[[#This Row],[DiscountPct]]&gt;0.3),"Check","OK")</f>
        <v>OK</v>
      </c>
      <c r="U312" s="11">
        <v>0.185</v>
      </c>
      <c r="V312" s="15">
        <f t="shared" si="63"/>
        <v>0</v>
      </c>
      <c r="W312" s="11">
        <f t="shared" si="64"/>
        <v>0.45464168703873797</v>
      </c>
      <c r="X312" s="17">
        <f t="shared" si="65"/>
        <v>16796.64</v>
      </c>
      <c r="Y312" s="17">
        <f t="shared" si="66"/>
        <v>14002.633800000003</v>
      </c>
      <c r="Z312" s="17">
        <f t="shared" si="67"/>
        <v>30799.273800000003</v>
      </c>
      <c r="AA312" s="17" t="str">
        <f t="shared" si="68"/>
        <v>Q4-2024</v>
      </c>
      <c r="AB312" s="12" t="str">
        <f t="shared" si="69"/>
        <v>Dec-2024</v>
      </c>
      <c r="AC312" s="12" t="str">
        <f t="shared" si="70"/>
        <v>High</v>
      </c>
      <c r="AD312">
        <v>12</v>
      </c>
      <c r="AE312" s="12">
        <f>_xlfn.MINIFS(Table1[MonthDate], Table1[Country], Table1[[#This Row],[Country]])</f>
        <v>44927</v>
      </c>
      <c r="AF312" s="12">
        <f t="shared" si="71"/>
        <v>45627</v>
      </c>
      <c r="AG312">
        <f>AD312*(1 + Scenario_Control!$B$4)</f>
        <v>13.200000000000001</v>
      </c>
      <c r="AH312">
        <f>O312*(1 + Scenario_Control!$B$3)</f>
        <v>1469.7060000000001</v>
      </c>
      <c r="AI312">
        <f t="shared" si="72"/>
        <v>6775.8402360000009</v>
      </c>
      <c r="AJ312">
        <f t="shared" si="73"/>
        <v>-12624.278964000005</v>
      </c>
      <c r="AK312" s="29">
        <f>MIN(Q312*(1-U312), Scenario_Control!$B$2*Q312)</f>
        <v>629.8420000000001</v>
      </c>
      <c r="AL312" s="15">
        <f t="shared" si="74"/>
        <v>0</v>
      </c>
      <c r="AM312" s="8">
        <f>DATEDIF(Table1[[#This Row],[Country_FirstMonth]], Table1[[#This Row],[MonthDate]], "m")</f>
        <v>23</v>
      </c>
    </row>
    <row r="313" spans="1:39" x14ac:dyDescent="0.25">
      <c r="A313" t="s">
        <v>325</v>
      </c>
      <c r="B313" s="12">
        <v>45435</v>
      </c>
      <c r="C313" s="12">
        <f t="shared" si="60"/>
        <v>45449</v>
      </c>
      <c r="D313" s="2" t="str">
        <f>IF(Table1[[#This Row],[RequiredDate]]&lt;Table1[[#This Row],[OrderDate]],"Check","OK")</f>
        <v>OK</v>
      </c>
      <c r="E313" s="2">
        <v>45449</v>
      </c>
      <c r="F313" s="15">
        <f t="shared" si="61"/>
        <v>14</v>
      </c>
      <c r="G313" t="s">
        <v>648</v>
      </c>
      <c r="H313" t="s">
        <v>655</v>
      </c>
      <c r="I313" t="s">
        <v>692</v>
      </c>
      <c r="J313" t="s">
        <v>703</v>
      </c>
      <c r="K313" t="s">
        <v>708</v>
      </c>
      <c r="L313" t="s">
        <v>714</v>
      </c>
      <c r="M313" t="s">
        <v>729</v>
      </c>
      <c r="N313" t="s">
        <v>1045</v>
      </c>
      <c r="O313" s="29">
        <v>51.13</v>
      </c>
      <c r="P313" t="str">
        <f>IF(Table1[[#This Row],[UnitPrice]]&lt;=0,"Check","OK")</f>
        <v>OK</v>
      </c>
      <c r="Q313" s="29">
        <f t="shared" si="62"/>
        <v>57.53</v>
      </c>
      <c r="R313">
        <v>57.53</v>
      </c>
      <c r="S313" s="5">
        <f>IF(Table1[[#This Row],[Discount_Flag]]="Check", MIN(MAX(Table1[[#This Row],[DiscountPct]],0),0.3), Table1[[#This Row],[DiscountPct]])</f>
        <v>4.4999999999999998E-2</v>
      </c>
      <c r="T313" t="str">
        <f>IF(OR(Table1[[#This Row],[DiscountPct]]&lt;0,Table1[[#This Row],[DiscountPct]]&gt;0.3),"Check","OK")</f>
        <v>OK</v>
      </c>
      <c r="U313" s="11">
        <v>4.4999999999999998E-2</v>
      </c>
      <c r="V313" s="15">
        <f t="shared" si="63"/>
        <v>0</v>
      </c>
      <c r="W313" s="11">
        <f t="shared" si="64"/>
        <v>6.9367859973808302E-2</v>
      </c>
      <c r="X313" s="17">
        <f t="shared" si="65"/>
        <v>818.08</v>
      </c>
      <c r="Y313" s="17">
        <f t="shared" si="66"/>
        <v>60.978399999999965</v>
      </c>
      <c r="Z313" s="17">
        <f t="shared" si="67"/>
        <v>879.05840000000001</v>
      </c>
      <c r="AA313" s="17" t="str">
        <f t="shared" si="68"/>
        <v>Q2-2024</v>
      </c>
      <c r="AB313" s="12" t="str">
        <f t="shared" si="69"/>
        <v>May-2024</v>
      </c>
      <c r="AC313" s="12" t="str">
        <f t="shared" si="70"/>
        <v>Low</v>
      </c>
      <c r="AD313">
        <v>16</v>
      </c>
      <c r="AE313" s="12">
        <f>_xlfn.MINIFS(Table1[MonthDate], Table1[Country], Table1[[#This Row],[Country]])</f>
        <v>44927</v>
      </c>
      <c r="AF313" s="12">
        <f t="shared" si="71"/>
        <v>45413</v>
      </c>
      <c r="AG313">
        <f>AD313*(1 + Scenario_Control!$B$4)</f>
        <v>17.600000000000001</v>
      </c>
      <c r="AH313">
        <f>O313*(1 + Scenario_Control!$B$3)</f>
        <v>53.686500000000002</v>
      </c>
      <c r="AI313">
        <f t="shared" si="72"/>
        <v>193.39284800000001</v>
      </c>
      <c r="AJ313">
        <f t="shared" si="73"/>
        <v>-751.489552</v>
      </c>
      <c r="AK313" s="29">
        <f>MIN(Q313*(1-U313), Scenario_Control!$B$2*Q313)</f>
        <v>11.506</v>
      </c>
      <c r="AL313" s="15">
        <f t="shared" si="74"/>
        <v>0</v>
      </c>
      <c r="AM313" s="8">
        <f>DATEDIF(Table1[[#This Row],[Country_FirstMonth]], Table1[[#This Row],[MonthDate]], "m")</f>
        <v>16</v>
      </c>
    </row>
    <row r="314" spans="1:39" x14ac:dyDescent="0.25">
      <c r="A314" t="s">
        <v>326</v>
      </c>
      <c r="B314" s="12">
        <v>45101</v>
      </c>
      <c r="C314" s="12">
        <f t="shared" si="60"/>
        <v>45108</v>
      </c>
      <c r="D314" s="2" t="str">
        <f>IF(Table1[[#This Row],[RequiredDate]]&lt;Table1[[#This Row],[OrderDate]],"Check","OK")</f>
        <v>Check</v>
      </c>
      <c r="E314" s="2">
        <v>45099</v>
      </c>
      <c r="F314" s="15">
        <f t="shared" si="61"/>
        <v>7</v>
      </c>
      <c r="G314" t="s">
        <v>648</v>
      </c>
      <c r="H314" t="s">
        <v>653</v>
      </c>
      <c r="I314" t="s">
        <v>667</v>
      </c>
      <c r="J314" t="s">
        <v>703</v>
      </c>
      <c r="K314" t="s">
        <v>707</v>
      </c>
      <c r="L314" t="s">
        <v>724</v>
      </c>
      <c r="M314" t="s">
        <v>733</v>
      </c>
      <c r="N314" t="s">
        <v>1046</v>
      </c>
      <c r="O314" s="29">
        <v>471.42</v>
      </c>
      <c r="P314" t="str">
        <f>IF(Table1[[#This Row],[UnitPrice]]&lt;=0,"Check","OK")</f>
        <v>OK</v>
      </c>
      <c r="Q314" s="29">
        <f t="shared" si="62"/>
        <v>824.81</v>
      </c>
      <c r="R314">
        <v>824.81</v>
      </c>
      <c r="S314" s="5">
        <f>IF(Table1[[#This Row],[Discount_Flag]]="Check", MIN(MAX(Table1[[#This Row],[DiscountPct]],0),0.3), Table1[[#This Row],[DiscountPct]])</f>
        <v>8.7999999999999995E-2</v>
      </c>
      <c r="T314" t="str">
        <f>IF(OR(Table1[[#This Row],[DiscountPct]]&lt;0,Table1[[#This Row],[DiscountPct]]&gt;0.3),"Check","OK")</f>
        <v>OK</v>
      </c>
      <c r="U314" s="11">
        <v>8.7999999999999995E-2</v>
      </c>
      <c r="V314" s="15">
        <f t="shared" si="63"/>
        <v>0</v>
      </c>
      <c r="W314" s="11">
        <f t="shared" si="64"/>
        <v>0.37330064531608231</v>
      </c>
      <c r="X314" s="17">
        <f t="shared" si="65"/>
        <v>7071.3</v>
      </c>
      <c r="Y314" s="17">
        <f t="shared" si="66"/>
        <v>4212.1007999999993</v>
      </c>
      <c r="Z314" s="17">
        <f t="shared" si="67"/>
        <v>11283.400799999999</v>
      </c>
      <c r="AA314" s="17" t="str">
        <f t="shared" si="68"/>
        <v>Q2-2023</v>
      </c>
      <c r="AB314" s="12" t="str">
        <f t="shared" si="69"/>
        <v>Jun-2023</v>
      </c>
      <c r="AC314" s="12" t="str">
        <f t="shared" si="70"/>
        <v>Medium</v>
      </c>
      <c r="AD314">
        <v>15</v>
      </c>
      <c r="AE314" s="12">
        <f>_xlfn.MINIFS(Table1[MonthDate], Table1[Country], Table1[[#This Row],[Country]])</f>
        <v>44927</v>
      </c>
      <c r="AF314" s="12">
        <f t="shared" si="71"/>
        <v>45078</v>
      </c>
      <c r="AG314">
        <f>AD314*(1 + Scenario_Control!$B$4)</f>
        <v>16.5</v>
      </c>
      <c r="AH314">
        <f>O314*(1 + Scenario_Control!$B$3)</f>
        <v>494.99100000000004</v>
      </c>
      <c r="AI314">
        <f t="shared" si="72"/>
        <v>2482.3481759999995</v>
      </c>
      <c r="AJ314">
        <f t="shared" si="73"/>
        <v>-5685.0033240000012</v>
      </c>
      <c r="AK314" s="29">
        <f>MIN(Q314*(1-U314), Scenario_Control!$B$2*Q314)</f>
        <v>164.96199999999999</v>
      </c>
      <c r="AL314" s="15">
        <f t="shared" si="74"/>
        <v>1</v>
      </c>
      <c r="AM314" s="8">
        <f>DATEDIF(Table1[[#This Row],[Country_FirstMonth]], Table1[[#This Row],[MonthDate]], "m")</f>
        <v>5</v>
      </c>
    </row>
    <row r="315" spans="1:39" x14ac:dyDescent="0.25">
      <c r="A315" t="s">
        <v>327</v>
      </c>
      <c r="B315" s="12">
        <v>45600</v>
      </c>
      <c r="C315" s="12">
        <f t="shared" si="60"/>
        <v>45601</v>
      </c>
      <c r="D315" s="2" t="str">
        <f>IF(Table1[[#This Row],[RequiredDate]]&lt;Table1[[#This Row],[OrderDate]],"Check","OK")</f>
        <v>OK</v>
      </c>
      <c r="E315" s="2">
        <v>45601</v>
      </c>
      <c r="F315" s="15">
        <f t="shared" si="61"/>
        <v>1</v>
      </c>
      <c r="G315" t="s">
        <v>649</v>
      </c>
      <c r="H315" t="s">
        <v>658</v>
      </c>
      <c r="I315" t="s">
        <v>683</v>
      </c>
      <c r="J315" t="s">
        <v>701</v>
      </c>
      <c r="K315" t="s">
        <v>707</v>
      </c>
      <c r="L315" t="s">
        <v>724</v>
      </c>
      <c r="M315" t="s">
        <v>728</v>
      </c>
      <c r="N315" t="s">
        <v>1047</v>
      </c>
      <c r="O315" s="29">
        <v>840.68</v>
      </c>
      <c r="P315" t="str">
        <f>IF(Table1[[#This Row],[UnitPrice]]&lt;=0,"Check","OK")</f>
        <v>OK</v>
      </c>
      <c r="Q315" s="29">
        <f t="shared" si="62"/>
        <v>1493.53</v>
      </c>
      <c r="R315">
        <v>1493.53</v>
      </c>
      <c r="S315" s="5">
        <f>IF(Table1[[#This Row],[Discount_Flag]]="Check", MIN(MAX(Table1[[#This Row],[DiscountPct]],0),0.3), Table1[[#This Row],[DiscountPct]])</f>
        <v>0</v>
      </c>
      <c r="T315" t="str">
        <f>IF(OR(Table1[[#This Row],[DiscountPct]]&lt;0,Table1[[#This Row],[DiscountPct]]&gt;0.3),"Check","OK")</f>
        <v>OK</v>
      </c>
      <c r="U315" s="11">
        <v>0</v>
      </c>
      <c r="V315" s="15">
        <f t="shared" si="63"/>
        <v>0</v>
      </c>
      <c r="W315" s="11">
        <f t="shared" si="64"/>
        <v>0.43711877230454027</v>
      </c>
      <c r="X315" s="17">
        <f t="shared" si="65"/>
        <v>22698.359999999997</v>
      </c>
      <c r="Y315" s="17">
        <f t="shared" si="66"/>
        <v>17626.95</v>
      </c>
      <c r="Z315" s="17">
        <f t="shared" si="67"/>
        <v>40325.31</v>
      </c>
      <c r="AA315" s="17" t="str">
        <f t="shared" si="68"/>
        <v>Q4-2024</v>
      </c>
      <c r="AB315" s="12" t="str">
        <f t="shared" si="69"/>
        <v>Nov-2024</v>
      </c>
      <c r="AC315" s="12" t="str">
        <f t="shared" si="70"/>
        <v>Medium</v>
      </c>
      <c r="AD315">
        <v>27</v>
      </c>
      <c r="AE315" s="12">
        <f>_xlfn.MINIFS(Table1[MonthDate], Table1[Country], Table1[[#This Row],[Country]])</f>
        <v>44927</v>
      </c>
      <c r="AF315" s="12">
        <f t="shared" si="71"/>
        <v>45597</v>
      </c>
      <c r="AG315">
        <f>AD315*(1 + Scenario_Control!$B$4)</f>
        <v>29.700000000000003</v>
      </c>
      <c r="AH315">
        <f>O315*(1 + Scenario_Control!$B$3)</f>
        <v>882.71399999999994</v>
      </c>
      <c r="AI315">
        <f t="shared" si="72"/>
        <v>8871.5682000000015</v>
      </c>
      <c r="AJ315">
        <f t="shared" si="73"/>
        <v>-17345.0376</v>
      </c>
      <c r="AK315" s="29">
        <f>MIN(Q315*(1-U315), Scenario_Control!$B$2*Q315)</f>
        <v>298.70600000000002</v>
      </c>
      <c r="AL315" s="15">
        <f t="shared" si="74"/>
        <v>1</v>
      </c>
      <c r="AM315" s="8">
        <f>DATEDIF(Table1[[#This Row],[Country_FirstMonth]], Table1[[#This Row],[MonthDate]], "m")</f>
        <v>22</v>
      </c>
    </row>
    <row r="316" spans="1:39" x14ac:dyDescent="0.25">
      <c r="A316" t="s">
        <v>328</v>
      </c>
      <c r="B316" s="12">
        <v>45451</v>
      </c>
      <c r="C316" s="12">
        <f t="shared" si="60"/>
        <v>45467</v>
      </c>
      <c r="D316" s="2" t="str">
        <f>IF(Table1[[#This Row],[RequiredDate]]&lt;Table1[[#This Row],[OrderDate]],"Check","OK")</f>
        <v>OK</v>
      </c>
      <c r="E316" s="2">
        <v>45467</v>
      </c>
      <c r="F316" s="15">
        <f t="shared" si="61"/>
        <v>16</v>
      </c>
      <c r="G316" t="s">
        <v>646</v>
      </c>
      <c r="H316" t="s">
        <v>661</v>
      </c>
      <c r="I316" t="s">
        <v>687</v>
      </c>
      <c r="J316" t="s">
        <v>702</v>
      </c>
      <c r="K316" t="s">
        <v>710</v>
      </c>
      <c r="L316" t="s">
        <v>722</v>
      </c>
      <c r="M316" t="s">
        <v>732</v>
      </c>
      <c r="N316" t="s">
        <v>1048</v>
      </c>
      <c r="O316" s="29">
        <v>597.85</v>
      </c>
      <c r="P316" t="str">
        <f>IF(Table1[[#This Row],[UnitPrice]]&lt;=0,"Check","OK")</f>
        <v>OK</v>
      </c>
      <c r="Q316" s="29">
        <f t="shared" si="62"/>
        <v>741.92</v>
      </c>
      <c r="R316">
        <v>741.92</v>
      </c>
      <c r="S316" s="5">
        <f>IF(Table1[[#This Row],[Discount_Flag]]="Check", MIN(MAX(Table1[[#This Row],[DiscountPct]],0),0.3), Table1[[#This Row],[DiscountPct]])</f>
        <v>3.1E-2</v>
      </c>
      <c r="T316" t="str">
        <f>IF(OR(Table1[[#This Row],[DiscountPct]]&lt;0,Table1[[#This Row],[DiscountPct]]&gt;0.3),"Check","OK")</f>
        <v>OK</v>
      </c>
      <c r="U316" s="11">
        <v>3.1E-2</v>
      </c>
      <c r="V316" s="15">
        <f t="shared" si="63"/>
        <v>0</v>
      </c>
      <c r="W316" s="11">
        <f t="shared" si="64"/>
        <v>0.16840594108544515</v>
      </c>
      <c r="X316" s="17">
        <f t="shared" si="65"/>
        <v>4184.95</v>
      </c>
      <c r="Y316" s="17">
        <f t="shared" si="66"/>
        <v>847.49335999999948</v>
      </c>
      <c r="Z316" s="17">
        <f t="shared" si="67"/>
        <v>5032.4433599999993</v>
      </c>
      <c r="AA316" s="17" t="str">
        <f t="shared" si="68"/>
        <v>Q2-2024</v>
      </c>
      <c r="AB316" s="12" t="str">
        <f t="shared" si="69"/>
        <v>Jun-2024</v>
      </c>
      <c r="AC316" s="12" t="str">
        <f t="shared" si="70"/>
        <v>Medium</v>
      </c>
      <c r="AD316">
        <v>7</v>
      </c>
      <c r="AE316" s="12">
        <f>_xlfn.MINIFS(Table1[MonthDate], Table1[Country], Table1[[#This Row],[Country]])</f>
        <v>44927</v>
      </c>
      <c r="AF316" s="12">
        <f t="shared" si="71"/>
        <v>45444</v>
      </c>
      <c r="AG316">
        <f>AD316*(1 + Scenario_Control!$B$4)</f>
        <v>7.7000000000000011</v>
      </c>
      <c r="AH316">
        <f>O316*(1 + Scenario_Control!$B$3)</f>
        <v>627.74250000000006</v>
      </c>
      <c r="AI316">
        <f t="shared" si="72"/>
        <v>1107.1375392</v>
      </c>
      <c r="AJ316">
        <f t="shared" si="73"/>
        <v>-3726.4797108000012</v>
      </c>
      <c r="AK316" s="29">
        <f>MIN(Q316*(1-U316), Scenario_Control!$B$2*Q316)</f>
        <v>148.38399999999999</v>
      </c>
      <c r="AL316" s="15">
        <f t="shared" si="74"/>
        <v>0</v>
      </c>
      <c r="AM316" s="8">
        <f>DATEDIF(Table1[[#This Row],[Country_FirstMonth]], Table1[[#This Row],[MonthDate]], "m")</f>
        <v>17</v>
      </c>
    </row>
    <row r="317" spans="1:39" x14ac:dyDescent="0.25">
      <c r="A317" t="s">
        <v>329</v>
      </c>
      <c r="B317" s="12">
        <v>45809</v>
      </c>
      <c r="C317" s="12">
        <f t="shared" si="60"/>
        <v>45814</v>
      </c>
      <c r="D317" s="2" t="str">
        <f>IF(Table1[[#This Row],[RequiredDate]]&lt;Table1[[#This Row],[OrderDate]],"Check","OK")</f>
        <v>OK</v>
      </c>
      <c r="E317" s="2">
        <v>45814</v>
      </c>
      <c r="F317" s="15">
        <f t="shared" si="61"/>
        <v>5</v>
      </c>
      <c r="G317" t="s">
        <v>649</v>
      </c>
      <c r="H317" t="s">
        <v>657</v>
      </c>
      <c r="I317" t="s">
        <v>690</v>
      </c>
      <c r="J317" t="s">
        <v>704</v>
      </c>
      <c r="K317" t="s">
        <v>710</v>
      </c>
      <c r="L317" t="s">
        <v>715</v>
      </c>
      <c r="M317" t="s">
        <v>727</v>
      </c>
      <c r="N317" t="s">
        <v>1049</v>
      </c>
      <c r="O317" s="29">
        <v>379.45</v>
      </c>
      <c r="P317" t="str">
        <f>IF(Table1[[#This Row],[UnitPrice]]&lt;=0,"Check","OK")</f>
        <v>OK</v>
      </c>
      <c r="Q317" s="29">
        <f t="shared" si="62"/>
        <v>742.23</v>
      </c>
      <c r="R317">
        <v>742.23</v>
      </c>
      <c r="S317" s="5">
        <f>IF(Table1[[#This Row],[Discount_Flag]]="Check", MIN(MAX(Table1[[#This Row],[DiscountPct]],0),0.3), Table1[[#This Row],[DiscountPct]])</f>
        <v>0.09</v>
      </c>
      <c r="T317" t="str">
        <f>IF(OR(Table1[[#This Row],[DiscountPct]]&lt;0,Table1[[#This Row],[DiscountPct]]&gt;0.3),"Check","OK")</f>
        <v>OK</v>
      </c>
      <c r="U317" s="11">
        <v>0.09</v>
      </c>
      <c r="V317" s="15">
        <f t="shared" si="63"/>
        <v>0</v>
      </c>
      <c r="W317" s="11">
        <f t="shared" si="64"/>
        <v>0.43820915083192286</v>
      </c>
      <c r="X317" s="17">
        <f t="shared" si="65"/>
        <v>4932.8499999999995</v>
      </c>
      <c r="Y317" s="17">
        <f t="shared" si="66"/>
        <v>3847.7309000000014</v>
      </c>
      <c r="Z317" s="17">
        <f t="shared" si="67"/>
        <v>8780.5809000000008</v>
      </c>
      <c r="AA317" s="17" t="str">
        <f t="shared" si="68"/>
        <v>Q2-2025</v>
      </c>
      <c r="AB317" s="12" t="str">
        <f t="shared" si="69"/>
        <v>Jun-2025</v>
      </c>
      <c r="AC317" s="12" t="str">
        <f t="shared" si="70"/>
        <v>Medium</v>
      </c>
      <c r="AD317">
        <v>13</v>
      </c>
      <c r="AE317" s="12">
        <f>_xlfn.MINIFS(Table1[MonthDate], Table1[Country], Table1[[#This Row],[Country]])</f>
        <v>44927</v>
      </c>
      <c r="AF317" s="12">
        <f t="shared" si="71"/>
        <v>45809</v>
      </c>
      <c r="AG317">
        <f>AD317*(1 + Scenario_Control!$B$4)</f>
        <v>14.3</v>
      </c>
      <c r="AH317">
        <f>O317*(1 + Scenario_Control!$B$3)</f>
        <v>398.42250000000001</v>
      </c>
      <c r="AI317">
        <f t="shared" si="72"/>
        <v>1931.7277980000003</v>
      </c>
      <c r="AJ317">
        <f t="shared" si="73"/>
        <v>-3765.7139520000005</v>
      </c>
      <c r="AK317" s="29">
        <f>MIN(Q317*(1-U317), Scenario_Control!$B$2*Q317)</f>
        <v>148.446</v>
      </c>
      <c r="AL317" s="15">
        <f t="shared" si="74"/>
        <v>1</v>
      </c>
      <c r="AM317" s="8">
        <f>DATEDIF(Table1[[#This Row],[Country_FirstMonth]], Table1[[#This Row],[MonthDate]], "m")</f>
        <v>29</v>
      </c>
    </row>
    <row r="318" spans="1:39" x14ac:dyDescent="0.25">
      <c r="A318" t="s">
        <v>330</v>
      </c>
      <c r="B318" s="12">
        <v>45052</v>
      </c>
      <c r="C318" s="12">
        <f t="shared" si="60"/>
        <v>45060</v>
      </c>
      <c r="D318" s="2" t="str">
        <f>IF(Table1[[#This Row],[RequiredDate]]&lt;Table1[[#This Row],[OrderDate]],"Check","OK")</f>
        <v>OK</v>
      </c>
      <c r="E318" s="2">
        <v>45060</v>
      </c>
      <c r="F318" s="15">
        <f t="shared" si="61"/>
        <v>8</v>
      </c>
      <c r="G318" t="s">
        <v>647</v>
      </c>
      <c r="H318" t="s">
        <v>652</v>
      </c>
      <c r="I318" t="s">
        <v>666</v>
      </c>
      <c r="J318" t="s">
        <v>706</v>
      </c>
      <c r="K318" t="s">
        <v>709</v>
      </c>
      <c r="L318" t="s">
        <v>717</v>
      </c>
      <c r="M318" t="s">
        <v>730</v>
      </c>
      <c r="N318" t="s">
        <v>1050</v>
      </c>
      <c r="O318" s="29">
        <v>291.18</v>
      </c>
      <c r="P318" t="str">
        <f>IF(Table1[[#This Row],[UnitPrice]]&lt;=0,"Check","OK")</f>
        <v>OK</v>
      </c>
      <c r="Q318" s="29">
        <f t="shared" si="62"/>
        <v>479.54</v>
      </c>
      <c r="R318">
        <v>479.54</v>
      </c>
      <c r="S318" s="5">
        <f>IF(Table1[[#This Row],[Discount_Flag]]="Check", MIN(MAX(Table1[[#This Row],[DiscountPct]],0),0.3), Table1[[#This Row],[DiscountPct]])</f>
        <v>0.14099999999999999</v>
      </c>
      <c r="T318" t="str">
        <f>IF(OR(Table1[[#This Row],[DiscountPct]]&lt;0,Table1[[#This Row],[DiscountPct]]&gt;0.3),"Check","OK")</f>
        <v>OK</v>
      </c>
      <c r="U318" s="11">
        <v>0.14099999999999999</v>
      </c>
      <c r="V318" s="15">
        <f t="shared" si="63"/>
        <v>0</v>
      </c>
      <c r="W318" s="11">
        <f t="shared" si="64"/>
        <v>0.29312350801066001</v>
      </c>
      <c r="X318" s="17">
        <f t="shared" si="65"/>
        <v>6405.96</v>
      </c>
      <c r="Y318" s="17">
        <f t="shared" si="66"/>
        <v>2656.3869199999999</v>
      </c>
      <c r="Z318" s="17">
        <f t="shared" si="67"/>
        <v>9062.34692</v>
      </c>
      <c r="AA318" s="17" t="str">
        <f t="shared" si="68"/>
        <v>Q2-2023</v>
      </c>
      <c r="AB318" s="12" t="str">
        <f t="shared" si="69"/>
        <v>May-2023</v>
      </c>
      <c r="AC318" s="12" t="str">
        <f t="shared" si="70"/>
        <v>Low</v>
      </c>
      <c r="AD318">
        <v>22</v>
      </c>
      <c r="AE318" s="12">
        <f>_xlfn.MINIFS(Table1[MonthDate], Table1[Country], Table1[[#This Row],[Country]])</f>
        <v>44986</v>
      </c>
      <c r="AF318" s="12">
        <f t="shared" si="71"/>
        <v>45047</v>
      </c>
      <c r="AG318">
        <f>AD318*(1 + Scenario_Control!$B$4)</f>
        <v>24.200000000000003</v>
      </c>
      <c r="AH318">
        <f>O318*(1 + Scenario_Control!$B$3)</f>
        <v>305.73900000000003</v>
      </c>
      <c r="AI318">
        <f t="shared" si="72"/>
        <v>1993.7163224000005</v>
      </c>
      <c r="AJ318">
        <f t="shared" si="73"/>
        <v>-5405.1674776000009</v>
      </c>
      <c r="AK318" s="29">
        <f>MIN(Q318*(1-U318), Scenario_Control!$B$2*Q318)</f>
        <v>95.908000000000015</v>
      </c>
      <c r="AL318" s="15">
        <f t="shared" si="74"/>
        <v>0</v>
      </c>
      <c r="AM318" s="8">
        <f>DATEDIF(Table1[[#This Row],[Country_FirstMonth]], Table1[[#This Row],[MonthDate]], "m")</f>
        <v>2</v>
      </c>
    </row>
    <row r="319" spans="1:39" x14ac:dyDescent="0.25">
      <c r="A319" t="s">
        <v>331</v>
      </c>
      <c r="B319" s="12">
        <v>45244</v>
      </c>
      <c r="C319" s="12">
        <f t="shared" si="60"/>
        <v>45260</v>
      </c>
      <c r="D319" s="2" t="str">
        <f>IF(Table1[[#This Row],[RequiredDate]]&lt;Table1[[#This Row],[OrderDate]],"Check","OK")</f>
        <v>OK</v>
      </c>
      <c r="E319" s="2">
        <v>45260</v>
      </c>
      <c r="F319" s="15">
        <f t="shared" si="61"/>
        <v>16</v>
      </c>
      <c r="G319" t="s">
        <v>648</v>
      </c>
      <c r="H319" t="s">
        <v>655</v>
      </c>
      <c r="I319" t="s">
        <v>670</v>
      </c>
      <c r="J319" t="s">
        <v>706</v>
      </c>
      <c r="K319" t="s">
        <v>711</v>
      </c>
      <c r="L319" t="s">
        <v>723</v>
      </c>
      <c r="M319" t="s">
        <v>729</v>
      </c>
      <c r="N319" t="s">
        <v>1051</v>
      </c>
      <c r="O319" s="29">
        <v>1017.92</v>
      </c>
      <c r="P319" t="str">
        <f>IF(Table1[[#This Row],[UnitPrice]]&lt;=0,"Check","OK")</f>
        <v>OK</v>
      </c>
      <c r="Q319" s="29">
        <f t="shared" si="62"/>
        <v>1175.25</v>
      </c>
      <c r="R319">
        <v>1175.25</v>
      </c>
      <c r="S319" s="5">
        <f>IF(Table1[[#This Row],[Discount_Flag]]="Check", MIN(MAX(Table1[[#This Row],[DiscountPct]],0),0.3), Table1[[#This Row],[DiscountPct]])</f>
        <v>7.4999999999999997E-2</v>
      </c>
      <c r="T319" t="str">
        <f>IF(OR(Table1[[#This Row],[DiscountPct]]&lt;0,Table1[[#This Row],[DiscountPct]]&gt;0.3),"Check","OK")</f>
        <v>OK</v>
      </c>
      <c r="U319" s="11">
        <v>7.4999999999999997E-2</v>
      </c>
      <c r="V319" s="15">
        <f t="shared" si="63"/>
        <v>0</v>
      </c>
      <c r="W319" s="11">
        <f t="shared" si="64"/>
        <v>6.3642583234159542E-2</v>
      </c>
      <c r="X319" s="17">
        <f t="shared" si="65"/>
        <v>15268.8</v>
      </c>
      <c r="Y319" s="17">
        <f t="shared" si="66"/>
        <v>1037.7937500000007</v>
      </c>
      <c r="Z319" s="17">
        <f t="shared" si="67"/>
        <v>16306.59375</v>
      </c>
      <c r="AA319" s="17" t="str">
        <f t="shared" si="68"/>
        <v>Q4-2023</v>
      </c>
      <c r="AB319" s="12" t="str">
        <f t="shared" si="69"/>
        <v>Nov-2023</v>
      </c>
      <c r="AC319" s="12" t="str">
        <f t="shared" si="70"/>
        <v>Medium</v>
      </c>
      <c r="AD319">
        <v>15</v>
      </c>
      <c r="AE319" s="12">
        <f>_xlfn.MINIFS(Table1[MonthDate], Table1[Country], Table1[[#This Row],[Country]])</f>
        <v>44927</v>
      </c>
      <c r="AF319" s="12">
        <f t="shared" si="71"/>
        <v>45231</v>
      </c>
      <c r="AG319">
        <f>AD319*(1 + Scenario_Control!$B$4)</f>
        <v>16.5</v>
      </c>
      <c r="AH319">
        <f>O319*(1 + Scenario_Control!$B$3)</f>
        <v>1068.816</v>
      </c>
      <c r="AI319">
        <f t="shared" si="72"/>
        <v>3587.4506250000004</v>
      </c>
      <c r="AJ319">
        <f t="shared" si="73"/>
        <v>-14048.013374999999</v>
      </c>
      <c r="AK319" s="29">
        <f>MIN(Q319*(1-U319), Scenario_Control!$B$2*Q319)</f>
        <v>235.05</v>
      </c>
      <c r="AL319" s="15">
        <f t="shared" si="74"/>
        <v>0</v>
      </c>
      <c r="AM319" s="8">
        <f>DATEDIF(Table1[[#This Row],[Country_FirstMonth]], Table1[[#This Row],[MonthDate]], "m")</f>
        <v>10</v>
      </c>
    </row>
    <row r="320" spans="1:39" x14ac:dyDescent="0.25">
      <c r="A320" t="s">
        <v>332</v>
      </c>
      <c r="B320" s="12">
        <v>45748</v>
      </c>
      <c r="C320" s="12">
        <f t="shared" si="60"/>
        <v>45774</v>
      </c>
      <c r="D320" s="2" t="str">
        <f>IF(Table1[[#This Row],[RequiredDate]]&lt;Table1[[#This Row],[OrderDate]],"Check","OK")</f>
        <v>OK</v>
      </c>
      <c r="E320" s="2">
        <v>45774</v>
      </c>
      <c r="F320" s="15">
        <f t="shared" si="61"/>
        <v>26</v>
      </c>
      <c r="G320" t="s">
        <v>648</v>
      </c>
      <c r="H320" t="s">
        <v>660</v>
      </c>
      <c r="I320" t="s">
        <v>686</v>
      </c>
      <c r="J320" t="s">
        <v>701</v>
      </c>
      <c r="K320" t="s">
        <v>711</v>
      </c>
      <c r="L320" t="s">
        <v>714</v>
      </c>
      <c r="M320" t="s">
        <v>732</v>
      </c>
      <c r="N320" t="s">
        <v>1052</v>
      </c>
      <c r="O320" s="29">
        <v>156.55000000000001</v>
      </c>
      <c r="P320" t="str">
        <f>IF(Table1[[#This Row],[UnitPrice]]&lt;=0,"Check","OK")</f>
        <v>OK</v>
      </c>
      <c r="Q320" s="29">
        <f t="shared" si="62"/>
        <v>227.45</v>
      </c>
      <c r="R320">
        <v>227.45</v>
      </c>
      <c r="S320" s="5">
        <f>IF(Table1[[#This Row],[Discount_Flag]]="Check", MIN(MAX(Table1[[#This Row],[DiscountPct]],0),0.3), Table1[[#This Row],[DiscountPct]])</f>
        <v>1.4E-2</v>
      </c>
      <c r="T320" t="str">
        <f>IF(OR(Table1[[#This Row],[DiscountPct]]&lt;0,Table1[[#This Row],[DiscountPct]]&gt;0.3),"Check","OK")</f>
        <v>OK</v>
      </c>
      <c r="U320" s="11">
        <v>1.4E-2</v>
      </c>
      <c r="V320" s="15">
        <f t="shared" si="63"/>
        <v>0</v>
      </c>
      <c r="W320" s="11">
        <f t="shared" si="64"/>
        <v>0.3019440779396938</v>
      </c>
      <c r="X320" s="17">
        <f t="shared" si="65"/>
        <v>2035.15</v>
      </c>
      <c r="Y320" s="17">
        <f t="shared" si="66"/>
        <v>880.30409999999983</v>
      </c>
      <c r="Z320" s="17">
        <f t="shared" si="67"/>
        <v>2915.4540999999999</v>
      </c>
      <c r="AA320" s="17" t="str">
        <f t="shared" si="68"/>
        <v>Q2-2025</v>
      </c>
      <c r="AB320" s="12" t="str">
        <f t="shared" si="69"/>
        <v>Apr-2025</v>
      </c>
      <c r="AC320" s="12" t="str">
        <f t="shared" si="70"/>
        <v>Low</v>
      </c>
      <c r="AD320">
        <v>13</v>
      </c>
      <c r="AE320" s="12">
        <f>_xlfn.MINIFS(Table1[MonthDate], Table1[Country], Table1[[#This Row],[Country]])</f>
        <v>44927</v>
      </c>
      <c r="AF320" s="12">
        <f t="shared" si="71"/>
        <v>45748</v>
      </c>
      <c r="AG320">
        <f>AD320*(1 + Scenario_Control!$B$4)</f>
        <v>14.3</v>
      </c>
      <c r="AH320">
        <f>O320*(1 + Scenario_Control!$B$3)</f>
        <v>164.37750000000003</v>
      </c>
      <c r="AI320">
        <f t="shared" si="72"/>
        <v>641.399902</v>
      </c>
      <c r="AJ320">
        <f t="shared" si="73"/>
        <v>-1709.1983480000004</v>
      </c>
      <c r="AK320" s="29">
        <f>MIN(Q320*(1-U320), Scenario_Control!$B$2*Q320)</f>
        <v>45.49</v>
      </c>
      <c r="AL320" s="15">
        <f t="shared" si="74"/>
        <v>0</v>
      </c>
      <c r="AM320" s="8">
        <f>DATEDIF(Table1[[#This Row],[Country_FirstMonth]], Table1[[#This Row],[MonthDate]], "m")</f>
        <v>27</v>
      </c>
    </row>
    <row r="321" spans="1:39" x14ac:dyDescent="0.25">
      <c r="A321" t="s">
        <v>333</v>
      </c>
      <c r="B321" s="12">
        <v>45008</v>
      </c>
      <c r="C321" s="12">
        <f t="shared" si="60"/>
        <v>45031</v>
      </c>
      <c r="D321" s="2" t="str">
        <f>IF(Table1[[#This Row],[RequiredDate]]&lt;Table1[[#This Row],[OrderDate]],"Check","OK")</f>
        <v>OK</v>
      </c>
      <c r="E321" s="2">
        <v>45031</v>
      </c>
      <c r="F321" s="15">
        <f t="shared" si="61"/>
        <v>23</v>
      </c>
      <c r="G321" t="s">
        <v>646</v>
      </c>
      <c r="H321" t="s">
        <v>650</v>
      </c>
      <c r="I321" t="s">
        <v>675</v>
      </c>
      <c r="J321" t="s">
        <v>705</v>
      </c>
      <c r="K321" t="s">
        <v>707</v>
      </c>
      <c r="L321" t="s">
        <v>712</v>
      </c>
      <c r="M321" t="s">
        <v>733</v>
      </c>
      <c r="N321" t="s">
        <v>1053</v>
      </c>
      <c r="O321" s="29">
        <v>875.36</v>
      </c>
      <c r="P321" t="str">
        <f>IF(Table1[[#This Row],[UnitPrice]]&lt;=0,"Check","OK")</f>
        <v>OK</v>
      </c>
      <c r="Q321" s="29">
        <f t="shared" si="62"/>
        <v>1178.6199999999999</v>
      </c>
      <c r="R321">
        <v>1178.6199999999999</v>
      </c>
      <c r="S321" s="5">
        <f>IF(Table1[[#This Row],[Discount_Flag]]="Check", MIN(MAX(Table1[[#This Row],[DiscountPct]],0),0.3), Table1[[#This Row],[DiscountPct]])</f>
        <v>0.151</v>
      </c>
      <c r="T321" t="str">
        <f>IF(OR(Table1[[#This Row],[DiscountPct]]&lt;0,Table1[[#This Row],[DiscountPct]]&gt;0.3),"Check","OK")</f>
        <v>OK</v>
      </c>
      <c r="U321" s="11">
        <v>0.151</v>
      </c>
      <c r="V321" s="15">
        <f t="shared" si="63"/>
        <v>0</v>
      </c>
      <c r="W321" s="11">
        <f t="shared" si="64"/>
        <v>0.12520719815685888</v>
      </c>
      <c r="X321" s="17">
        <f t="shared" si="65"/>
        <v>46394.080000000002</v>
      </c>
      <c r="Y321" s="17">
        <f t="shared" si="66"/>
        <v>6640.2841399999888</v>
      </c>
      <c r="Z321" s="17">
        <f t="shared" si="67"/>
        <v>53034.364139999991</v>
      </c>
      <c r="AA321" s="17" t="str">
        <f t="shared" si="68"/>
        <v>Q1-2023</v>
      </c>
      <c r="AB321" s="12" t="str">
        <f t="shared" si="69"/>
        <v>Mar-2023</v>
      </c>
      <c r="AC321" s="12" t="str">
        <f t="shared" si="70"/>
        <v>Medium</v>
      </c>
      <c r="AD321">
        <v>53</v>
      </c>
      <c r="AE321" s="12">
        <f>_xlfn.MINIFS(Table1[MonthDate], Table1[Country], Table1[[#This Row],[Country]])</f>
        <v>44927</v>
      </c>
      <c r="AF321" s="12">
        <f t="shared" si="71"/>
        <v>44986</v>
      </c>
      <c r="AG321">
        <f>AD321*(1 + Scenario_Control!$B$4)</f>
        <v>58.300000000000004</v>
      </c>
      <c r="AH321">
        <f>O321*(1 + Scenario_Control!$B$3)</f>
        <v>919.12800000000004</v>
      </c>
      <c r="AI321">
        <f t="shared" si="72"/>
        <v>11667.560110800001</v>
      </c>
      <c r="AJ321">
        <f t="shared" si="73"/>
        <v>-41917.602289200004</v>
      </c>
      <c r="AK321" s="29">
        <f>MIN(Q321*(1-U321), Scenario_Control!$B$2*Q321)</f>
        <v>235.72399999999999</v>
      </c>
      <c r="AL321" s="15">
        <f t="shared" si="74"/>
        <v>0</v>
      </c>
      <c r="AM321" s="8">
        <f>DATEDIF(Table1[[#This Row],[Country_FirstMonth]], Table1[[#This Row],[MonthDate]], "m")</f>
        <v>2</v>
      </c>
    </row>
    <row r="322" spans="1:39" x14ac:dyDescent="0.25">
      <c r="A322" t="s">
        <v>334</v>
      </c>
      <c r="B322" s="12">
        <v>45440</v>
      </c>
      <c r="C322" s="12">
        <f t="shared" ref="C322:C385" si="75">IF(D322="Check",B322+7,E322)</f>
        <v>45461</v>
      </c>
      <c r="D322" s="2" t="str">
        <f>IF(Table1[[#This Row],[RequiredDate]]&lt;Table1[[#This Row],[OrderDate]],"Check","OK")</f>
        <v>OK</v>
      </c>
      <c r="E322" s="2">
        <v>45461</v>
      </c>
      <c r="F322" s="15">
        <f t="shared" ref="F322:F385" si="76">C322-B322</f>
        <v>21</v>
      </c>
      <c r="G322" t="s">
        <v>649</v>
      </c>
      <c r="H322" t="s">
        <v>656</v>
      </c>
      <c r="I322" t="s">
        <v>698</v>
      </c>
      <c r="J322" t="s">
        <v>705</v>
      </c>
      <c r="K322" t="s">
        <v>708</v>
      </c>
      <c r="L322" t="s">
        <v>718</v>
      </c>
      <c r="M322" t="s">
        <v>730</v>
      </c>
      <c r="N322" t="s">
        <v>1054</v>
      </c>
      <c r="O322" s="29">
        <v>986.85</v>
      </c>
      <c r="P322" t="str">
        <f>IF(Table1[[#This Row],[UnitPrice]]&lt;=0,"Check","OK")</f>
        <v>OK</v>
      </c>
      <c r="Q322" s="29">
        <f t="shared" ref="Q322:Q385" si="77">IF(R322&lt;0,0,R322)</f>
        <v>2422.1</v>
      </c>
      <c r="R322">
        <v>2422.1</v>
      </c>
      <c r="S322" s="5">
        <f>IF(Table1[[#This Row],[Discount_Flag]]="Check", MIN(MAX(Table1[[#This Row],[DiscountPct]],0),0.3), Table1[[#This Row],[DiscountPct]])</f>
        <v>7.5999999999999998E-2</v>
      </c>
      <c r="T322" t="str">
        <f>IF(OR(Table1[[#This Row],[DiscountPct]]&lt;0,Table1[[#This Row],[DiscountPct]]&gt;0.3),"Check","OK")</f>
        <v>OK</v>
      </c>
      <c r="U322" s="11">
        <v>7.5999999999999998E-2</v>
      </c>
      <c r="V322" s="15">
        <f t="shared" ref="V322:V385" si="78">IF(U322&gt;0.2,1,0)</f>
        <v>0</v>
      </c>
      <c r="W322" s="11">
        <f t="shared" ref="W322:W385" si="79">IF(Z322=0, 0, Y322/Z322)</f>
        <v>0.55905227673527913</v>
      </c>
      <c r="X322" s="17">
        <f t="shared" ref="X322:X385" si="80">O322*AD322</f>
        <v>9868.5</v>
      </c>
      <c r="Y322" s="17">
        <f t="shared" ref="Y322:Y385" si="81">Z322-X322</f>
        <v>12511.704000000002</v>
      </c>
      <c r="Z322" s="17">
        <f t="shared" ref="Z322:Z385" si="82">Q322*AD322*(1-S322)</f>
        <v>22380.204000000002</v>
      </c>
      <c r="AA322" s="17" t="str">
        <f t="shared" ref="AA322:AA385" si="83">"Q"&amp;ROUNDUP(MONTH(B322)/3,0)&amp;"-"&amp;YEAR(B322)</f>
        <v>Q2-2024</v>
      </c>
      <c r="AB322" s="12" t="str">
        <f t="shared" ref="AB322:AB385" si="84">TEXT(B322,"MMM-YYYY")</f>
        <v>May-2024</v>
      </c>
      <c r="AC322" s="12" t="str">
        <f t="shared" ref="AC322:AC385" si="85">IF(Q322&lt;=$AE$639,"Low",IF(Q322&lt;=$AE$641,"Medium","High"))</f>
        <v>High</v>
      </c>
      <c r="AD322">
        <v>10</v>
      </c>
      <c r="AE322" s="12">
        <f>_xlfn.MINIFS(Table1[MonthDate], Table1[Country], Table1[[#This Row],[Country]])</f>
        <v>44927</v>
      </c>
      <c r="AF322" s="12">
        <f t="shared" ref="AF322:AF385" si="86">DATE(YEAR(B322), MONTH(B322), 1)</f>
        <v>45413</v>
      </c>
      <c r="AG322">
        <f>AD322*(1 + Scenario_Control!$B$4)</f>
        <v>11</v>
      </c>
      <c r="AH322">
        <f>O322*(1 + Scenario_Control!$B$3)</f>
        <v>1036.1925000000001</v>
      </c>
      <c r="AI322">
        <f t="shared" ref="AI322:AI385" si="87">AK322 * AG322 * (1 - U322)</f>
        <v>4923.6448799999998</v>
      </c>
      <c r="AJ322">
        <f t="shared" ref="AJ322:AJ385" si="88">AI322 - (AH322 * AG322)</f>
        <v>-6474.4726200000005</v>
      </c>
      <c r="AK322" s="29">
        <f>MIN(Q322*(1-U322), Scenario_Control!$B$2*Q322)</f>
        <v>484.42</v>
      </c>
      <c r="AL322" s="15">
        <f t="shared" ref="AL322:AL385" si="89">IF(F322&lt;=7,1,0)</f>
        <v>0</v>
      </c>
      <c r="AM322" s="8">
        <f>DATEDIF(Table1[[#This Row],[Country_FirstMonth]], Table1[[#This Row],[MonthDate]], "m")</f>
        <v>16</v>
      </c>
    </row>
    <row r="323" spans="1:39" x14ac:dyDescent="0.25">
      <c r="A323" t="s">
        <v>335</v>
      </c>
      <c r="B323" s="12">
        <v>45293</v>
      </c>
      <c r="C323" s="12">
        <f t="shared" si="75"/>
        <v>45300</v>
      </c>
      <c r="D323" s="2" t="str">
        <f>IF(Table1[[#This Row],[RequiredDate]]&lt;Table1[[#This Row],[OrderDate]],"Check","OK")</f>
        <v>Check</v>
      </c>
      <c r="E323" s="2">
        <v>45292</v>
      </c>
      <c r="F323" s="15">
        <f t="shared" si="76"/>
        <v>7</v>
      </c>
      <c r="G323" t="s">
        <v>648</v>
      </c>
      <c r="H323" t="s">
        <v>660</v>
      </c>
      <c r="I323" t="s">
        <v>677</v>
      </c>
      <c r="J323" t="s">
        <v>702</v>
      </c>
      <c r="K323" t="s">
        <v>709</v>
      </c>
      <c r="L323" t="s">
        <v>717</v>
      </c>
      <c r="M323" t="s">
        <v>729</v>
      </c>
      <c r="N323" t="s">
        <v>1055</v>
      </c>
      <c r="O323" s="29">
        <v>404.77</v>
      </c>
      <c r="P323" t="str">
        <f>IF(Table1[[#This Row],[UnitPrice]]&lt;=0,"Check","OK")</f>
        <v>OK</v>
      </c>
      <c r="Q323" s="29">
        <f t="shared" si="77"/>
        <v>433.88</v>
      </c>
      <c r="R323">
        <v>433.88</v>
      </c>
      <c r="S323" s="5">
        <f>IF(Table1[[#This Row],[Discount_Flag]]="Check", MIN(MAX(Table1[[#This Row],[DiscountPct]],0),0.3), Table1[[#This Row],[DiscountPct]])</f>
        <v>0.215</v>
      </c>
      <c r="T323" t="str">
        <f>IF(OR(Table1[[#This Row],[DiscountPct]]&lt;0,Table1[[#This Row],[DiscountPct]]&gt;0.3),"Check","OK")</f>
        <v>OK</v>
      </c>
      <c r="U323" s="11">
        <v>0.215</v>
      </c>
      <c r="V323" s="15">
        <f t="shared" si="78"/>
        <v>1</v>
      </c>
      <c r="W323" s="11">
        <f t="shared" si="79"/>
        <v>-0.18841747314558746</v>
      </c>
      <c r="X323" s="17">
        <f t="shared" si="80"/>
        <v>8904.9399999999987</v>
      </c>
      <c r="Y323" s="17">
        <f t="shared" si="81"/>
        <v>-1411.8323999999975</v>
      </c>
      <c r="Z323" s="17">
        <f t="shared" si="82"/>
        <v>7493.1076000000012</v>
      </c>
      <c r="AA323" s="17" t="str">
        <f t="shared" si="83"/>
        <v>Q1-2024</v>
      </c>
      <c r="AB323" s="12" t="str">
        <f t="shared" si="84"/>
        <v>Jan-2024</v>
      </c>
      <c r="AC323" s="12" t="str">
        <f t="shared" si="85"/>
        <v>Low</v>
      </c>
      <c r="AD323">
        <v>22</v>
      </c>
      <c r="AE323" s="12">
        <f>_xlfn.MINIFS(Table1[MonthDate], Table1[Country], Table1[[#This Row],[Country]])</f>
        <v>44927</v>
      </c>
      <c r="AF323" s="12">
        <f t="shared" si="86"/>
        <v>45292</v>
      </c>
      <c r="AG323">
        <f>AD323*(1 + Scenario_Control!$B$4)</f>
        <v>24.200000000000003</v>
      </c>
      <c r="AH323">
        <f>O323*(1 + Scenario_Control!$B$3)</f>
        <v>425.00850000000003</v>
      </c>
      <c r="AI323">
        <f t="shared" si="87"/>
        <v>1648.4836720000005</v>
      </c>
      <c r="AJ323">
        <f t="shared" si="88"/>
        <v>-8636.722028000002</v>
      </c>
      <c r="AK323" s="29">
        <f>MIN(Q323*(1-U323), Scenario_Control!$B$2*Q323)</f>
        <v>86.77600000000001</v>
      </c>
      <c r="AL323" s="15">
        <f t="shared" si="89"/>
        <v>1</v>
      </c>
      <c r="AM323" s="8">
        <f>DATEDIF(Table1[[#This Row],[Country_FirstMonth]], Table1[[#This Row],[MonthDate]], "m")</f>
        <v>12</v>
      </c>
    </row>
    <row r="324" spans="1:39" x14ac:dyDescent="0.25">
      <c r="A324" t="s">
        <v>336</v>
      </c>
      <c r="B324" s="12">
        <v>44985</v>
      </c>
      <c r="C324" s="12">
        <f t="shared" si="75"/>
        <v>44992</v>
      </c>
      <c r="D324" s="2" t="str">
        <f>IF(Table1[[#This Row],[RequiredDate]]&lt;Table1[[#This Row],[OrderDate]],"Check","OK")</f>
        <v>Check</v>
      </c>
      <c r="E324" s="2">
        <v>44984</v>
      </c>
      <c r="F324" s="15">
        <f t="shared" si="76"/>
        <v>7</v>
      </c>
      <c r="G324" t="s">
        <v>649</v>
      </c>
      <c r="H324" t="s">
        <v>657</v>
      </c>
      <c r="I324" t="s">
        <v>673</v>
      </c>
      <c r="J324" t="s">
        <v>701</v>
      </c>
      <c r="K324" t="s">
        <v>707</v>
      </c>
      <c r="L324" t="s">
        <v>723</v>
      </c>
      <c r="M324" t="s">
        <v>729</v>
      </c>
      <c r="N324" t="s">
        <v>1056</v>
      </c>
      <c r="O324" s="29">
        <v>1299.81</v>
      </c>
      <c r="P324" t="str">
        <f>IF(Table1[[#This Row],[UnitPrice]]&lt;=0,"Check","OK")</f>
        <v>OK</v>
      </c>
      <c r="Q324" s="29">
        <f t="shared" si="77"/>
        <v>3149.13</v>
      </c>
      <c r="R324">
        <v>3149.13</v>
      </c>
      <c r="S324" s="5">
        <f>IF(Table1[[#This Row],[Discount_Flag]]="Check", MIN(MAX(Table1[[#This Row],[DiscountPct]],0),0.3), Table1[[#This Row],[DiscountPct]])</f>
        <v>0.10299999999999999</v>
      </c>
      <c r="T324" t="str">
        <f>IF(OR(Table1[[#This Row],[DiscountPct]]&lt;0,Table1[[#This Row],[DiscountPct]]&gt;0.3),"Check","OK")</f>
        <v>OK</v>
      </c>
      <c r="U324" s="11">
        <v>0.10299999999999999</v>
      </c>
      <c r="V324" s="15">
        <f t="shared" si="78"/>
        <v>0</v>
      </c>
      <c r="W324" s="11">
        <f t="shared" si="79"/>
        <v>0.53985273864511729</v>
      </c>
      <c r="X324" s="17">
        <f t="shared" si="80"/>
        <v>18197.34</v>
      </c>
      <c r="Y324" s="17">
        <f t="shared" si="81"/>
        <v>21349.434539999998</v>
      </c>
      <c r="Z324" s="17">
        <f t="shared" si="82"/>
        <v>39546.774539999999</v>
      </c>
      <c r="AA324" s="17" t="str">
        <f t="shared" si="83"/>
        <v>Q1-2023</v>
      </c>
      <c r="AB324" s="12" t="str">
        <f t="shared" si="84"/>
        <v>Feb-2023</v>
      </c>
      <c r="AC324" s="12" t="str">
        <f t="shared" si="85"/>
        <v>High</v>
      </c>
      <c r="AD324">
        <v>14</v>
      </c>
      <c r="AE324" s="12">
        <f>_xlfn.MINIFS(Table1[MonthDate], Table1[Country], Table1[[#This Row],[Country]])</f>
        <v>44927</v>
      </c>
      <c r="AF324" s="12">
        <f t="shared" si="86"/>
        <v>44958</v>
      </c>
      <c r="AG324">
        <f>AD324*(1 + Scenario_Control!$B$4)</f>
        <v>15.400000000000002</v>
      </c>
      <c r="AH324">
        <f>O324*(1 + Scenario_Control!$B$3)</f>
        <v>1364.8005000000001</v>
      </c>
      <c r="AI324">
        <f t="shared" si="87"/>
        <v>8700.2903988000016</v>
      </c>
      <c r="AJ324">
        <f t="shared" si="88"/>
        <v>-12317.637301200002</v>
      </c>
      <c r="AK324" s="29">
        <f>MIN(Q324*(1-U324), Scenario_Control!$B$2*Q324)</f>
        <v>629.82600000000002</v>
      </c>
      <c r="AL324" s="15">
        <f t="shared" si="89"/>
        <v>1</v>
      </c>
      <c r="AM324" s="8">
        <f>DATEDIF(Table1[[#This Row],[Country_FirstMonth]], Table1[[#This Row],[MonthDate]], "m")</f>
        <v>1</v>
      </c>
    </row>
    <row r="325" spans="1:39" x14ac:dyDescent="0.25">
      <c r="A325" t="s">
        <v>337</v>
      </c>
      <c r="B325" s="12">
        <v>45340</v>
      </c>
      <c r="C325" s="12">
        <f t="shared" si="75"/>
        <v>45362</v>
      </c>
      <c r="D325" s="2" t="str">
        <f>IF(Table1[[#This Row],[RequiredDate]]&lt;Table1[[#This Row],[OrderDate]],"Check","OK")</f>
        <v>OK</v>
      </c>
      <c r="E325" s="2">
        <v>45362</v>
      </c>
      <c r="F325" s="15">
        <f t="shared" si="76"/>
        <v>22</v>
      </c>
      <c r="G325" t="s">
        <v>648</v>
      </c>
      <c r="H325" t="s">
        <v>655</v>
      </c>
      <c r="I325" t="s">
        <v>670</v>
      </c>
      <c r="J325" t="s">
        <v>704</v>
      </c>
      <c r="K325" t="s">
        <v>708</v>
      </c>
      <c r="L325" t="s">
        <v>720</v>
      </c>
      <c r="M325" t="s">
        <v>727</v>
      </c>
      <c r="N325" t="s">
        <v>1057</v>
      </c>
      <c r="O325" s="29">
        <v>80.48</v>
      </c>
      <c r="P325" t="str">
        <f>IF(Table1[[#This Row],[UnitPrice]]&lt;=0,"Check","OK")</f>
        <v>OK</v>
      </c>
      <c r="Q325" s="29">
        <f t="shared" si="77"/>
        <v>65.650000000000006</v>
      </c>
      <c r="R325">
        <v>65.650000000000006</v>
      </c>
      <c r="S325" s="5">
        <f>IF(Table1[[#This Row],[Discount_Flag]]="Check", MIN(MAX(Table1[[#This Row],[DiscountPct]],0),0.3), Table1[[#This Row],[DiscountPct]])</f>
        <v>0.17599999999999999</v>
      </c>
      <c r="T325" t="str">
        <f>IF(OR(Table1[[#This Row],[DiscountPct]]&lt;0,Table1[[#This Row],[DiscountPct]]&gt;0.3),"Check","OK")</f>
        <v>OK</v>
      </c>
      <c r="U325" s="11">
        <v>0.17599999999999999</v>
      </c>
      <c r="V325" s="15">
        <f t="shared" si="78"/>
        <v>0</v>
      </c>
      <c r="W325" s="11">
        <f t="shared" si="79"/>
        <v>-0.48773652570634191</v>
      </c>
      <c r="X325" s="17">
        <f t="shared" si="80"/>
        <v>1046.24</v>
      </c>
      <c r="Y325" s="17">
        <f t="shared" si="81"/>
        <v>-342.99719999999991</v>
      </c>
      <c r="Z325" s="17">
        <f t="shared" si="82"/>
        <v>703.2428000000001</v>
      </c>
      <c r="AA325" s="17" t="str">
        <f t="shared" si="83"/>
        <v>Q1-2024</v>
      </c>
      <c r="AB325" s="12" t="str">
        <f t="shared" si="84"/>
        <v>Feb-2024</v>
      </c>
      <c r="AC325" s="12" t="str">
        <f t="shared" si="85"/>
        <v>Low</v>
      </c>
      <c r="AD325">
        <v>13</v>
      </c>
      <c r="AE325" s="12">
        <f>_xlfn.MINIFS(Table1[MonthDate], Table1[Country], Table1[[#This Row],[Country]])</f>
        <v>44927</v>
      </c>
      <c r="AF325" s="12">
        <f t="shared" si="86"/>
        <v>45323</v>
      </c>
      <c r="AG325">
        <f>AD325*(1 + Scenario_Control!$B$4)</f>
        <v>14.3</v>
      </c>
      <c r="AH325">
        <f>O325*(1 + Scenario_Control!$B$3)</f>
        <v>84.504000000000005</v>
      </c>
      <c r="AI325">
        <f t="shared" si="87"/>
        <v>154.71341600000005</v>
      </c>
      <c r="AJ325">
        <f t="shared" si="88"/>
        <v>-1053.6937840000001</v>
      </c>
      <c r="AK325" s="29">
        <f>MIN(Q325*(1-U325), Scenario_Control!$B$2*Q325)</f>
        <v>13.130000000000003</v>
      </c>
      <c r="AL325" s="15">
        <f t="shared" si="89"/>
        <v>0</v>
      </c>
      <c r="AM325" s="8">
        <f>DATEDIF(Table1[[#This Row],[Country_FirstMonth]], Table1[[#This Row],[MonthDate]], "m")</f>
        <v>13</v>
      </c>
    </row>
    <row r="326" spans="1:39" x14ac:dyDescent="0.25">
      <c r="A326" t="s">
        <v>338</v>
      </c>
      <c r="B326" s="12">
        <v>45544</v>
      </c>
      <c r="C326" s="12">
        <f t="shared" si="75"/>
        <v>45573</v>
      </c>
      <c r="D326" s="2" t="str">
        <f>IF(Table1[[#This Row],[RequiredDate]]&lt;Table1[[#This Row],[OrderDate]],"Check","OK")</f>
        <v>OK</v>
      </c>
      <c r="E326" s="2">
        <v>45573</v>
      </c>
      <c r="F326" s="15">
        <f t="shared" si="76"/>
        <v>29</v>
      </c>
      <c r="G326" t="s">
        <v>648</v>
      </c>
      <c r="H326" t="s">
        <v>655</v>
      </c>
      <c r="I326" t="s">
        <v>670</v>
      </c>
      <c r="J326" t="s">
        <v>702</v>
      </c>
      <c r="K326" t="s">
        <v>711</v>
      </c>
      <c r="L326" t="s">
        <v>713</v>
      </c>
      <c r="M326" t="s">
        <v>727</v>
      </c>
      <c r="N326" t="s">
        <v>1058</v>
      </c>
      <c r="O326" s="29">
        <v>1010.33</v>
      </c>
      <c r="P326" t="str">
        <f>IF(Table1[[#This Row],[UnitPrice]]&lt;=0,"Check","OK")</f>
        <v>OK</v>
      </c>
      <c r="Q326" s="29">
        <f t="shared" si="77"/>
        <v>2492.14</v>
      </c>
      <c r="R326">
        <v>2492.14</v>
      </c>
      <c r="S326" s="5">
        <f>IF(Table1[[#This Row],[Discount_Flag]]="Check", MIN(MAX(Table1[[#This Row],[DiscountPct]],0),0.3), Table1[[#This Row],[DiscountPct]])</f>
        <v>5.0999999999999997E-2</v>
      </c>
      <c r="T326" t="str">
        <f>IF(OR(Table1[[#This Row],[DiscountPct]]&lt;0,Table1[[#This Row],[DiscountPct]]&gt;0.3),"Check","OK")</f>
        <v>OK</v>
      </c>
      <c r="U326" s="11">
        <v>5.0999999999999997E-2</v>
      </c>
      <c r="V326" s="15">
        <f t="shared" si="78"/>
        <v>0</v>
      </c>
      <c r="W326" s="11">
        <f t="shared" si="79"/>
        <v>0.57280653493656752</v>
      </c>
      <c r="X326" s="17">
        <f t="shared" si="80"/>
        <v>11113.630000000001</v>
      </c>
      <c r="Y326" s="17">
        <f t="shared" si="81"/>
        <v>14901.819459999995</v>
      </c>
      <c r="Z326" s="17">
        <f t="shared" si="82"/>
        <v>26015.449459999996</v>
      </c>
      <c r="AA326" s="17" t="str">
        <f t="shared" si="83"/>
        <v>Q3-2024</v>
      </c>
      <c r="AB326" s="12" t="str">
        <f t="shared" si="84"/>
        <v>Sept-2024</v>
      </c>
      <c r="AC326" s="12" t="str">
        <f t="shared" si="85"/>
        <v>High</v>
      </c>
      <c r="AD326">
        <v>11</v>
      </c>
      <c r="AE326" s="12">
        <f>_xlfn.MINIFS(Table1[MonthDate], Table1[Country], Table1[[#This Row],[Country]])</f>
        <v>44927</v>
      </c>
      <c r="AF326" s="12">
        <f t="shared" si="86"/>
        <v>45536</v>
      </c>
      <c r="AG326">
        <f>AD326*(1 + Scenario_Control!$B$4)</f>
        <v>12.100000000000001</v>
      </c>
      <c r="AH326">
        <f>O326*(1 + Scenario_Control!$B$3)</f>
        <v>1060.8465000000001</v>
      </c>
      <c r="AI326">
        <f t="shared" si="87"/>
        <v>5723.3988812000007</v>
      </c>
      <c r="AJ326">
        <f t="shared" si="88"/>
        <v>-7112.8437688000013</v>
      </c>
      <c r="AK326" s="29">
        <f>MIN(Q326*(1-U326), Scenario_Control!$B$2*Q326)</f>
        <v>498.428</v>
      </c>
      <c r="AL326" s="15">
        <f t="shared" si="89"/>
        <v>0</v>
      </c>
      <c r="AM326" s="8">
        <f>DATEDIF(Table1[[#This Row],[Country_FirstMonth]], Table1[[#This Row],[MonthDate]], "m")</f>
        <v>20</v>
      </c>
    </row>
    <row r="327" spans="1:39" x14ac:dyDescent="0.25">
      <c r="A327" t="s">
        <v>339</v>
      </c>
      <c r="B327" s="12">
        <v>45053</v>
      </c>
      <c r="C327" s="12">
        <f t="shared" si="75"/>
        <v>45075</v>
      </c>
      <c r="D327" s="2" t="str">
        <f>IF(Table1[[#This Row],[RequiredDate]]&lt;Table1[[#This Row],[OrderDate]],"Check","OK")</f>
        <v>OK</v>
      </c>
      <c r="E327" s="2">
        <v>45075</v>
      </c>
      <c r="F327" s="15">
        <f t="shared" si="76"/>
        <v>22</v>
      </c>
      <c r="G327" t="s">
        <v>646</v>
      </c>
      <c r="H327" t="s">
        <v>661</v>
      </c>
      <c r="I327" t="s">
        <v>687</v>
      </c>
      <c r="J327" t="s">
        <v>702</v>
      </c>
      <c r="K327" t="s">
        <v>710</v>
      </c>
      <c r="L327" t="s">
        <v>723</v>
      </c>
      <c r="M327" t="s">
        <v>733</v>
      </c>
      <c r="N327" t="s">
        <v>1059</v>
      </c>
      <c r="O327" s="29">
        <v>653.86</v>
      </c>
      <c r="P327" t="str">
        <f>IF(Table1[[#This Row],[UnitPrice]]&lt;=0,"Check","OK")</f>
        <v>OK</v>
      </c>
      <c r="Q327" s="29">
        <f t="shared" si="77"/>
        <v>931.84</v>
      </c>
      <c r="R327">
        <v>931.84</v>
      </c>
      <c r="S327" s="5">
        <f>IF(Table1[[#This Row],[Discount_Flag]]="Check", MIN(MAX(Table1[[#This Row],[DiscountPct]],0),0.3), Table1[[#This Row],[DiscountPct]])</f>
        <v>0.121</v>
      </c>
      <c r="T327" t="str">
        <f>IF(OR(Table1[[#This Row],[DiscountPct]]&lt;0,Table1[[#This Row],[DiscountPct]]&gt;0.3),"Check","OK")</f>
        <v>OK</v>
      </c>
      <c r="U327" s="11">
        <v>0.121</v>
      </c>
      <c r="V327" s="15">
        <f t="shared" si="78"/>
        <v>0</v>
      </c>
      <c r="W327" s="11">
        <f t="shared" si="79"/>
        <v>0.20172129136506273</v>
      </c>
      <c r="X327" s="17">
        <f t="shared" si="80"/>
        <v>7846.32</v>
      </c>
      <c r="Y327" s="17">
        <f t="shared" si="81"/>
        <v>1982.7283200000002</v>
      </c>
      <c r="Z327" s="17">
        <f t="shared" si="82"/>
        <v>9829.0483199999999</v>
      </c>
      <c r="AA327" s="17" t="str">
        <f t="shared" si="83"/>
        <v>Q2-2023</v>
      </c>
      <c r="AB327" s="12" t="str">
        <f t="shared" si="84"/>
        <v>May-2023</v>
      </c>
      <c r="AC327" s="12" t="str">
        <f t="shared" si="85"/>
        <v>Medium</v>
      </c>
      <c r="AD327">
        <v>12</v>
      </c>
      <c r="AE327" s="12">
        <f>_xlfn.MINIFS(Table1[MonthDate], Table1[Country], Table1[[#This Row],[Country]])</f>
        <v>44927</v>
      </c>
      <c r="AF327" s="12">
        <f t="shared" si="86"/>
        <v>45047</v>
      </c>
      <c r="AG327">
        <f>AD327*(1 + Scenario_Control!$B$4)</f>
        <v>13.200000000000001</v>
      </c>
      <c r="AH327">
        <f>O327*(1 + Scenario_Control!$B$3)</f>
        <v>686.553</v>
      </c>
      <c r="AI327">
        <f t="shared" si="87"/>
        <v>2162.3906304000006</v>
      </c>
      <c r="AJ327">
        <f t="shared" si="88"/>
        <v>-6900.1089695999999</v>
      </c>
      <c r="AK327" s="29">
        <f>MIN(Q327*(1-U327), Scenario_Control!$B$2*Q327)</f>
        <v>186.36800000000002</v>
      </c>
      <c r="AL327" s="15">
        <f t="shared" si="89"/>
        <v>0</v>
      </c>
      <c r="AM327" s="8">
        <f>DATEDIF(Table1[[#This Row],[Country_FirstMonth]], Table1[[#This Row],[MonthDate]], "m")</f>
        <v>4</v>
      </c>
    </row>
    <row r="328" spans="1:39" x14ac:dyDescent="0.25">
      <c r="A328" t="s">
        <v>340</v>
      </c>
      <c r="B328" s="12">
        <v>45303</v>
      </c>
      <c r="C328" s="12">
        <f t="shared" si="75"/>
        <v>45320</v>
      </c>
      <c r="D328" s="2" t="str">
        <f>IF(Table1[[#This Row],[RequiredDate]]&lt;Table1[[#This Row],[OrderDate]],"Check","OK")</f>
        <v>OK</v>
      </c>
      <c r="E328" s="2">
        <v>45320</v>
      </c>
      <c r="F328" s="15">
        <f t="shared" si="76"/>
        <v>17</v>
      </c>
      <c r="G328" t="s">
        <v>647</v>
      </c>
      <c r="H328" t="s">
        <v>654</v>
      </c>
      <c r="I328" t="s">
        <v>696</v>
      </c>
      <c r="J328" t="s">
        <v>705</v>
      </c>
      <c r="K328" t="s">
        <v>711</v>
      </c>
      <c r="L328" t="s">
        <v>717</v>
      </c>
      <c r="M328" t="s">
        <v>727</v>
      </c>
      <c r="N328" t="s">
        <v>1060</v>
      </c>
      <c r="O328" s="29">
        <v>310.02</v>
      </c>
      <c r="P328" t="str">
        <f>IF(Table1[[#This Row],[UnitPrice]]&lt;=0,"Check","OK")</f>
        <v>OK</v>
      </c>
      <c r="Q328" s="29">
        <f t="shared" si="77"/>
        <v>619.51</v>
      </c>
      <c r="R328">
        <v>619.51</v>
      </c>
      <c r="S328" s="5">
        <f>IF(Table1[[#This Row],[Discount_Flag]]="Check", MIN(MAX(Table1[[#This Row],[DiscountPct]],0),0.3), Table1[[#This Row],[DiscountPct]])</f>
        <v>4.2000000000000003E-2</v>
      </c>
      <c r="T328" t="str">
        <f>IF(OR(Table1[[#This Row],[DiscountPct]]&lt;0,Table1[[#This Row],[DiscountPct]]&gt;0.3),"Check","OK")</f>
        <v>OK</v>
      </c>
      <c r="U328" s="11">
        <v>4.2000000000000003E-2</v>
      </c>
      <c r="V328" s="15">
        <f t="shared" si="78"/>
        <v>0</v>
      </c>
      <c r="W328" s="11">
        <f t="shared" si="79"/>
        <v>0.47763282106347843</v>
      </c>
      <c r="X328" s="17">
        <f t="shared" si="80"/>
        <v>1240.08</v>
      </c>
      <c r="Y328" s="17">
        <f t="shared" si="81"/>
        <v>1133.8823200000002</v>
      </c>
      <c r="Z328" s="17">
        <f t="shared" si="82"/>
        <v>2373.9623200000001</v>
      </c>
      <c r="AA328" s="17" t="str">
        <f t="shared" si="83"/>
        <v>Q1-2024</v>
      </c>
      <c r="AB328" s="12" t="str">
        <f t="shared" si="84"/>
        <v>Jan-2024</v>
      </c>
      <c r="AC328" s="12" t="str">
        <f t="shared" si="85"/>
        <v>Medium</v>
      </c>
      <c r="AD328">
        <v>4</v>
      </c>
      <c r="AE328" s="12">
        <f>_xlfn.MINIFS(Table1[MonthDate], Table1[Country], Table1[[#This Row],[Country]])</f>
        <v>44927</v>
      </c>
      <c r="AF328" s="12">
        <f t="shared" si="86"/>
        <v>45292</v>
      </c>
      <c r="AG328">
        <f>AD328*(1 + Scenario_Control!$B$4)</f>
        <v>4.4000000000000004</v>
      </c>
      <c r="AH328">
        <f>O328*(1 + Scenario_Control!$B$3)</f>
        <v>325.52100000000002</v>
      </c>
      <c r="AI328">
        <f t="shared" si="87"/>
        <v>522.27171039999996</v>
      </c>
      <c r="AJ328">
        <f t="shared" si="88"/>
        <v>-910.02068960000031</v>
      </c>
      <c r="AK328" s="29">
        <f>MIN(Q328*(1-U328), Scenario_Control!$B$2*Q328)</f>
        <v>123.902</v>
      </c>
      <c r="AL328" s="15">
        <f t="shared" si="89"/>
        <v>0</v>
      </c>
      <c r="AM328" s="8">
        <f>DATEDIF(Table1[[#This Row],[Country_FirstMonth]], Table1[[#This Row],[MonthDate]], "m")</f>
        <v>12</v>
      </c>
    </row>
    <row r="329" spans="1:39" x14ac:dyDescent="0.25">
      <c r="A329" t="s">
        <v>341</v>
      </c>
      <c r="B329" s="12">
        <v>45087</v>
      </c>
      <c r="C329" s="12">
        <f t="shared" si="75"/>
        <v>45095</v>
      </c>
      <c r="D329" s="2" t="str">
        <f>IF(Table1[[#This Row],[RequiredDate]]&lt;Table1[[#This Row],[OrderDate]],"Check","OK")</f>
        <v>OK</v>
      </c>
      <c r="E329" s="2">
        <v>45095</v>
      </c>
      <c r="F329" s="15">
        <f t="shared" si="76"/>
        <v>8</v>
      </c>
      <c r="G329" t="s">
        <v>646</v>
      </c>
      <c r="H329" t="s">
        <v>650</v>
      </c>
      <c r="I329" t="s">
        <v>678</v>
      </c>
      <c r="J329" t="s">
        <v>706</v>
      </c>
      <c r="K329" t="s">
        <v>711</v>
      </c>
      <c r="L329" t="s">
        <v>722</v>
      </c>
      <c r="M329" t="s">
        <v>730</v>
      </c>
      <c r="N329" t="s">
        <v>1061</v>
      </c>
      <c r="O329" s="29">
        <v>894.23</v>
      </c>
      <c r="P329" t="str">
        <f>IF(Table1[[#This Row],[UnitPrice]]&lt;=0,"Check","OK")</f>
        <v>OK</v>
      </c>
      <c r="Q329" s="29">
        <f t="shared" si="77"/>
        <v>1421.55</v>
      </c>
      <c r="R329">
        <v>1421.55</v>
      </c>
      <c r="S329" s="5">
        <f>IF(Table1[[#This Row],[Discount_Flag]]="Check", MIN(MAX(Table1[[#This Row],[DiscountPct]],0),0.3), Table1[[#This Row],[DiscountPct]])</f>
        <v>0.109</v>
      </c>
      <c r="T329" t="str">
        <f>IF(OR(Table1[[#This Row],[DiscountPct]]&lt;0,Table1[[#This Row],[DiscountPct]]&gt;0.3),"Check","OK")</f>
        <v>OK</v>
      </c>
      <c r="U329" s="11">
        <v>0.109</v>
      </c>
      <c r="V329" s="15">
        <f t="shared" si="78"/>
        <v>0</v>
      </c>
      <c r="W329" s="11">
        <f t="shared" si="79"/>
        <v>0.29399237431549574</v>
      </c>
      <c r="X329" s="17">
        <f t="shared" si="80"/>
        <v>2682.69</v>
      </c>
      <c r="Y329" s="17">
        <f t="shared" si="81"/>
        <v>1117.1131499999997</v>
      </c>
      <c r="Z329" s="17">
        <f t="shared" si="82"/>
        <v>3799.8031499999997</v>
      </c>
      <c r="AA329" s="17" t="str">
        <f t="shared" si="83"/>
        <v>Q2-2023</v>
      </c>
      <c r="AB329" s="12" t="str">
        <f t="shared" si="84"/>
        <v>Jun-2023</v>
      </c>
      <c r="AC329" s="12" t="str">
        <f t="shared" si="85"/>
        <v>Medium</v>
      </c>
      <c r="AD329">
        <v>3</v>
      </c>
      <c r="AE329" s="12">
        <f>_xlfn.MINIFS(Table1[MonthDate], Table1[Country], Table1[[#This Row],[Country]])</f>
        <v>44927</v>
      </c>
      <c r="AF329" s="12">
        <f t="shared" si="86"/>
        <v>45078</v>
      </c>
      <c r="AG329">
        <f>AD329*(1 + Scenario_Control!$B$4)</f>
        <v>3.3000000000000003</v>
      </c>
      <c r="AH329">
        <f>O329*(1 + Scenario_Control!$B$3)</f>
        <v>938.94150000000002</v>
      </c>
      <c r="AI329">
        <f t="shared" si="87"/>
        <v>835.95669300000009</v>
      </c>
      <c r="AJ329">
        <f t="shared" si="88"/>
        <v>-2262.5502570000003</v>
      </c>
      <c r="AK329" s="29">
        <f>MIN(Q329*(1-U329), Scenario_Control!$B$2*Q329)</f>
        <v>284.31</v>
      </c>
      <c r="AL329" s="15">
        <f t="shared" si="89"/>
        <v>0</v>
      </c>
      <c r="AM329" s="8">
        <f>DATEDIF(Table1[[#This Row],[Country_FirstMonth]], Table1[[#This Row],[MonthDate]], "m")</f>
        <v>5</v>
      </c>
    </row>
    <row r="330" spans="1:39" x14ac:dyDescent="0.25">
      <c r="A330" t="s">
        <v>342</v>
      </c>
      <c r="B330" s="12">
        <v>45796</v>
      </c>
      <c r="C330" s="12">
        <f t="shared" si="75"/>
        <v>45803</v>
      </c>
      <c r="D330" s="2" t="str">
        <f>IF(Table1[[#This Row],[RequiredDate]]&lt;Table1[[#This Row],[OrderDate]],"Check","OK")</f>
        <v>Check</v>
      </c>
      <c r="E330" s="2">
        <v>45794</v>
      </c>
      <c r="F330" s="15">
        <f t="shared" si="76"/>
        <v>7</v>
      </c>
      <c r="G330" t="s">
        <v>648</v>
      </c>
      <c r="H330" t="s">
        <v>655</v>
      </c>
      <c r="I330" t="s">
        <v>670</v>
      </c>
      <c r="J330" t="s">
        <v>705</v>
      </c>
      <c r="K330" t="s">
        <v>710</v>
      </c>
      <c r="L330" t="s">
        <v>716</v>
      </c>
      <c r="M330" t="s">
        <v>732</v>
      </c>
      <c r="N330" t="s">
        <v>1062</v>
      </c>
      <c r="O330" s="29">
        <v>383.77</v>
      </c>
      <c r="P330" t="str">
        <f>IF(Table1[[#This Row],[UnitPrice]]&lt;=0,"Check","OK")</f>
        <v>OK</v>
      </c>
      <c r="Q330" s="29">
        <f t="shared" si="77"/>
        <v>952.56</v>
      </c>
      <c r="R330">
        <v>952.56</v>
      </c>
      <c r="S330" s="5">
        <f>IF(Table1[[#This Row],[Discount_Flag]]="Check", MIN(MAX(Table1[[#This Row],[DiscountPct]],0),0.3), Table1[[#This Row],[DiscountPct]])</f>
        <v>0.3</v>
      </c>
      <c r="T330" t="str">
        <f>IF(OR(Table1[[#This Row],[DiscountPct]]&lt;0,Table1[[#This Row],[DiscountPct]]&gt;0.3),"Check","OK")</f>
        <v>Check</v>
      </c>
      <c r="U330" s="11">
        <v>0.34599999999999997</v>
      </c>
      <c r="V330" s="15">
        <f t="shared" si="78"/>
        <v>1</v>
      </c>
      <c r="W330" s="11">
        <f t="shared" si="79"/>
        <v>0.42445320279787385</v>
      </c>
      <c r="X330" s="17">
        <f t="shared" si="80"/>
        <v>3837.7</v>
      </c>
      <c r="Y330" s="17">
        <f t="shared" si="81"/>
        <v>2830.2199999999984</v>
      </c>
      <c r="Z330" s="17">
        <f t="shared" si="82"/>
        <v>6667.9199999999983</v>
      </c>
      <c r="AA330" s="17" t="str">
        <f t="shared" si="83"/>
        <v>Q2-2025</v>
      </c>
      <c r="AB330" s="12" t="str">
        <f t="shared" si="84"/>
        <v>May-2025</v>
      </c>
      <c r="AC330" s="12" t="str">
        <f t="shared" si="85"/>
        <v>Medium</v>
      </c>
      <c r="AD330">
        <v>10</v>
      </c>
      <c r="AE330" s="12">
        <f>_xlfn.MINIFS(Table1[MonthDate], Table1[Country], Table1[[#This Row],[Country]])</f>
        <v>44927</v>
      </c>
      <c r="AF330" s="12">
        <f t="shared" si="86"/>
        <v>45778</v>
      </c>
      <c r="AG330">
        <f>AD330*(1 + Scenario_Control!$B$4)</f>
        <v>11</v>
      </c>
      <c r="AH330">
        <f>O330*(1 + Scenario_Control!$B$3)</f>
        <v>402.95850000000002</v>
      </c>
      <c r="AI330">
        <f t="shared" si="87"/>
        <v>1370.5433280000002</v>
      </c>
      <c r="AJ330">
        <f t="shared" si="88"/>
        <v>-3062.0001719999996</v>
      </c>
      <c r="AK330" s="29">
        <f>MIN(Q330*(1-U330), Scenario_Control!$B$2*Q330)</f>
        <v>190.512</v>
      </c>
      <c r="AL330" s="15">
        <f t="shared" si="89"/>
        <v>1</v>
      </c>
      <c r="AM330" s="8">
        <f>DATEDIF(Table1[[#This Row],[Country_FirstMonth]], Table1[[#This Row],[MonthDate]], "m")</f>
        <v>28</v>
      </c>
    </row>
    <row r="331" spans="1:39" x14ac:dyDescent="0.25">
      <c r="A331" t="s">
        <v>343</v>
      </c>
      <c r="B331" s="12">
        <v>45221</v>
      </c>
      <c r="C331" s="12">
        <f t="shared" si="75"/>
        <v>45246</v>
      </c>
      <c r="D331" s="2" t="str">
        <f>IF(Table1[[#This Row],[RequiredDate]]&lt;Table1[[#This Row],[OrderDate]],"Check","OK")</f>
        <v>OK</v>
      </c>
      <c r="E331" s="2">
        <v>45246</v>
      </c>
      <c r="F331" s="15">
        <f t="shared" si="76"/>
        <v>25</v>
      </c>
      <c r="G331" t="s">
        <v>648</v>
      </c>
      <c r="H331" t="s">
        <v>653</v>
      </c>
      <c r="I331" t="s">
        <v>667</v>
      </c>
      <c r="J331" t="s">
        <v>705</v>
      </c>
      <c r="K331" t="s">
        <v>709</v>
      </c>
      <c r="L331" t="s">
        <v>714</v>
      </c>
      <c r="M331" t="s">
        <v>731</v>
      </c>
      <c r="N331" t="s">
        <v>1063</v>
      </c>
      <c r="O331" s="29">
        <v>1373.31</v>
      </c>
      <c r="P331" t="str">
        <f>IF(Table1[[#This Row],[UnitPrice]]&lt;=0,"Check","OK")</f>
        <v>OK</v>
      </c>
      <c r="Q331" s="29">
        <f t="shared" si="77"/>
        <v>3154.14</v>
      </c>
      <c r="R331">
        <v>3154.14</v>
      </c>
      <c r="S331" s="5">
        <f>IF(Table1[[#This Row],[Discount_Flag]]="Check", MIN(MAX(Table1[[#This Row],[DiscountPct]],0),0.3), Table1[[#This Row],[DiscountPct]])</f>
        <v>0.2</v>
      </c>
      <c r="T331" t="str">
        <f>IF(OR(Table1[[#This Row],[DiscountPct]]&lt;0,Table1[[#This Row],[DiscountPct]]&gt;0.3),"Check","OK")</f>
        <v>OK</v>
      </c>
      <c r="U331" s="11">
        <v>0.2</v>
      </c>
      <c r="V331" s="15">
        <f t="shared" si="78"/>
        <v>0</v>
      </c>
      <c r="W331" s="11">
        <f t="shared" si="79"/>
        <v>0.45575101295440279</v>
      </c>
      <c r="X331" s="17">
        <f t="shared" si="80"/>
        <v>15106.41</v>
      </c>
      <c r="Y331" s="17">
        <f t="shared" si="81"/>
        <v>12650.022000000001</v>
      </c>
      <c r="Z331" s="17">
        <f t="shared" si="82"/>
        <v>27756.432000000001</v>
      </c>
      <c r="AA331" s="17" t="str">
        <f t="shared" si="83"/>
        <v>Q4-2023</v>
      </c>
      <c r="AB331" s="12" t="str">
        <f t="shared" si="84"/>
        <v>Oct-2023</v>
      </c>
      <c r="AC331" s="12" t="str">
        <f t="shared" si="85"/>
        <v>High</v>
      </c>
      <c r="AD331">
        <v>11</v>
      </c>
      <c r="AE331" s="12">
        <f>_xlfn.MINIFS(Table1[MonthDate], Table1[Country], Table1[[#This Row],[Country]])</f>
        <v>44927</v>
      </c>
      <c r="AF331" s="12">
        <f t="shared" si="86"/>
        <v>45200</v>
      </c>
      <c r="AG331">
        <f>AD331*(1 + Scenario_Control!$B$4)</f>
        <v>12.100000000000001</v>
      </c>
      <c r="AH331">
        <f>O331*(1 + Scenario_Control!$B$3)</f>
        <v>1441.9755</v>
      </c>
      <c r="AI331">
        <f t="shared" si="87"/>
        <v>6106.4150400000008</v>
      </c>
      <c r="AJ331">
        <f t="shared" si="88"/>
        <v>-11341.488510000003</v>
      </c>
      <c r="AK331" s="29">
        <f>MIN(Q331*(1-U331), Scenario_Control!$B$2*Q331)</f>
        <v>630.82799999999997</v>
      </c>
      <c r="AL331" s="15">
        <f t="shared" si="89"/>
        <v>0</v>
      </c>
      <c r="AM331" s="8">
        <f>DATEDIF(Table1[[#This Row],[Country_FirstMonth]], Table1[[#This Row],[MonthDate]], "m")</f>
        <v>9</v>
      </c>
    </row>
    <row r="332" spans="1:39" x14ac:dyDescent="0.25">
      <c r="A332" t="s">
        <v>344</v>
      </c>
      <c r="B332" s="12">
        <v>45668</v>
      </c>
      <c r="C332" s="12">
        <f t="shared" si="75"/>
        <v>45680</v>
      </c>
      <c r="D332" s="2" t="str">
        <f>IF(Table1[[#This Row],[RequiredDate]]&lt;Table1[[#This Row],[OrderDate]],"Check","OK")</f>
        <v>OK</v>
      </c>
      <c r="E332" s="2">
        <v>45680</v>
      </c>
      <c r="F332" s="15">
        <f t="shared" si="76"/>
        <v>12</v>
      </c>
      <c r="G332" t="s">
        <v>648</v>
      </c>
      <c r="H332" t="s">
        <v>660</v>
      </c>
      <c r="I332" t="s">
        <v>697</v>
      </c>
      <c r="J332" t="s">
        <v>704</v>
      </c>
      <c r="K332" t="s">
        <v>710</v>
      </c>
      <c r="L332" t="s">
        <v>722</v>
      </c>
      <c r="M332" t="s">
        <v>730</v>
      </c>
      <c r="N332" t="s">
        <v>1064</v>
      </c>
      <c r="O332" s="29">
        <v>100.69</v>
      </c>
      <c r="P332" t="str">
        <f>IF(Table1[[#This Row],[UnitPrice]]&lt;=0,"Check","OK")</f>
        <v>OK</v>
      </c>
      <c r="Q332" s="29">
        <f t="shared" si="77"/>
        <v>226.14</v>
      </c>
      <c r="R332">
        <v>226.14</v>
      </c>
      <c r="S332" s="5">
        <f>IF(Table1[[#This Row],[Discount_Flag]]="Check", MIN(MAX(Table1[[#This Row],[DiscountPct]],0),0.3), Table1[[#This Row],[DiscountPct]])</f>
        <v>6.5000000000000002E-2</v>
      </c>
      <c r="T332" t="str">
        <f>IF(OR(Table1[[#This Row],[DiscountPct]]&lt;0,Table1[[#This Row],[DiscountPct]]&gt;0.3),"Check","OK")</f>
        <v>OK</v>
      </c>
      <c r="U332" s="11">
        <v>6.5000000000000002E-2</v>
      </c>
      <c r="V332" s="15">
        <f t="shared" si="78"/>
        <v>0</v>
      </c>
      <c r="W332" s="11">
        <f t="shared" si="79"/>
        <v>0.52379128162999689</v>
      </c>
      <c r="X332" s="17">
        <f t="shared" si="80"/>
        <v>1208.28</v>
      </c>
      <c r="Y332" s="17">
        <f t="shared" si="81"/>
        <v>1329.0108000000002</v>
      </c>
      <c r="Z332" s="17">
        <f t="shared" si="82"/>
        <v>2537.2908000000002</v>
      </c>
      <c r="AA332" s="17" t="str">
        <f t="shared" si="83"/>
        <v>Q1-2025</v>
      </c>
      <c r="AB332" s="12" t="str">
        <f t="shared" si="84"/>
        <v>Jan-2025</v>
      </c>
      <c r="AC332" s="12" t="str">
        <f t="shared" si="85"/>
        <v>Low</v>
      </c>
      <c r="AD332">
        <v>12</v>
      </c>
      <c r="AE332" s="12">
        <f>_xlfn.MINIFS(Table1[MonthDate], Table1[Country], Table1[[#This Row],[Country]])</f>
        <v>44927</v>
      </c>
      <c r="AF332" s="12">
        <f t="shared" si="86"/>
        <v>45658</v>
      </c>
      <c r="AG332">
        <f>AD332*(1 + Scenario_Control!$B$4)</f>
        <v>13.200000000000001</v>
      </c>
      <c r="AH332">
        <f>O332*(1 + Scenario_Control!$B$3)</f>
        <v>105.72450000000001</v>
      </c>
      <c r="AI332">
        <f t="shared" si="87"/>
        <v>558.20397600000013</v>
      </c>
      <c r="AJ332">
        <f t="shared" si="88"/>
        <v>-837.3594240000001</v>
      </c>
      <c r="AK332" s="29">
        <f>MIN(Q332*(1-U332), Scenario_Control!$B$2*Q332)</f>
        <v>45.228000000000002</v>
      </c>
      <c r="AL332" s="15">
        <f t="shared" si="89"/>
        <v>0</v>
      </c>
      <c r="AM332" s="8">
        <f>DATEDIF(Table1[[#This Row],[Country_FirstMonth]], Table1[[#This Row],[MonthDate]], "m")</f>
        <v>24</v>
      </c>
    </row>
    <row r="333" spans="1:39" x14ac:dyDescent="0.25">
      <c r="A333" t="s">
        <v>345</v>
      </c>
      <c r="B333" s="12">
        <v>45914</v>
      </c>
      <c r="C333" s="12">
        <f t="shared" si="75"/>
        <v>45926</v>
      </c>
      <c r="D333" s="2" t="str">
        <f>IF(Table1[[#This Row],[RequiredDate]]&lt;Table1[[#This Row],[OrderDate]],"Check","OK")</f>
        <v>OK</v>
      </c>
      <c r="E333" s="2">
        <v>45926</v>
      </c>
      <c r="F333" s="15">
        <f t="shared" si="76"/>
        <v>12</v>
      </c>
      <c r="G333" t="s">
        <v>649</v>
      </c>
      <c r="H333" t="s">
        <v>658</v>
      </c>
      <c r="I333" t="s">
        <v>683</v>
      </c>
      <c r="J333" t="s">
        <v>705</v>
      </c>
      <c r="K333" t="s">
        <v>711</v>
      </c>
      <c r="L333" t="s">
        <v>725</v>
      </c>
      <c r="M333" t="s">
        <v>729</v>
      </c>
      <c r="N333" t="s">
        <v>1065</v>
      </c>
      <c r="O333" s="29">
        <v>425.15</v>
      </c>
      <c r="P333" t="str">
        <f>IF(Table1[[#This Row],[UnitPrice]]&lt;=0,"Check","OK")</f>
        <v>OK</v>
      </c>
      <c r="Q333" s="29">
        <f t="shared" si="77"/>
        <v>885.92</v>
      </c>
      <c r="R333">
        <v>885.92</v>
      </c>
      <c r="S333" s="5">
        <f>IF(Table1[[#This Row],[Discount_Flag]]="Check", MIN(MAX(Table1[[#This Row],[DiscountPct]],0),0.3), Table1[[#This Row],[DiscountPct]])</f>
        <v>0.23899999999999999</v>
      </c>
      <c r="T333" t="str">
        <f>IF(OR(Table1[[#This Row],[DiscountPct]]&lt;0,Table1[[#This Row],[DiscountPct]]&gt;0.3),"Check","OK")</f>
        <v>OK</v>
      </c>
      <c r="U333" s="11">
        <v>0.23899999999999999</v>
      </c>
      <c r="V333" s="15">
        <f t="shared" si="78"/>
        <v>1</v>
      </c>
      <c r="W333" s="11">
        <f t="shared" si="79"/>
        <v>0.3693868532725848</v>
      </c>
      <c r="X333" s="17">
        <f t="shared" si="80"/>
        <v>5526.95</v>
      </c>
      <c r="Y333" s="17">
        <f t="shared" si="81"/>
        <v>3237.4565599999996</v>
      </c>
      <c r="Z333" s="17">
        <f t="shared" si="82"/>
        <v>8764.4065599999994</v>
      </c>
      <c r="AA333" s="17" t="str">
        <f t="shared" si="83"/>
        <v>Q3-2025</v>
      </c>
      <c r="AB333" s="12" t="str">
        <f t="shared" si="84"/>
        <v>Sept-2025</v>
      </c>
      <c r="AC333" s="12" t="str">
        <f t="shared" si="85"/>
        <v>Medium</v>
      </c>
      <c r="AD333">
        <v>13</v>
      </c>
      <c r="AE333" s="12">
        <f>_xlfn.MINIFS(Table1[MonthDate], Table1[Country], Table1[[#This Row],[Country]])</f>
        <v>44927</v>
      </c>
      <c r="AF333" s="12">
        <f t="shared" si="86"/>
        <v>45901</v>
      </c>
      <c r="AG333">
        <f>AD333*(1 + Scenario_Control!$B$4)</f>
        <v>14.3</v>
      </c>
      <c r="AH333">
        <f>O333*(1 + Scenario_Control!$B$3)</f>
        <v>446.40749999999997</v>
      </c>
      <c r="AI333">
        <f t="shared" si="87"/>
        <v>1928.1694432000002</v>
      </c>
      <c r="AJ333">
        <f t="shared" si="88"/>
        <v>-4455.4578067999992</v>
      </c>
      <c r="AK333" s="29">
        <f>MIN(Q333*(1-U333), Scenario_Control!$B$2*Q333)</f>
        <v>177.184</v>
      </c>
      <c r="AL333" s="15">
        <f t="shared" si="89"/>
        <v>0</v>
      </c>
      <c r="AM333" s="8">
        <f>DATEDIF(Table1[[#This Row],[Country_FirstMonth]], Table1[[#This Row],[MonthDate]], "m")</f>
        <v>32</v>
      </c>
    </row>
    <row r="334" spans="1:39" x14ac:dyDescent="0.25">
      <c r="A334" t="s">
        <v>346</v>
      </c>
      <c r="B334" s="12">
        <v>45168</v>
      </c>
      <c r="C334" s="12">
        <f t="shared" si="75"/>
        <v>45172</v>
      </c>
      <c r="D334" s="2" t="str">
        <f>IF(Table1[[#This Row],[RequiredDate]]&lt;Table1[[#This Row],[OrderDate]],"Check","OK")</f>
        <v>OK</v>
      </c>
      <c r="E334" s="2">
        <v>45172</v>
      </c>
      <c r="F334" s="15">
        <f t="shared" si="76"/>
        <v>4</v>
      </c>
      <c r="G334" t="s">
        <v>647</v>
      </c>
      <c r="H334" t="s">
        <v>654</v>
      </c>
      <c r="I334" t="s">
        <v>680</v>
      </c>
      <c r="J334" t="s">
        <v>705</v>
      </c>
      <c r="K334" t="s">
        <v>709</v>
      </c>
      <c r="L334" t="s">
        <v>716</v>
      </c>
      <c r="M334" t="s">
        <v>733</v>
      </c>
      <c r="N334" t="s">
        <v>1066</v>
      </c>
      <c r="O334" s="29">
        <v>1082.25</v>
      </c>
      <c r="P334" t="str">
        <f>IF(Table1[[#This Row],[UnitPrice]]&lt;=0,"Check","OK")</f>
        <v>OK</v>
      </c>
      <c r="Q334" s="29">
        <f t="shared" si="77"/>
        <v>2433.34</v>
      </c>
      <c r="R334">
        <v>2433.34</v>
      </c>
      <c r="S334" s="5">
        <f>IF(Table1[[#This Row],[Discount_Flag]]="Check", MIN(MAX(Table1[[#This Row],[DiscountPct]],0),0.3), Table1[[#This Row],[DiscountPct]])</f>
        <v>0.27</v>
      </c>
      <c r="T334" t="str">
        <f>IF(OR(Table1[[#This Row],[DiscountPct]]&lt;0,Table1[[#This Row],[DiscountPct]]&gt;0.3),"Check","OK")</f>
        <v>OK</v>
      </c>
      <c r="U334" s="11">
        <v>0.27</v>
      </c>
      <c r="V334" s="15">
        <f t="shared" si="78"/>
        <v>1</v>
      </c>
      <c r="W334" s="11">
        <f t="shared" si="79"/>
        <v>0.3907410199251472</v>
      </c>
      <c r="X334" s="17">
        <f t="shared" si="80"/>
        <v>4329</v>
      </c>
      <c r="Y334" s="17">
        <f t="shared" si="81"/>
        <v>2776.3528000000006</v>
      </c>
      <c r="Z334" s="17">
        <f t="shared" si="82"/>
        <v>7105.3528000000006</v>
      </c>
      <c r="AA334" s="17" t="str">
        <f t="shared" si="83"/>
        <v>Q3-2023</v>
      </c>
      <c r="AB334" s="12" t="str">
        <f t="shared" si="84"/>
        <v>Aug-2023</v>
      </c>
      <c r="AC334" s="12" t="str">
        <f t="shared" si="85"/>
        <v>High</v>
      </c>
      <c r="AD334">
        <v>4</v>
      </c>
      <c r="AE334" s="12">
        <f>_xlfn.MINIFS(Table1[MonthDate], Table1[Country], Table1[[#This Row],[Country]])</f>
        <v>44927</v>
      </c>
      <c r="AF334" s="12">
        <f t="shared" si="86"/>
        <v>45139</v>
      </c>
      <c r="AG334">
        <f>AD334*(1 + Scenario_Control!$B$4)</f>
        <v>4.4000000000000004</v>
      </c>
      <c r="AH334">
        <f>O334*(1 + Scenario_Control!$B$3)</f>
        <v>1136.3625</v>
      </c>
      <c r="AI334">
        <f t="shared" si="87"/>
        <v>1563.1776160000002</v>
      </c>
      <c r="AJ334">
        <f t="shared" si="88"/>
        <v>-3436.8173839999999</v>
      </c>
      <c r="AK334" s="29">
        <f>MIN(Q334*(1-U334), Scenario_Control!$B$2*Q334)</f>
        <v>486.66800000000006</v>
      </c>
      <c r="AL334" s="15">
        <f t="shared" si="89"/>
        <v>1</v>
      </c>
      <c r="AM334" s="8">
        <f>DATEDIF(Table1[[#This Row],[Country_FirstMonth]], Table1[[#This Row],[MonthDate]], "m")</f>
        <v>7</v>
      </c>
    </row>
    <row r="335" spans="1:39" x14ac:dyDescent="0.25">
      <c r="A335" t="s">
        <v>347</v>
      </c>
      <c r="B335" s="12">
        <v>45245</v>
      </c>
      <c r="C335" s="12">
        <f t="shared" si="75"/>
        <v>45266</v>
      </c>
      <c r="D335" s="2" t="str">
        <f>IF(Table1[[#This Row],[RequiredDate]]&lt;Table1[[#This Row],[OrderDate]],"Check","OK")</f>
        <v>OK</v>
      </c>
      <c r="E335" s="2">
        <v>45266</v>
      </c>
      <c r="F335" s="15">
        <f t="shared" si="76"/>
        <v>21</v>
      </c>
      <c r="G335" t="s">
        <v>649</v>
      </c>
      <c r="H335" t="s">
        <v>658</v>
      </c>
      <c r="I335" t="s">
        <v>693</v>
      </c>
      <c r="J335" t="s">
        <v>702</v>
      </c>
      <c r="K335" t="s">
        <v>711</v>
      </c>
      <c r="L335" t="s">
        <v>722</v>
      </c>
      <c r="M335" t="s">
        <v>733</v>
      </c>
      <c r="N335" t="s">
        <v>1067</v>
      </c>
      <c r="O335" s="29">
        <v>1184.99</v>
      </c>
      <c r="P335" t="str">
        <f>IF(Table1[[#This Row],[UnitPrice]]&lt;=0,"Check","OK")</f>
        <v>OK</v>
      </c>
      <c r="Q335" s="29">
        <f t="shared" si="77"/>
        <v>1154.3399999999999</v>
      </c>
      <c r="R335">
        <v>1154.3399999999999</v>
      </c>
      <c r="S335" s="5">
        <f>IF(Table1[[#This Row],[Discount_Flag]]="Check", MIN(MAX(Table1[[#This Row],[DiscountPct]],0),0.3), Table1[[#This Row],[DiscountPct]])</f>
        <v>2.8000000000000001E-2</v>
      </c>
      <c r="T335" t="str">
        <f>IF(OR(Table1[[#This Row],[DiscountPct]]&lt;0,Table1[[#This Row],[DiscountPct]]&gt;0.3),"Check","OK")</f>
        <v>OK</v>
      </c>
      <c r="U335" s="11">
        <v>2.8000000000000001E-2</v>
      </c>
      <c r="V335" s="15">
        <f t="shared" si="78"/>
        <v>0</v>
      </c>
      <c r="W335" s="11">
        <f t="shared" si="79"/>
        <v>-5.6123424990290764E-2</v>
      </c>
      <c r="X335" s="17">
        <f t="shared" si="80"/>
        <v>5924.95</v>
      </c>
      <c r="Y335" s="17">
        <f t="shared" si="81"/>
        <v>-314.85760000000028</v>
      </c>
      <c r="Z335" s="17">
        <f t="shared" si="82"/>
        <v>5610.0923999999995</v>
      </c>
      <c r="AA335" s="17" t="str">
        <f t="shared" si="83"/>
        <v>Q4-2023</v>
      </c>
      <c r="AB335" s="12" t="str">
        <f t="shared" si="84"/>
        <v>Nov-2023</v>
      </c>
      <c r="AC335" s="12" t="str">
        <f t="shared" si="85"/>
        <v>Medium</v>
      </c>
      <c r="AD335">
        <v>5</v>
      </c>
      <c r="AE335" s="12">
        <f>_xlfn.MINIFS(Table1[MonthDate], Table1[Country], Table1[[#This Row],[Country]])</f>
        <v>44927</v>
      </c>
      <c r="AF335" s="12">
        <f t="shared" si="86"/>
        <v>45231</v>
      </c>
      <c r="AG335">
        <f>AD335*(1 + Scenario_Control!$B$4)</f>
        <v>5.5</v>
      </c>
      <c r="AH335">
        <f>O335*(1 + Scenario_Control!$B$3)</f>
        <v>1244.2395000000001</v>
      </c>
      <c r="AI335">
        <f t="shared" si="87"/>
        <v>1234.2203279999999</v>
      </c>
      <c r="AJ335">
        <f t="shared" si="88"/>
        <v>-5609.0969220000006</v>
      </c>
      <c r="AK335" s="29">
        <f>MIN(Q335*(1-U335), Scenario_Control!$B$2*Q335)</f>
        <v>230.86799999999999</v>
      </c>
      <c r="AL335" s="15">
        <f t="shared" si="89"/>
        <v>0</v>
      </c>
      <c r="AM335" s="8">
        <f>DATEDIF(Table1[[#This Row],[Country_FirstMonth]], Table1[[#This Row],[MonthDate]], "m")</f>
        <v>10</v>
      </c>
    </row>
    <row r="336" spans="1:39" x14ac:dyDescent="0.25">
      <c r="A336" t="s">
        <v>348</v>
      </c>
      <c r="B336" s="12">
        <v>45774</v>
      </c>
      <c r="C336" s="12">
        <f t="shared" si="75"/>
        <v>45804</v>
      </c>
      <c r="D336" s="2" t="str">
        <f>IF(Table1[[#This Row],[RequiredDate]]&lt;Table1[[#This Row],[OrderDate]],"Check","OK")</f>
        <v>OK</v>
      </c>
      <c r="E336" s="2">
        <v>45804</v>
      </c>
      <c r="F336" s="15">
        <f t="shared" si="76"/>
        <v>30</v>
      </c>
      <c r="G336" t="s">
        <v>647</v>
      </c>
      <c r="H336" t="s">
        <v>654</v>
      </c>
      <c r="I336" t="s">
        <v>1425</v>
      </c>
      <c r="J336" t="s">
        <v>706</v>
      </c>
      <c r="K336" t="s">
        <v>709</v>
      </c>
      <c r="L336" t="s">
        <v>722</v>
      </c>
      <c r="M336" t="s">
        <v>730</v>
      </c>
      <c r="N336" t="s">
        <v>1068</v>
      </c>
      <c r="O336" s="29">
        <v>481.32</v>
      </c>
      <c r="P336" t="str">
        <f>IF(Table1[[#This Row],[UnitPrice]]&lt;=0,"Check","OK")</f>
        <v>OK</v>
      </c>
      <c r="Q336" s="29">
        <f t="shared" si="77"/>
        <v>1135.99</v>
      </c>
      <c r="R336">
        <v>1135.99</v>
      </c>
      <c r="S336" s="5">
        <f>IF(Table1[[#This Row],[Discount_Flag]]="Check", MIN(MAX(Table1[[#This Row],[DiscountPct]],0),0.3), Table1[[#This Row],[DiscountPct]])</f>
        <v>0.14499999999999999</v>
      </c>
      <c r="T336" t="str">
        <f>IF(OR(Table1[[#This Row],[DiscountPct]]&lt;0,Table1[[#This Row],[DiscountPct]]&gt;0.3),"Check","OK")</f>
        <v>OK</v>
      </c>
      <c r="U336" s="11">
        <v>0.14499999999999999</v>
      </c>
      <c r="V336" s="15">
        <f t="shared" si="78"/>
        <v>0</v>
      </c>
      <c r="W336" s="11">
        <f t="shared" si="79"/>
        <v>0.50444337677175621</v>
      </c>
      <c r="X336" s="17">
        <f t="shared" si="80"/>
        <v>2406.6</v>
      </c>
      <c r="Y336" s="17">
        <f t="shared" si="81"/>
        <v>2449.7572500000001</v>
      </c>
      <c r="Z336" s="17">
        <f t="shared" si="82"/>
        <v>4856.35725</v>
      </c>
      <c r="AA336" s="17" t="str">
        <f t="shared" si="83"/>
        <v>Q2-2025</v>
      </c>
      <c r="AB336" s="12" t="str">
        <f t="shared" si="84"/>
        <v>Apr-2025</v>
      </c>
      <c r="AC336" s="12" t="str">
        <f t="shared" si="85"/>
        <v>Medium</v>
      </c>
      <c r="AD336">
        <v>5</v>
      </c>
      <c r="AE336" s="12">
        <f>_xlfn.MINIFS(Table1[MonthDate], Table1[Country], Table1[[#This Row],[Country]])</f>
        <v>44927</v>
      </c>
      <c r="AF336" s="12">
        <f t="shared" si="86"/>
        <v>45748</v>
      </c>
      <c r="AG336">
        <f>AD336*(1 + Scenario_Control!$B$4)</f>
        <v>5.5</v>
      </c>
      <c r="AH336">
        <f>O336*(1 + Scenario_Control!$B$3)</f>
        <v>505.38600000000002</v>
      </c>
      <c r="AI336">
        <f t="shared" si="87"/>
        <v>1068.3985949999999</v>
      </c>
      <c r="AJ336">
        <f t="shared" si="88"/>
        <v>-1711.2244050000002</v>
      </c>
      <c r="AK336" s="29">
        <f>MIN(Q336*(1-U336), Scenario_Control!$B$2*Q336)</f>
        <v>227.19800000000001</v>
      </c>
      <c r="AL336" s="15">
        <f t="shared" si="89"/>
        <v>0</v>
      </c>
      <c r="AM336" s="8">
        <f>DATEDIF(Table1[[#This Row],[Country_FirstMonth]], Table1[[#This Row],[MonthDate]], "m")</f>
        <v>27</v>
      </c>
    </row>
    <row r="337" spans="1:39" x14ac:dyDescent="0.25">
      <c r="A337" t="s">
        <v>349</v>
      </c>
      <c r="B337" s="12">
        <v>45391</v>
      </c>
      <c r="C337" s="12">
        <f t="shared" si="75"/>
        <v>45400</v>
      </c>
      <c r="D337" s="2" t="str">
        <f>IF(Table1[[#This Row],[RequiredDate]]&lt;Table1[[#This Row],[OrderDate]],"Check","OK")</f>
        <v>OK</v>
      </c>
      <c r="E337" s="2">
        <v>45400</v>
      </c>
      <c r="F337" s="15">
        <f t="shared" si="76"/>
        <v>9</v>
      </c>
      <c r="G337" t="s">
        <v>649</v>
      </c>
      <c r="H337" t="s">
        <v>657</v>
      </c>
      <c r="I337" t="s">
        <v>679</v>
      </c>
      <c r="J337" t="s">
        <v>704</v>
      </c>
      <c r="K337" t="s">
        <v>708</v>
      </c>
      <c r="L337" t="s">
        <v>718</v>
      </c>
      <c r="M337" t="s">
        <v>728</v>
      </c>
      <c r="N337" t="s">
        <v>1069</v>
      </c>
      <c r="O337" s="29">
        <v>1288.8499999999999</v>
      </c>
      <c r="P337" t="str">
        <f>IF(Table1[[#This Row],[UnitPrice]]&lt;=0,"Check","OK")</f>
        <v>OK</v>
      </c>
      <c r="Q337" s="29">
        <f t="shared" si="77"/>
        <v>2751.84</v>
      </c>
      <c r="R337">
        <v>2751.84</v>
      </c>
      <c r="S337" s="5">
        <f>IF(Table1[[#This Row],[Discount_Flag]]="Check", MIN(MAX(Table1[[#This Row],[DiscountPct]],0),0.3), Table1[[#This Row],[DiscountPct]])</f>
        <v>0.158</v>
      </c>
      <c r="T337" t="str">
        <f>IF(OR(Table1[[#This Row],[DiscountPct]]&lt;0,Table1[[#This Row],[DiscountPct]]&gt;0.3),"Check","OK")</f>
        <v>OK</v>
      </c>
      <c r="U337" s="11">
        <v>0.158</v>
      </c>
      <c r="V337" s="15">
        <f t="shared" si="78"/>
        <v>0</v>
      </c>
      <c r="W337" s="11">
        <f t="shared" si="79"/>
        <v>0.44375373837538756</v>
      </c>
      <c r="X337" s="17">
        <f t="shared" si="80"/>
        <v>9021.9499999999989</v>
      </c>
      <c r="Y337" s="17">
        <f t="shared" si="81"/>
        <v>7197.3949600000014</v>
      </c>
      <c r="Z337" s="17">
        <f t="shared" si="82"/>
        <v>16219.34496</v>
      </c>
      <c r="AA337" s="17" t="str">
        <f t="shared" si="83"/>
        <v>Q2-2024</v>
      </c>
      <c r="AB337" s="12" t="str">
        <f t="shared" si="84"/>
        <v>Apr-2024</v>
      </c>
      <c r="AC337" s="12" t="str">
        <f t="shared" si="85"/>
        <v>High</v>
      </c>
      <c r="AD337">
        <v>7</v>
      </c>
      <c r="AE337" s="12">
        <f>_xlfn.MINIFS(Table1[MonthDate], Table1[Country], Table1[[#This Row],[Country]])</f>
        <v>44927</v>
      </c>
      <c r="AF337" s="12">
        <f t="shared" si="86"/>
        <v>45383</v>
      </c>
      <c r="AG337">
        <f>AD337*(1 + Scenario_Control!$B$4)</f>
        <v>7.7000000000000011</v>
      </c>
      <c r="AH337">
        <f>O337*(1 + Scenario_Control!$B$3)</f>
        <v>1353.2925</v>
      </c>
      <c r="AI337">
        <f t="shared" si="87"/>
        <v>3568.2558912000004</v>
      </c>
      <c r="AJ337">
        <f t="shared" si="88"/>
        <v>-6852.0963588000013</v>
      </c>
      <c r="AK337" s="29">
        <f>MIN(Q337*(1-U337), Scenario_Control!$B$2*Q337)</f>
        <v>550.36800000000005</v>
      </c>
      <c r="AL337" s="15">
        <f t="shared" si="89"/>
        <v>0</v>
      </c>
      <c r="AM337" s="8">
        <f>DATEDIF(Table1[[#This Row],[Country_FirstMonth]], Table1[[#This Row],[MonthDate]], "m")</f>
        <v>15</v>
      </c>
    </row>
    <row r="338" spans="1:39" x14ac:dyDescent="0.25">
      <c r="A338" t="s">
        <v>350</v>
      </c>
      <c r="B338" s="12">
        <v>45484</v>
      </c>
      <c r="C338" s="12">
        <f t="shared" si="75"/>
        <v>45504</v>
      </c>
      <c r="D338" s="2" t="str">
        <f>IF(Table1[[#This Row],[RequiredDate]]&lt;Table1[[#This Row],[OrderDate]],"Check","OK")</f>
        <v>OK</v>
      </c>
      <c r="E338" s="2">
        <v>45504</v>
      </c>
      <c r="F338" s="15">
        <f t="shared" si="76"/>
        <v>20</v>
      </c>
      <c r="G338" t="s">
        <v>647</v>
      </c>
      <c r="H338" t="s">
        <v>659</v>
      </c>
      <c r="I338" t="s">
        <v>676</v>
      </c>
      <c r="J338" t="s">
        <v>704</v>
      </c>
      <c r="K338" t="s">
        <v>708</v>
      </c>
      <c r="L338" t="s">
        <v>715</v>
      </c>
      <c r="M338" t="s">
        <v>730</v>
      </c>
      <c r="N338" t="s">
        <v>1070</v>
      </c>
      <c r="O338" s="29">
        <v>647.26</v>
      </c>
      <c r="P338" t="str">
        <f>IF(Table1[[#This Row],[UnitPrice]]&lt;=0,"Check","OK")</f>
        <v>OK</v>
      </c>
      <c r="Q338" s="29">
        <f t="shared" si="77"/>
        <v>1374.72</v>
      </c>
      <c r="R338">
        <v>1374.72</v>
      </c>
      <c r="S338" s="5">
        <f>IF(Table1[[#This Row],[Discount_Flag]]="Check", MIN(MAX(Table1[[#This Row],[DiscountPct]],0),0.3), Table1[[#This Row],[DiscountPct]])</f>
        <v>6.6000000000000003E-2</v>
      </c>
      <c r="T338" t="str">
        <f>IF(OR(Table1[[#This Row],[DiscountPct]]&lt;0,Table1[[#This Row],[DiscountPct]]&gt;0.3),"Check","OK")</f>
        <v>OK</v>
      </c>
      <c r="U338" s="11">
        <v>6.6000000000000003E-2</v>
      </c>
      <c r="V338" s="15">
        <f t="shared" si="78"/>
        <v>0</v>
      </c>
      <c r="W338" s="11">
        <f t="shared" si="79"/>
        <v>0.49589890401508901</v>
      </c>
      <c r="X338" s="17">
        <f t="shared" si="80"/>
        <v>14239.72</v>
      </c>
      <c r="Y338" s="17">
        <f t="shared" si="81"/>
        <v>14008.02656</v>
      </c>
      <c r="Z338" s="17">
        <f t="shared" si="82"/>
        <v>28247.74656</v>
      </c>
      <c r="AA338" s="17" t="str">
        <f t="shared" si="83"/>
        <v>Q3-2024</v>
      </c>
      <c r="AB338" s="12" t="str">
        <f t="shared" si="84"/>
        <v>Jul-2024</v>
      </c>
      <c r="AC338" s="12" t="str">
        <f t="shared" si="85"/>
        <v>Medium</v>
      </c>
      <c r="AD338">
        <v>22</v>
      </c>
      <c r="AE338" s="12">
        <f>_xlfn.MINIFS(Table1[MonthDate], Table1[Country], Table1[[#This Row],[Country]])</f>
        <v>44927</v>
      </c>
      <c r="AF338" s="12">
        <f t="shared" si="86"/>
        <v>45474</v>
      </c>
      <c r="AG338">
        <f>AD338*(1 + Scenario_Control!$B$4)</f>
        <v>24.200000000000003</v>
      </c>
      <c r="AH338">
        <f>O338*(1 + Scenario_Control!$B$3)</f>
        <v>679.62300000000005</v>
      </c>
      <c r="AI338">
        <f t="shared" si="87"/>
        <v>6214.5042432000009</v>
      </c>
      <c r="AJ338">
        <f t="shared" si="88"/>
        <v>-10232.372356800002</v>
      </c>
      <c r="AK338" s="29">
        <f>MIN(Q338*(1-U338), Scenario_Control!$B$2*Q338)</f>
        <v>274.94400000000002</v>
      </c>
      <c r="AL338" s="15">
        <f t="shared" si="89"/>
        <v>0</v>
      </c>
      <c r="AM338" s="8">
        <f>DATEDIF(Table1[[#This Row],[Country_FirstMonth]], Table1[[#This Row],[MonthDate]], "m")</f>
        <v>18</v>
      </c>
    </row>
    <row r="339" spans="1:39" x14ac:dyDescent="0.25">
      <c r="A339" t="s">
        <v>351</v>
      </c>
      <c r="B339" s="12">
        <v>45340</v>
      </c>
      <c r="C339" s="12">
        <f t="shared" si="75"/>
        <v>45354</v>
      </c>
      <c r="D339" s="2" t="str">
        <f>IF(Table1[[#This Row],[RequiredDate]]&lt;Table1[[#This Row],[OrderDate]],"Check","OK")</f>
        <v>OK</v>
      </c>
      <c r="E339" s="2">
        <v>45354</v>
      </c>
      <c r="F339" s="15">
        <f t="shared" si="76"/>
        <v>14</v>
      </c>
      <c r="G339" t="s">
        <v>648</v>
      </c>
      <c r="H339" t="s">
        <v>655</v>
      </c>
      <c r="I339" t="s">
        <v>1425</v>
      </c>
      <c r="J339" t="s">
        <v>706</v>
      </c>
      <c r="K339" t="s">
        <v>710</v>
      </c>
      <c r="L339" t="s">
        <v>720</v>
      </c>
      <c r="M339" t="s">
        <v>728</v>
      </c>
      <c r="N339" t="s">
        <v>1071</v>
      </c>
      <c r="O339" s="29">
        <v>624.23</v>
      </c>
      <c r="P339" t="str">
        <f>IF(Table1[[#This Row],[UnitPrice]]&lt;=0,"Check","OK")</f>
        <v>OK</v>
      </c>
      <c r="Q339" s="29">
        <f t="shared" si="77"/>
        <v>1318.37</v>
      </c>
      <c r="R339">
        <v>1318.37</v>
      </c>
      <c r="S339" s="5">
        <f>IF(Table1[[#This Row],[Discount_Flag]]="Check", MIN(MAX(Table1[[#This Row],[DiscountPct]],0),0.3), Table1[[#This Row],[DiscountPct]])</f>
        <v>0.21</v>
      </c>
      <c r="T339" t="str">
        <f>IF(OR(Table1[[#This Row],[DiscountPct]]&lt;0,Table1[[#This Row],[DiscountPct]]&gt;0.3),"Check","OK")</f>
        <v>OK</v>
      </c>
      <c r="U339" s="11">
        <v>0.21</v>
      </c>
      <c r="V339" s="15">
        <f t="shared" si="78"/>
        <v>1</v>
      </c>
      <c r="W339" s="11">
        <f t="shared" si="79"/>
        <v>0.40065038118128793</v>
      </c>
      <c r="X339" s="17">
        <f t="shared" si="80"/>
        <v>23096.510000000002</v>
      </c>
      <c r="Y339" s="17">
        <f t="shared" si="81"/>
        <v>15439.445099999997</v>
      </c>
      <c r="Z339" s="17">
        <f t="shared" si="82"/>
        <v>38535.955099999999</v>
      </c>
      <c r="AA339" s="17" t="str">
        <f t="shared" si="83"/>
        <v>Q1-2024</v>
      </c>
      <c r="AB339" s="12" t="str">
        <f t="shared" si="84"/>
        <v>Feb-2024</v>
      </c>
      <c r="AC339" s="12" t="str">
        <f t="shared" si="85"/>
        <v>Medium</v>
      </c>
      <c r="AD339">
        <v>37</v>
      </c>
      <c r="AE339" s="12">
        <f>_xlfn.MINIFS(Table1[MonthDate], Table1[Country], Table1[[#This Row],[Country]])</f>
        <v>44927</v>
      </c>
      <c r="AF339" s="12">
        <f t="shared" si="86"/>
        <v>45323</v>
      </c>
      <c r="AG339">
        <f>AD339*(1 + Scenario_Control!$B$4)</f>
        <v>40.700000000000003</v>
      </c>
      <c r="AH339">
        <f>O339*(1 + Scenario_Control!$B$3)</f>
        <v>655.44150000000002</v>
      </c>
      <c r="AI339">
        <f t="shared" si="87"/>
        <v>8477.9101220000011</v>
      </c>
      <c r="AJ339">
        <f t="shared" si="88"/>
        <v>-18198.558928000002</v>
      </c>
      <c r="AK339" s="29">
        <f>MIN(Q339*(1-U339), Scenario_Control!$B$2*Q339)</f>
        <v>263.67399999999998</v>
      </c>
      <c r="AL339" s="15">
        <f t="shared" si="89"/>
        <v>0</v>
      </c>
      <c r="AM339" s="8">
        <f>DATEDIF(Table1[[#This Row],[Country_FirstMonth]], Table1[[#This Row],[MonthDate]], "m")</f>
        <v>13</v>
      </c>
    </row>
    <row r="340" spans="1:39" x14ac:dyDescent="0.25">
      <c r="A340" t="s">
        <v>352</v>
      </c>
      <c r="B340" s="12">
        <v>45132</v>
      </c>
      <c r="C340" s="12">
        <f t="shared" si="75"/>
        <v>45148</v>
      </c>
      <c r="D340" s="2" t="str">
        <f>IF(Table1[[#This Row],[RequiredDate]]&lt;Table1[[#This Row],[OrderDate]],"Check","OK")</f>
        <v>OK</v>
      </c>
      <c r="E340" s="2">
        <v>45148</v>
      </c>
      <c r="F340" s="15">
        <f t="shared" si="76"/>
        <v>16</v>
      </c>
      <c r="G340" t="s">
        <v>646</v>
      </c>
      <c r="H340" t="s">
        <v>651</v>
      </c>
      <c r="I340" t="s">
        <v>663</v>
      </c>
      <c r="J340" t="s">
        <v>701</v>
      </c>
      <c r="K340" t="s">
        <v>710</v>
      </c>
      <c r="L340" t="s">
        <v>714</v>
      </c>
      <c r="M340" t="s">
        <v>733</v>
      </c>
      <c r="N340" t="s">
        <v>1072</v>
      </c>
      <c r="O340" s="29">
        <v>506.83</v>
      </c>
      <c r="P340" t="str">
        <f>IF(Table1[[#This Row],[UnitPrice]]&lt;=0,"Check","OK")</f>
        <v>OK</v>
      </c>
      <c r="Q340" s="29">
        <f t="shared" si="77"/>
        <v>441.74</v>
      </c>
      <c r="R340">
        <v>441.74</v>
      </c>
      <c r="S340" s="5">
        <f>IF(Table1[[#This Row],[Discount_Flag]]="Check", MIN(MAX(Table1[[#This Row],[DiscountPct]],0),0.3), Table1[[#This Row],[DiscountPct]])</f>
        <v>0.24</v>
      </c>
      <c r="T340" t="str">
        <f>IF(OR(Table1[[#This Row],[DiscountPct]]&lt;0,Table1[[#This Row],[DiscountPct]]&gt;0.3),"Check","OK")</f>
        <v>OK</v>
      </c>
      <c r="U340" s="11">
        <v>0.24</v>
      </c>
      <c r="V340" s="15">
        <f t="shared" si="78"/>
        <v>1</v>
      </c>
      <c r="W340" s="11">
        <f t="shared" si="79"/>
        <v>-0.50966989393618067</v>
      </c>
      <c r="X340" s="17">
        <f t="shared" si="80"/>
        <v>4561.47</v>
      </c>
      <c r="Y340" s="17">
        <f t="shared" si="81"/>
        <v>-1539.9684000000002</v>
      </c>
      <c r="Z340" s="17">
        <f t="shared" si="82"/>
        <v>3021.5016000000001</v>
      </c>
      <c r="AA340" s="17" t="str">
        <f t="shared" si="83"/>
        <v>Q3-2023</v>
      </c>
      <c r="AB340" s="12" t="str">
        <f t="shared" si="84"/>
        <v>Jul-2023</v>
      </c>
      <c r="AC340" s="12" t="str">
        <f t="shared" si="85"/>
        <v>Low</v>
      </c>
      <c r="AD340">
        <v>9</v>
      </c>
      <c r="AE340" s="12">
        <f>_xlfn.MINIFS(Table1[MonthDate], Table1[Country], Table1[[#This Row],[Country]])</f>
        <v>44927</v>
      </c>
      <c r="AF340" s="12">
        <f t="shared" si="86"/>
        <v>45108</v>
      </c>
      <c r="AG340">
        <f>AD340*(1 + Scenario_Control!$B$4)</f>
        <v>9.9</v>
      </c>
      <c r="AH340">
        <f>O340*(1 + Scenario_Control!$B$3)</f>
        <v>532.17150000000004</v>
      </c>
      <c r="AI340">
        <f t="shared" si="87"/>
        <v>664.73035200000015</v>
      </c>
      <c r="AJ340">
        <f t="shared" si="88"/>
        <v>-4603.7674980000002</v>
      </c>
      <c r="AK340" s="29">
        <f>MIN(Q340*(1-U340), Scenario_Control!$B$2*Q340)</f>
        <v>88.348000000000013</v>
      </c>
      <c r="AL340" s="15">
        <f t="shared" si="89"/>
        <v>0</v>
      </c>
      <c r="AM340" s="8">
        <f>DATEDIF(Table1[[#This Row],[Country_FirstMonth]], Table1[[#This Row],[MonthDate]], "m")</f>
        <v>6</v>
      </c>
    </row>
    <row r="341" spans="1:39" x14ac:dyDescent="0.25">
      <c r="A341" t="s">
        <v>353</v>
      </c>
      <c r="B341" s="12">
        <v>45121</v>
      </c>
      <c r="C341" s="12">
        <f t="shared" si="75"/>
        <v>45128</v>
      </c>
      <c r="D341" s="2" t="str">
        <f>IF(Table1[[#This Row],[RequiredDate]]&lt;Table1[[#This Row],[OrderDate]],"Check","OK")</f>
        <v>OK</v>
      </c>
      <c r="E341" s="2">
        <v>45128</v>
      </c>
      <c r="F341" s="15">
        <f t="shared" si="76"/>
        <v>7</v>
      </c>
      <c r="G341" t="s">
        <v>646</v>
      </c>
      <c r="H341" t="s">
        <v>661</v>
      </c>
      <c r="I341" t="s">
        <v>687</v>
      </c>
      <c r="J341" t="s">
        <v>706</v>
      </c>
      <c r="K341" t="s">
        <v>709</v>
      </c>
      <c r="L341" t="s">
        <v>1430</v>
      </c>
      <c r="M341" t="s">
        <v>732</v>
      </c>
      <c r="N341" t="s">
        <v>1073</v>
      </c>
      <c r="O341" s="29">
        <v>620.74</v>
      </c>
      <c r="P341" t="str">
        <f>IF(Table1[[#This Row],[UnitPrice]]&lt;=0,"Check","OK")</f>
        <v>OK</v>
      </c>
      <c r="Q341" s="29">
        <f t="shared" si="77"/>
        <v>1330.07</v>
      </c>
      <c r="R341">
        <v>1330.07</v>
      </c>
      <c r="S341" s="5">
        <f>IF(Table1[[#This Row],[Discount_Flag]]="Check", MIN(MAX(Table1[[#This Row],[DiscountPct]],0),0.3), Table1[[#This Row],[DiscountPct]])</f>
        <v>0.29899999999999999</v>
      </c>
      <c r="T341" t="str">
        <f>IF(OR(Table1[[#This Row],[DiscountPct]]&lt;0,Table1[[#This Row],[DiscountPct]]&gt;0.3),"Check","OK")</f>
        <v>OK</v>
      </c>
      <c r="U341" s="11">
        <v>0.29899999999999999</v>
      </c>
      <c r="V341" s="15">
        <f t="shared" si="78"/>
        <v>1</v>
      </c>
      <c r="W341" s="11">
        <f t="shared" si="79"/>
        <v>0.33424073965967516</v>
      </c>
      <c r="X341" s="17">
        <f t="shared" si="80"/>
        <v>17380.72</v>
      </c>
      <c r="Y341" s="17">
        <f t="shared" si="81"/>
        <v>8725.8939600000012</v>
      </c>
      <c r="Z341" s="17">
        <f t="shared" si="82"/>
        <v>26106.613960000002</v>
      </c>
      <c r="AA341" s="17" t="str">
        <f t="shared" si="83"/>
        <v>Q3-2023</v>
      </c>
      <c r="AB341" s="12" t="str">
        <f t="shared" si="84"/>
        <v>Jul-2023</v>
      </c>
      <c r="AC341" s="12" t="str">
        <f t="shared" si="85"/>
        <v>Medium</v>
      </c>
      <c r="AD341">
        <v>28</v>
      </c>
      <c r="AE341" s="12">
        <f>_xlfn.MINIFS(Table1[MonthDate], Table1[Country], Table1[[#This Row],[Country]])</f>
        <v>44927</v>
      </c>
      <c r="AF341" s="12">
        <f t="shared" si="86"/>
        <v>45108</v>
      </c>
      <c r="AG341">
        <f>AD341*(1 + Scenario_Control!$B$4)</f>
        <v>30.800000000000004</v>
      </c>
      <c r="AH341">
        <f>O341*(1 + Scenario_Control!$B$3)</f>
        <v>651.77700000000004</v>
      </c>
      <c r="AI341">
        <f t="shared" si="87"/>
        <v>5743.4550712000018</v>
      </c>
      <c r="AJ341">
        <f t="shared" si="88"/>
        <v>-14331.276528800001</v>
      </c>
      <c r="AK341" s="29">
        <f>MIN(Q341*(1-U341), Scenario_Control!$B$2*Q341)</f>
        <v>266.01400000000001</v>
      </c>
      <c r="AL341" s="15">
        <f t="shared" si="89"/>
        <v>1</v>
      </c>
      <c r="AM341" s="8">
        <f>DATEDIF(Table1[[#This Row],[Country_FirstMonth]], Table1[[#This Row],[MonthDate]], "m")</f>
        <v>6</v>
      </c>
    </row>
    <row r="342" spans="1:39" x14ac:dyDescent="0.25">
      <c r="A342" t="s">
        <v>354</v>
      </c>
      <c r="B342" s="12">
        <v>45131</v>
      </c>
      <c r="C342" s="12">
        <f t="shared" si="75"/>
        <v>45157</v>
      </c>
      <c r="D342" s="2" t="str">
        <f>IF(Table1[[#This Row],[RequiredDate]]&lt;Table1[[#This Row],[OrderDate]],"Check","OK")</f>
        <v>OK</v>
      </c>
      <c r="E342" s="2">
        <v>45157</v>
      </c>
      <c r="F342" s="15">
        <f t="shared" si="76"/>
        <v>26</v>
      </c>
      <c r="G342" t="s">
        <v>646</v>
      </c>
      <c r="H342" t="s">
        <v>650</v>
      </c>
      <c r="I342" t="s">
        <v>664</v>
      </c>
      <c r="J342" t="s">
        <v>706</v>
      </c>
      <c r="K342" t="s">
        <v>710</v>
      </c>
      <c r="L342" t="s">
        <v>724</v>
      </c>
      <c r="M342" t="s">
        <v>733</v>
      </c>
      <c r="N342" t="s">
        <v>1074</v>
      </c>
      <c r="O342" s="29">
        <v>661.45</v>
      </c>
      <c r="P342" t="str">
        <f>IF(Table1[[#This Row],[UnitPrice]]&lt;=0,"Check","OK")</f>
        <v>OK</v>
      </c>
      <c r="Q342" s="29">
        <f t="shared" si="77"/>
        <v>1634.86</v>
      </c>
      <c r="R342">
        <v>1634.86</v>
      </c>
      <c r="S342" s="5">
        <f>IF(Table1[[#This Row],[Discount_Flag]]="Check", MIN(MAX(Table1[[#This Row],[DiscountPct]],0),0.3), Table1[[#This Row],[DiscountPct]])</f>
        <v>0.3</v>
      </c>
      <c r="T342" t="str">
        <f>IF(OR(Table1[[#This Row],[DiscountPct]]&lt;0,Table1[[#This Row],[DiscountPct]]&gt;0.3),"Check","OK")</f>
        <v>Check</v>
      </c>
      <c r="U342" s="11">
        <v>0.56499999999999995</v>
      </c>
      <c r="V342" s="15">
        <f t="shared" si="78"/>
        <v>1</v>
      </c>
      <c r="W342" s="11">
        <f t="shared" si="79"/>
        <v>0.42201254454291404</v>
      </c>
      <c r="X342" s="17">
        <f t="shared" si="80"/>
        <v>15874.800000000001</v>
      </c>
      <c r="Y342" s="17">
        <f t="shared" si="81"/>
        <v>11590.847999999996</v>
      </c>
      <c r="Z342" s="17">
        <f t="shared" si="82"/>
        <v>27465.647999999997</v>
      </c>
      <c r="AA342" s="17" t="str">
        <f t="shared" si="83"/>
        <v>Q3-2023</v>
      </c>
      <c r="AB342" s="12" t="str">
        <f t="shared" si="84"/>
        <v>Jul-2023</v>
      </c>
      <c r="AC342" s="12" t="str">
        <f t="shared" si="85"/>
        <v>Medium</v>
      </c>
      <c r="AD342">
        <v>24</v>
      </c>
      <c r="AE342" s="12">
        <f>_xlfn.MINIFS(Table1[MonthDate], Table1[Country], Table1[[#This Row],[Country]])</f>
        <v>44927</v>
      </c>
      <c r="AF342" s="12">
        <f t="shared" si="86"/>
        <v>45108</v>
      </c>
      <c r="AG342">
        <f>AD342*(1 + Scenario_Control!$B$4)</f>
        <v>26.400000000000002</v>
      </c>
      <c r="AH342">
        <f>O342*(1 + Scenario_Control!$B$3)</f>
        <v>694.52250000000004</v>
      </c>
      <c r="AI342">
        <f t="shared" si="87"/>
        <v>3754.9464480000001</v>
      </c>
      <c r="AJ342">
        <f t="shared" si="88"/>
        <v>-14580.447552000003</v>
      </c>
      <c r="AK342" s="29">
        <f>MIN(Q342*(1-U342), Scenario_Control!$B$2*Q342)</f>
        <v>326.97199999999998</v>
      </c>
      <c r="AL342" s="15">
        <f t="shared" si="89"/>
        <v>0</v>
      </c>
      <c r="AM342" s="8">
        <f>DATEDIF(Table1[[#This Row],[Country_FirstMonth]], Table1[[#This Row],[MonthDate]], "m")</f>
        <v>6</v>
      </c>
    </row>
    <row r="343" spans="1:39" x14ac:dyDescent="0.25">
      <c r="A343" t="s">
        <v>355</v>
      </c>
      <c r="B343" s="12">
        <v>45029</v>
      </c>
      <c r="C343" s="12">
        <f t="shared" si="75"/>
        <v>45036</v>
      </c>
      <c r="D343" s="2" t="str">
        <f>IF(Table1[[#This Row],[RequiredDate]]&lt;Table1[[#This Row],[OrderDate]],"Check","OK")</f>
        <v>Check</v>
      </c>
      <c r="E343" s="2">
        <v>45027</v>
      </c>
      <c r="F343" s="15">
        <f t="shared" si="76"/>
        <v>7</v>
      </c>
      <c r="G343" t="s">
        <v>648</v>
      </c>
      <c r="H343" t="s">
        <v>660</v>
      </c>
      <c r="I343" t="s">
        <v>686</v>
      </c>
      <c r="J343" t="s">
        <v>702</v>
      </c>
      <c r="K343" t="s">
        <v>709</v>
      </c>
      <c r="L343" t="s">
        <v>715</v>
      </c>
      <c r="M343" t="s">
        <v>729</v>
      </c>
      <c r="N343" t="s">
        <v>1075</v>
      </c>
      <c r="O343" s="29">
        <v>32.1</v>
      </c>
      <c r="P343" t="str">
        <f>IF(Table1[[#This Row],[UnitPrice]]&lt;=0,"Check","OK")</f>
        <v>OK</v>
      </c>
      <c r="Q343" s="29">
        <f t="shared" si="77"/>
        <v>70.599999999999994</v>
      </c>
      <c r="R343">
        <v>70.599999999999994</v>
      </c>
      <c r="S343" s="5">
        <f>IF(Table1[[#This Row],[Discount_Flag]]="Check", MIN(MAX(Table1[[#This Row],[DiscountPct]],0),0.3), Table1[[#This Row],[DiscountPct]])</f>
        <v>0.28199999999999997</v>
      </c>
      <c r="T343" t="str">
        <f>IF(OR(Table1[[#This Row],[DiscountPct]]&lt;0,Table1[[#This Row],[DiscountPct]]&gt;0.3),"Check","OK")</f>
        <v>OK</v>
      </c>
      <c r="U343" s="11">
        <v>0.28199999999999997</v>
      </c>
      <c r="V343" s="15">
        <f t="shared" si="78"/>
        <v>1</v>
      </c>
      <c r="W343" s="11">
        <f t="shared" si="79"/>
        <v>0.36674899587301818</v>
      </c>
      <c r="X343" s="17">
        <f t="shared" si="80"/>
        <v>706.2</v>
      </c>
      <c r="Y343" s="17">
        <f t="shared" si="81"/>
        <v>408.99759999999969</v>
      </c>
      <c r="Z343" s="17">
        <f t="shared" si="82"/>
        <v>1115.1975999999997</v>
      </c>
      <c r="AA343" s="17" t="str">
        <f t="shared" si="83"/>
        <v>Q2-2023</v>
      </c>
      <c r="AB343" s="12" t="str">
        <f t="shared" si="84"/>
        <v>Apr-2023</v>
      </c>
      <c r="AC343" s="12" t="str">
        <f t="shared" si="85"/>
        <v>Low</v>
      </c>
      <c r="AD343">
        <v>22</v>
      </c>
      <c r="AE343" s="12">
        <f>_xlfn.MINIFS(Table1[MonthDate], Table1[Country], Table1[[#This Row],[Country]])</f>
        <v>44927</v>
      </c>
      <c r="AF343" s="12">
        <f t="shared" si="86"/>
        <v>45017</v>
      </c>
      <c r="AG343">
        <f>AD343*(1 + Scenario_Control!$B$4)</f>
        <v>24.200000000000003</v>
      </c>
      <c r="AH343">
        <f>O343*(1 + Scenario_Control!$B$3)</f>
        <v>33.705000000000005</v>
      </c>
      <c r="AI343">
        <f t="shared" si="87"/>
        <v>245.34347199999999</v>
      </c>
      <c r="AJ343">
        <f t="shared" si="88"/>
        <v>-570.31752800000015</v>
      </c>
      <c r="AK343" s="29">
        <f>MIN(Q343*(1-U343), Scenario_Control!$B$2*Q343)</f>
        <v>14.12</v>
      </c>
      <c r="AL343" s="15">
        <f t="shared" si="89"/>
        <v>1</v>
      </c>
      <c r="AM343" s="8">
        <f>DATEDIF(Table1[[#This Row],[Country_FirstMonth]], Table1[[#This Row],[MonthDate]], "m")</f>
        <v>3</v>
      </c>
    </row>
    <row r="344" spans="1:39" x14ac:dyDescent="0.25">
      <c r="A344" t="s">
        <v>356</v>
      </c>
      <c r="B344" s="12">
        <v>45594</v>
      </c>
      <c r="C344" s="12">
        <f t="shared" si="75"/>
        <v>45600</v>
      </c>
      <c r="D344" s="2" t="str">
        <f>IF(Table1[[#This Row],[RequiredDate]]&lt;Table1[[#This Row],[OrderDate]],"Check","OK")</f>
        <v>OK</v>
      </c>
      <c r="E344" s="2">
        <v>45600</v>
      </c>
      <c r="F344" s="15">
        <f t="shared" si="76"/>
        <v>6</v>
      </c>
      <c r="G344" t="s">
        <v>646</v>
      </c>
      <c r="H344" t="s">
        <v>650</v>
      </c>
      <c r="I344" t="s">
        <v>664</v>
      </c>
      <c r="J344" t="s">
        <v>701</v>
      </c>
      <c r="K344" t="s">
        <v>710</v>
      </c>
      <c r="L344" t="s">
        <v>724</v>
      </c>
      <c r="M344" t="s">
        <v>728</v>
      </c>
      <c r="N344" t="s">
        <v>1076</v>
      </c>
      <c r="O344" s="29">
        <v>805.81</v>
      </c>
      <c r="P344" t="str">
        <f>IF(Table1[[#This Row],[UnitPrice]]&lt;=0,"Check","OK")</f>
        <v>OK</v>
      </c>
      <c r="Q344" s="29">
        <f t="shared" si="77"/>
        <v>1823.04</v>
      </c>
      <c r="R344">
        <v>1823.04</v>
      </c>
      <c r="S344" s="5">
        <f>IF(Table1[[#This Row],[Discount_Flag]]="Check", MIN(MAX(Table1[[#This Row],[DiscountPct]],0),0.3), Table1[[#This Row],[DiscountPct]])</f>
        <v>0</v>
      </c>
      <c r="T344" t="str">
        <f>IF(OR(Table1[[#This Row],[DiscountPct]]&lt;0,Table1[[#This Row],[DiscountPct]]&gt;0.3),"Check","OK")</f>
        <v>OK</v>
      </c>
      <c r="U344" s="11">
        <v>0</v>
      </c>
      <c r="V344" s="15">
        <f t="shared" si="78"/>
        <v>0</v>
      </c>
      <c r="W344" s="11">
        <f t="shared" si="79"/>
        <v>0.55798556257679477</v>
      </c>
      <c r="X344" s="17">
        <f t="shared" si="80"/>
        <v>8863.91</v>
      </c>
      <c r="Y344" s="17">
        <f t="shared" si="81"/>
        <v>11189.529999999999</v>
      </c>
      <c r="Z344" s="17">
        <f t="shared" si="82"/>
        <v>20053.439999999999</v>
      </c>
      <c r="AA344" s="17" t="str">
        <f t="shared" si="83"/>
        <v>Q4-2024</v>
      </c>
      <c r="AB344" s="12" t="str">
        <f t="shared" si="84"/>
        <v>Oct-2024</v>
      </c>
      <c r="AC344" s="12" t="str">
        <f t="shared" si="85"/>
        <v>Medium</v>
      </c>
      <c r="AD344">
        <v>11</v>
      </c>
      <c r="AE344" s="12">
        <f>_xlfn.MINIFS(Table1[MonthDate], Table1[Country], Table1[[#This Row],[Country]])</f>
        <v>44927</v>
      </c>
      <c r="AF344" s="12">
        <f t="shared" si="86"/>
        <v>45566</v>
      </c>
      <c r="AG344">
        <f>AD344*(1 + Scenario_Control!$B$4)</f>
        <v>12.100000000000001</v>
      </c>
      <c r="AH344">
        <f>O344*(1 + Scenario_Control!$B$3)</f>
        <v>846.10050000000001</v>
      </c>
      <c r="AI344">
        <f t="shared" si="87"/>
        <v>4411.756800000001</v>
      </c>
      <c r="AJ344">
        <f t="shared" si="88"/>
        <v>-5826.0592500000002</v>
      </c>
      <c r="AK344" s="29">
        <f>MIN(Q344*(1-U344), Scenario_Control!$B$2*Q344)</f>
        <v>364.608</v>
      </c>
      <c r="AL344" s="15">
        <f t="shared" si="89"/>
        <v>1</v>
      </c>
      <c r="AM344" s="8">
        <f>DATEDIF(Table1[[#This Row],[Country_FirstMonth]], Table1[[#This Row],[MonthDate]], "m")</f>
        <v>21</v>
      </c>
    </row>
    <row r="345" spans="1:39" x14ac:dyDescent="0.25">
      <c r="A345" t="s">
        <v>357</v>
      </c>
      <c r="B345" s="12">
        <v>45339</v>
      </c>
      <c r="C345" s="12">
        <f t="shared" si="75"/>
        <v>45355</v>
      </c>
      <c r="D345" s="2" t="str">
        <f>IF(Table1[[#This Row],[RequiredDate]]&lt;Table1[[#This Row],[OrderDate]],"Check","OK")</f>
        <v>OK</v>
      </c>
      <c r="E345" s="2">
        <v>45355</v>
      </c>
      <c r="F345" s="15">
        <f t="shared" si="76"/>
        <v>16</v>
      </c>
      <c r="G345" t="s">
        <v>647</v>
      </c>
      <c r="H345" t="s">
        <v>654</v>
      </c>
      <c r="I345" t="s">
        <v>680</v>
      </c>
      <c r="J345" t="s">
        <v>705</v>
      </c>
      <c r="K345" t="s">
        <v>709</v>
      </c>
      <c r="L345" t="s">
        <v>721</v>
      </c>
      <c r="M345" t="s">
        <v>730</v>
      </c>
      <c r="N345" t="s">
        <v>1077</v>
      </c>
      <c r="O345" s="29">
        <v>1231.8</v>
      </c>
      <c r="P345" t="str">
        <f>IF(Table1[[#This Row],[UnitPrice]]&lt;=0,"Check","OK")</f>
        <v>OK</v>
      </c>
      <c r="Q345" s="29">
        <f t="shared" si="77"/>
        <v>2015.99</v>
      </c>
      <c r="R345">
        <v>2015.99</v>
      </c>
      <c r="S345" s="5">
        <f>IF(Table1[[#This Row],[Discount_Flag]]="Check", MIN(MAX(Table1[[#This Row],[DiscountPct]],0),0.3), Table1[[#This Row],[DiscountPct]])</f>
        <v>0.26100000000000001</v>
      </c>
      <c r="T345" t="str">
        <f>IF(OR(Table1[[#This Row],[DiscountPct]]&lt;0,Table1[[#This Row],[DiscountPct]]&gt;0.3),"Check","OK")</f>
        <v>OK</v>
      </c>
      <c r="U345" s="11">
        <v>0.26100000000000001</v>
      </c>
      <c r="V345" s="15">
        <f t="shared" si="78"/>
        <v>1</v>
      </c>
      <c r="W345" s="11">
        <f t="shared" si="79"/>
        <v>0.17318682599464391</v>
      </c>
      <c r="X345" s="17">
        <f t="shared" si="80"/>
        <v>7390.7999999999993</v>
      </c>
      <c r="Y345" s="17">
        <f t="shared" si="81"/>
        <v>1548.0996600000017</v>
      </c>
      <c r="Z345" s="17">
        <f t="shared" si="82"/>
        <v>8938.8996600000009</v>
      </c>
      <c r="AA345" s="17" t="str">
        <f t="shared" si="83"/>
        <v>Q1-2024</v>
      </c>
      <c r="AB345" s="12" t="str">
        <f t="shared" si="84"/>
        <v>Feb-2024</v>
      </c>
      <c r="AC345" s="12" t="str">
        <f t="shared" si="85"/>
        <v>High</v>
      </c>
      <c r="AD345">
        <v>6</v>
      </c>
      <c r="AE345" s="12">
        <f>_xlfn.MINIFS(Table1[MonthDate], Table1[Country], Table1[[#This Row],[Country]])</f>
        <v>44927</v>
      </c>
      <c r="AF345" s="12">
        <f t="shared" si="86"/>
        <v>45323</v>
      </c>
      <c r="AG345">
        <f>AD345*(1 + Scenario_Control!$B$4)</f>
        <v>6.6000000000000005</v>
      </c>
      <c r="AH345">
        <f>O345*(1 + Scenario_Control!$B$3)</f>
        <v>1293.3900000000001</v>
      </c>
      <c r="AI345">
        <f t="shared" si="87"/>
        <v>1966.5579252000002</v>
      </c>
      <c r="AJ345">
        <f t="shared" si="88"/>
        <v>-6569.8160748000009</v>
      </c>
      <c r="AK345" s="29">
        <f>MIN(Q345*(1-U345), Scenario_Control!$B$2*Q345)</f>
        <v>403.19800000000004</v>
      </c>
      <c r="AL345" s="15">
        <f t="shared" si="89"/>
        <v>0</v>
      </c>
      <c r="AM345" s="8">
        <f>DATEDIF(Table1[[#This Row],[Country_FirstMonth]], Table1[[#This Row],[MonthDate]], "m")</f>
        <v>13</v>
      </c>
    </row>
    <row r="346" spans="1:39" x14ac:dyDescent="0.25">
      <c r="A346" t="s">
        <v>358</v>
      </c>
      <c r="B346" s="12">
        <v>45486</v>
      </c>
      <c r="C346" s="12">
        <f t="shared" si="75"/>
        <v>45493</v>
      </c>
      <c r="D346" s="2" t="str">
        <f>IF(Table1[[#This Row],[RequiredDate]]&lt;Table1[[#This Row],[OrderDate]],"Check","OK")</f>
        <v>Check</v>
      </c>
      <c r="E346" s="2">
        <v>45485</v>
      </c>
      <c r="F346" s="15">
        <f t="shared" si="76"/>
        <v>7</v>
      </c>
      <c r="G346" t="s">
        <v>647</v>
      </c>
      <c r="H346" t="s">
        <v>652</v>
      </c>
      <c r="I346" t="s">
        <v>694</v>
      </c>
      <c r="J346" t="s">
        <v>705</v>
      </c>
      <c r="K346" t="s">
        <v>709</v>
      </c>
      <c r="L346" t="s">
        <v>721</v>
      </c>
      <c r="M346" t="s">
        <v>729</v>
      </c>
      <c r="N346" t="s">
        <v>1078</v>
      </c>
      <c r="O346" s="29">
        <v>105.13</v>
      </c>
      <c r="P346" t="str">
        <f>IF(Table1[[#This Row],[UnitPrice]]&lt;=0,"Check","OK")</f>
        <v>OK</v>
      </c>
      <c r="Q346" s="29">
        <f t="shared" si="77"/>
        <v>244.13</v>
      </c>
      <c r="R346">
        <v>244.13</v>
      </c>
      <c r="S346" s="5">
        <f>IF(Table1[[#This Row],[Discount_Flag]]="Check", MIN(MAX(Table1[[#This Row],[DiscountPct]],0),0.3), Table1[[#This Row],[DiscountPct]])</f>
        <v>7.0999999999999994E-2</v>
      </c>
      <c r="T346" t="str">
        <f>IF(OR(Table1[[#This Row],[DiscountPct]]&lt;0,Table1[[#This Row],[DiscountPct]]&gt;0.3),"Check","OK")</f>
        <v>OK</v>
      </c>
      <c r="U346" s="11">
        <v>7.0999999999999994E-2</v>
      </c>
      <c r="V346" s="15">
        <f t="shared" si="78"/>
        <v>0</v>
      </c>
      <c r="W346" s="11">
        <f t="shared" si="79"/>
        <v>0.53645724319618837</v>
      </c>
      <c r="X346" s="17">
        <f t="shared" si="80"/>
        <v>1471.82</v>
      </c>
      <c r="Y346" s="17">
        <f t="shared" si="81"/>
        <v>1703.3347799999999</v>
      </c>
      <c r="Z346" s="17">
        <f t="shared" si="82"/>
        <v>3175.1547799999998</v>
      </c>
      <c r="AA346" s="17" t="str">
        <f t="shared" si="83"/>
        <v>Q3-2024</v>
      </c>
      <c r="AB346" s="12" t="str">
        <f t="shared" si="84"/>
        <v>Jul-2024</v>
      </c>
      <c r="AC346" s="12" t="str">
        <f t="shared" si="85"/>
        <v>Low</v>
      </c>
      <c r="AD346">
        <v>14</v>
      </c>
      <c r="AE346" s="12">
        <f>_xlfn.MINIFS(Table1[MonthDate], Table1[Country], Table1[[#This Row],[Country]])</f>
        <v>44986</v>
      </c>
      <c r="AF346" s="12">
        <f t="shared" si="86"/>
        <v>45474</v>
      </c>
      <c r="AG346">
        <f>AD346*(1 + Scenario_Control!$B$4)</f>
        <v>15.400000000000002</v>
      </c>
      <c r="AH346">
        <f>O346*(1 + Scenario_Control!$B$3)</f>
        <v>110.3865</v>
      </c>
      <c r="AI346">
        <f t="shared" si="87"/>
        <v>698.53405160000011</v>
      </c>
      <c r="AJ346">
        <f t="shared" si="88"/>
        <v>-1001.4180484000001</v>
      </c>
      <c r="AK346" s="29">
        <f>MIN(Q346*(1-U346), Scenario_Control!$B$2*Q346)</f>
        <v>48.826000000000001</v>
      </c>
      <c r="AL346" s="15">
        <f t="shared" si="89"/>
        <v>1</v>
      </c>
      <c r="AM346" s="8">
        <f>DATEDIF(Table1[[#This Row],[Country_FirstMonth]], Table1[[#This Row],[MonthDate]], "m")</f>
        <v>16</v>
      </c>
    </row>
    <row r="347" spans="1:39" x14ac:dyDescent="0.25">
      <c r="A347" t="s">
        <v>359</v>
      </c>
      <c r="B347" s="12">
        <v>45261</v>
      </c>
      <c r="C347" s="12">
        <f t="shared" si="75"/>
        <v>45278</v>
      </c>
      <c r="D347" s="2" t="str">
        <f>IF(Table1[[#This Row],[RequiredDate]]&lt;Table1[[#This Row],[OrderDate]],"Check","OK")</f>
        <v>OK</v>
      </c>
      <c r="E347" s="2">
        <v>45278</v>
      </c>
      <c r="F347" s="15">
        <f t="shared" si="76"/>
        <v>17</v>
      </c>
      <c r="G347" t="s">
        <v>647</v>
      </c>
      <c r="H347" t="s">
        <v>652</v>
      </c>
      <c r="I347" t="s">
        <v>694</v>
      </c>
      <c r="J347" t="s">
        <v>705</v>
      </c>
      <c r="K347" t="s">
        <v>711</v>
      </c>
      <c r="L347" t="s">
        <v>725</v>
      </c>
      <c r="M347" t="s">
        <v>731</v>
      </c>
      <c r="N347" t="s">
        <v>1079</v>
      </c>
      <c r="O347" s="29">
        <v>1495.79</v>
      </c>
      <c r="P347" t="str">
        <f>IF(Table1[[#This Row],[UnitPrice]]&lt;=0,"Check","OK")</f>
        <v>OK</v>
      </c>
      <c r="Q347" s="29">
        <f t="shared" si="77"/>
        <v>2783.12</v>
      </c>
      <c r="R347">
        <v>2783.12</v>
      </c>
      <c r="S347" s="5">
        <f>IF(Table1[[#This Row],[Discount_Flag]]="Check", MIN(MAX(Table1[[#This Row],[DiscountPct]],0),0.3), Table1[[#This Row],[DiscountPct]])</f>
        <v>0.02</v>
      </c>
      <c r="T347" t="str">
        <f>IF(OR(Table1[[#This Row],[DiscountPct]]&lt;0,Table1[[#This Row],[DiscountPct]]&gt;0.3),"Check","OK")</f>
        <v>OK</v>
      </c>
      <c r="U347" s="11">
        <v>0.02</v>
      </c>
      <c r="V347" s="15">
        <f t="shared" si="78"/>
        <v>0</v>
      </c>
      <c r="W347" s="11">
        <f t="shared" si="79"/>
        <v>0.45158084217331185</v>
      </c>
      <c r="X347" s="17">
        <f t="shared" si="80"/>
        <v>7478.95</v>
      </c>
      <c r="Y347" s="17">
        <f t="shared" si="81"/>
        <v>6158.3379999999988</v>
      </c>
      <c r="Z347" s="17">
        <f t="shared" si="82"/>
        <v>13637.287999999999</v>
      </c>
      <c r="AA347" s="17" t="str">
        <f t="shared" si="83"/>
        <v>Q4-2023</v>
      </c>
      <c r="AB347" s="12" t="str">
        <f t="shared" si="84"/>
        <v>Dec-2023</v>
      </c>
      <c r="AC347" s="12" t="str">
        <f t="shared" si="85"/>
        <v>High</v>
      </c>
      <c r="AD347">
        <v>5</v>
      </c>
      <c r="AE347" s="12">
        <f>_xlfn.MINIFS(Table1[MonthDate], Table1[Country], Table1[[#This Row],[Country]])</f>
        <v>44986</v>
      </c>
      <c r="AF347" s="12">
        <f t="shared" si="86"/>
        <v>45261</v>
      </c>
      <c r="AG347">
        <f>AD347*(1 + Scenario_Control!$B$4)</f>
        <v>5.5</v>
      </c>
      <c r="AH347">
        <f>O347*(1 + Scenario_Control!$B$3)</f>
        <v>1570.5795000000001</v>
      </c>
      <c r="AI347">
        <f t="shared" si="87"/>
        <v>3000.20336</v>
      </c>
      <c r="AJ347">
        <f t="shared" si="88"/>
        <v>-5637.9838900000013</v>
      </c>
      <c r="AK347" s="29">
        <f>MIN(Q347*(1-U347), Scenario_Control!$B$2*Q347)</f>
        <v>556.62400000000002</v>
      </c>
      <c r="AL347" s="15">
        <f t="shared" si="89"/>
        <v>0</v>
      </c>
      <c r="AM347" s="8">
        <f>DATEDIF(Table1[[#This Row],[Country_FirstMonth]], Table1[[#This Row],[MonthDate]], "m")</f>
        <v>9</v>
      </c>
    </row>
    <row r="348" spans="1:39" x14ac:dyDescent="0.25">
      <c r="A348" t="s">
        <v>360</v>
      </c>
      <c r="B348" s="12">
        <v>45498</v>
      </c>
      <c r="C348" s="12">
        <f t="shared" si="75"/>
        <v>45506</v>
      </c>
      <c r="D348" s="2" t="str">
        <f>IF(Table1[[#This Row],[RequiredDate]]&lt;Table1[[#This Row],[OrderDate]],"Check","OK")</f>
        <v>OK</v>
      </c>
      <c r="E348" s="2">
        <v>45506</v>
      </c>
      <c r="F348" s="15">
        <f t="shared" si="76"/>
        <v>8</v>
      </c>
      <c r="G348" t="s">
        <v>648</v>
      </c>
      <c r="H348" t="s">
        <v>653</v>
      </c>
      <c r="I348" t="s">
        <v>681</v>
      </c>
      <c r="J348" t="s">
        <v>704</v>
      </c>
      <c r="K348" t="s">
        <v>711</v>
      </c>
      <c r="L348" t="s">
        <v>713</v>
      </c>
      <c r="M348" t="s">
        <v>733</v>
      </c>
      <c r="N348" t="s">
        <v>1080</v>
      </c>
      <c r="O348" s="29">
        <v>986.81</v>
      </c>
      <c r="P348" t="str">
        <f>IF(Table1[[#This Row],[UnitPrice]]&lt;=0,"Check","OK")</f>
        <v>OK</v>
      </c>
      <c r="Q348" s="29">
        <f t="shared" si="77"/>
        <v>2050.31</v>
      </c>
      <c r="R348">
        <v>2050.31</v>
      </c>
      <c r="S348" s="5">
        <f>IF(Table1[[#This Row],[Discount_Flag]]="Check", MIN(MAX(Table1[[#This Row],[DiscountPct]],0),0.3), Table1[[#This Row],[DiscountPct]])</f>
        <v>0.10299999999999999</v>
      </c>
      <c r="T348" t="str">
        <f>IF(OR(Table1[[#This Row],[DiscountPct]]&lt;0,Table1[[#This Row],[DiscountPct]]&gt;0.3),"Check","OK")</f>
        <v>OK</v>
      </c>
      <c r="U348" s="11">
        <v>0.10299999999999999</v>
      </c>
      <c r="V348" s="15">
        <f t="shared" si="78"/>
        <v>0</v>
      </c>
      <c r="W348" s="11">
        <f t="shared" si="79"/>
        <v>0.46343595310358138</v>
      </c>
      <c r="X348" s="17">
        <f t="shared" si="80"/>
        <v>42432.829999999994</v>
      </c>
      <c r="Y348" s="17">
        <f t="shared" si="81"/>
        <v>36649.677010000007</v>
      </c>
      <c r="Z348" s="17">
        <f t="shared" si="82"/>
        <v>79082.507010000001</v>
      </c>
      <c r="AA348" s="17" t="str">
        <f t="shared" si="83"/>
        <v>Q3-2024</v>
      </c>
      <c r="AB348" s="12" t="str">
        <f t="shared" si="84"/>
        <v>Jul-2024</v>
      </c>
      <c r="AC348" s="12" t="str">
        <f t="shared" si="85"/>
        <v>High</v>
      </c>
      <c r="AD348">
        <v>43</v>
      </c>
      <c r="AE348" s="12">
        <f>_xlfn.MINIFS(Table1[MonthDate], Table1[Country], Table1[[#This Row],[Country]])</f>
        <v>44927</v>
      </c>
      <c r="AF348" s="12">
        <f t="shared" si="86"/>
        <v>45474</v>
      </c>
      <c r="AG348">
        <f>AD348*(1 + Scenario_Control!$B$4)</f>
        <v>47.300000000000004</v>
      </c>
      <c r="AH348">
        <f>O348*(1 + Scenario_Control!$B$3)</f>
        <v>1036.1505</v>
      </c>
      <c r="AI348">
        <f t="shared" si="87"/>
        <v>17398.151542200005</v>
      </c>
      <c r="AJ348">
        <f t="shared" si="88"/>
        <v>-31611.767107799995</v>
      </c>
      <c r="AK348" s="29">
        <f>MIN(Q348*(1-U348), Scenario_Control!$B$2*Q348)</f>
        <v>410.06200000000001</v>
      </c>
      <c r="AL348" s="15">
        <f t="shared" si="89"/>
        <v>0</v>
      </c>
      <c r="AM348" s="8">
        <f>DATEDIF(Table1[[#This Row],[Country_FirstMonth]], Table1[[#This Row],[MonthDate]], "m")</f>
        <v>18</v>
      </c>
    </row>
    <row r="349" spans="1:39" x14ac:dyDescent="0.25">
      <c r="A349" t="s">
        <v>361</v>
      </c>
      <c r="B349" s="12">
        <v>45050</v>
      </c>
      <c r="C349" s="12">
        <f t="shared" si="75"/>
        <v>45062</v>
      </c>
      <c r="D349" s="2" t="str">
        <f>IF(Table1[[#This Row],[RequiredDate]]&lt;Table1[[#This Row],[OrderDate]],"Check","OK")</f>
        <v>OK</v>
      </c>
      <c r="E349" s="2">
        <v>45062</v>
      </c>
      <c r="F349" s="15">
        <f t="shared" si="76"/>
        <v>12</v>
      </c>
      <c r="G349" t="s">
        <v>646</v>
      </c>
      <c r="H349" t="s">
        <v>651</v>
      </c>
      <c r="I349" t="s">
        <v>669</v>
      </c>
      <c r="J349" t="s">
        <v>705</v>
      </c>
      <c r="K349" t="s">
        <v>709</v>
      </c>
      <c r="L349" t="s">
        <v>713</v>
      </c>
      <c r="M349" t="s">
        <v>730</v>
      </c>
      <c r="N349" t="s">
        <v>1081</v>
      </c>
      <c r="O349" s="29">
        <v>77.739999999999995</v>
      </c>
      <c r="P349" t="str">
        <f>IF(Table1[[#This Row],[UnitPrice]]&lt;=0,"Check","OK")</f>
        <v>OK</v>
      </c>
      <c r="Q349" s="29">
        <f t="shared" si="77"/>
        <v>147.12</v>
      </c>
      <c r="R349">
        <v>147.12</v>
      </c>
      <c r="S349" s="5">
        <f>IF(Table1[[#This Row],[Discount_Flag]]="Check", MIN(MAX(Table1[[#This Row],[DiscountPct]],0),0.3), Table1[[#This Row],[DiscountPct]])</f>
        <v>0</v>
      </c>
      <c r="T349" t="str">
        <f>IF(OR(Table1[[#This Row],[DiscountPct]]&lt;0,Table1[[#This Row],[DiscountPct]]&gt;0.3),"Check","OK")</f>
        <v>OK</v>
      </c>
      <c r="U349" s="11">
        <v>0</v>
      </c>
      <c r="V349" s="15">
        <f t="shared" si="78"/>
        <v>0</v>
      </c>
      <c r="W349" s="11">
        <f t="shared" si="79"/>
        <v>0.47158781946710177</v>
      </c>
      <c r="X349" s="17">
        <f t="shared" si="80"/>
        <v>1166.0999999999999</v>
      </c>
      <c r="Y349" s="17">
        <f t="shared" si="81"/>
        <v>1040.7000000000003</v>
      </c>
      <c r="Z349" s="17">
        <f t="shared" si="82"/>
        <v>2206.8000000000002</v>
      </c>
      <c r="AA349" s="17" t="str">
        <f t="shared" si="83"/>
        <v>Q2-2023</v>
      </c>
      <c r="AB349" s="12" t="str">
        <f t="shared" si="84"/>
        <v>May-2023</v>
      </c>
      <c r="AC349" s="12" t="str">
        <f t="shared" si="85"/>
        <v>Low</v>
      </c>
      <c r="AD349">
        <v>15</v>
      </c>
      <c r="AE349" s="12">
        <f>_xlfn.MINIFS(Table1[MonthDate], Table1[Country], Table1[[#This Row],[Country]])</f>
        <v>44927</v>
      </c>
      <c r="AF349" s="12">
        <f t="shared" si="86"/>
        <v>45047</v>
      </c>
      <c r="AG349">
        <f>AD349*(1 + Scenario_Control!$B$4)</f>
        <v>16.5</v>
      </c>
      <c r="AH349">
        <f>O349*(1 + Scenario_Control!$B$3)</f>
        <v>81.626999999999995</v>
      </c>
      <c r="AI349">
        <f t="shared" si="87"/>
        <v>485.49600000000004</v>
      </c>
      <c r="AJ349">
        <f t="shared" si="88"/>
        <v>-861.34949999999981</v>
      </c>
      <c r="AK349" s="29">
        <f>MIN(Q349*(1-U349), Scenario_Control!$B$2*Q349)</f>
        <v>29.424000000000003</v>
      </c>
      <c r="AL349" s="15">
        <f t="shared" si="89"/>
        <v>0</v>
      </c>
      <c r="AM349" s="8">
        <f>DATEDIF(Table1[[#This Row],[Country_FirstMonth]], Table1[[#This Row],[MonthDate]], "m")</f>
        <v>4</v>
      </c>
    </row>
    <row r="350" spans="1:39" x14ac:dyDescent="0.25">
      <c r="A350" t="s">
        <v>362</v>
      </c>
      <c r="B350" s="12">
        <v>45281</v>
      </c>
      <c r="C350" s="12">
        <f t="shared" si="75"/>
        <v>45297</v>
      </c>
      <c r="D350" s="2" t="str">
        <f>IF(Table1[[#This Row],[RequiredDate]]&lt;Table1[[#This Row],[OrderDate]],"Check","OK")</f>
        <v>OK</v>
      </c>
      <c r="E350" s="2">
        <v>45297</v>
      </c>
      <c r="F350" s="15">
        <f t="shared" si="76"/>
        <v>16</v>
      </c>
      <c r="G350" t="s">
        <v>646</v>
      </c>
      <c r="H350" t="s">
        <v>651</v>
      </c>
      <c r="I350" t="s">
        <v>1425</v>
      </c>
      <c r="J350" t="s">
        <v>701</v>
      </c>
      <c r="K350" t="s">
        <v>709</v>
      </c>
      <c r="L350" t="s">
        <v>723</v>
      </c>
      <c r="M350" t="s">
        <v>727</v>
      </c>
      <c r="N350" t="s">
        <v>1082</v>
      </c>
      <c r="O350" s="29">
        <v>932.61</v>
      </c>
      <c r="P350" t="str">
        <f>IF(Table1[[#This Row],[UnitPrice]]&lt;=0,"Check","OK")</f>
        <v>OK</v>
      </c>
      <c r="Q350" s="29">
        <f t="shared" si="77"/>
        <v>1982.98</v>
      </c>
      <c r="R350">
        <v>1982.98</v>
      </c>
      <c r="S350" s="5">
        <f>IF(Table1[[#This Row],[Discount_Flag]]="Check", MIN(MAX(Table1[[#This Row],[DiscountPct]],0),0.3), Table1[[#This Row],[DiscountPct]])</f>
        <v>0.14399999999999999</v>
      </c>
      <c r="T350" t="str">
        <f>IF(OR(Table1[[#This Row],[DiscountPct]]&lt;0,Table1[[#This Row],[DiscountPct]]&gt;0.3),"Check","OK")</f>
        <v>OK</v>
      </c>
      <c r="U350" s="11">
        <v>0.14399999999999999</v>
      </c>
      <c r="V350" s="15">
        <f t="shared" si="78"/>
        <v>0</v>
      </c>
      <c r="W350" s="11">
        <f t="shared" si="79"/>
        <v>0.45057556629345635</v>
      </c>
      <c r="X350" s="17">
        <f t="shared" si="80"/>
        <v>14921.76</v>
      </c>
      <c r="Y350" s="17">
        <f t="shared" si="81"/>
        <v>12237.134079999998</v>
      </c>
      <c r="Z350" s="17">
        <f t="shared" si="82"/>
        <v>27158.894079999998</v>
      </c>
      <c r="AA350" s="17" t="str">
        <f t="shared" si="83"/>
        <v>Q4-2023</v>
      </c>
      <c r="AB350" s="12" t="str">
        <f t="shared" si="84"/>
        <v>Dec-2023</v>
      </c>
      <c r="AC350" s="12" t="str">
        <f t="shared" si="85"/>
        <v>High</v>
      </c>
      <c r="AD350">
        <v>16</v>
      </c>
      <c r="AE350" s="12">
        <f>_xlfn.MINIFS(Table1[MonthDate], Table1[Country], Table1[[#This Row],[Country]])</f>
        <v>44927</v>
      </c>
      <c r="AF350" s="12">
        <f t="shared" si="86"/>
        <v>45261</v>
      </c>
      <c r="AG350">
        <f>AD350*(1 + Scenario_Control!$B$4)</f>
        <v>17.600000000000001</v>
      </c>
      <c r="AH350">
        <f>O350*(1 + Scenario_Control!$B$3)</f>
        <v>979.24050000000011</v>
      </c>
      <c r="AI350">
        <f t="shared" si="87"/>
        <v>5974.9566975999996</v>
      </c>
      <c r="AJ350">
        <f t="shared" si="88"/>
        <v>-11259.676102400004</v>
      </c>
      <c r="AK350" s="29">
        <f>MIN(Q350*(1-U350), Scenario_Control!$B$2*Q350)</f>
        <v>396.596</v>
      </c>
      <c r="AL350" s="15">
        <f t="shared" si="89"/>
        <v>0</v>
      </c>
      <c r="AM350" s="8">
        <f>DATEDIF(Table1[[#This Row],[Country_FirstMonth]], Table1[[#This Row],[MonthDate]], "m")</f>
        <v>11</v>
      </c>
    </row>
    <row r="351" spans="1:39" x14ac:dyDescent="0.25">
      <c r="A351" t="s">
        <v>363</v>
      </c>
      <c r="B351" s="12">
        <v>45825</v>
      </c>
      <c r="C351" s="12">
        <f t="shared" si="75"/>
        <v>45843</v>
      </c>
      <c r="D351" s="2" t="str">
        <f>IF(Table1[[#This Row],[RequiredDate]]&lt;Table1[[#This Row],[OrderDate]],"Check","OK")</f>
        <v>OK</v>
      </c>
      <c r="E351" s="2">
        <v>45843</v>
      </c>
      <c r="F351" s="15">
        <f t="shared" si="76"/>
        <v>18</v>
      </c>
      <c r="G351" t="s">
        <v>647</v>
      </c>
      <c r="H351" t="s">
        <v>654</v>
      </c>
      <c r="I351" t="s">
        <v>680</v>
      </c>
      <c r="J351" t="s">
        <v>704</v>
      </c>
      <c r="K351" t="s">
        <v>709</v>
      </c>
      <c r="L351" t="s">
        <v>716</v>
      </c>
      <c r="M351" t="s">
        <v>731</v>
      </c>
      <c r="N351" t="s">
        <v>1083</v>
      </c>
      <c r="O351" s="29">
        <v>982.93</v>
      </c>
      <c r="P351" t="str">
        <f>IF(Table1[[#This Row],[UnitPrice]]&lt;=0,"Check","OK")</f>
        <v>OK</v>
      </c>
      <c r="Q351" s="29">
        <f t="shared" si="77"/>
        <v>2299.3000000000002</v>
      </c>
      <c r="R351">
        <v>2299.3000000000002</v>
      </c>
      <c r="S351" s="5">
        <f>IF(Table1[[#This Row],[Discount_Flag]]="Check", MIN(MAX(Table1[[#This Row],[DiscountPct]],0),0.3), Table1[[#This Row],[DiscountPct]])</f>
        <v>0.113</v>
      </c>
      <c r="T351" t="str">
        <f>IF(OR(Table1[[#This Row],[DiscountPct]]&lt;0,Table1[[#This Row],[DiscountPct]]&gt;0.3),"Check","OK")</f>
        <v>OK</v>
      </c>
      <c r="U351" s="11">
        <v>0.113</v>
      </c>
      <c r="V351" s="15">
        <f t="shared" si="78"/>
        <v>0</v>
      </c>
      <c r="W351" s="11">
        <f t="shared" si="79"/>
        <v>0.51804850562087157</v>
      </c>
      <c r="X351" s="17">
        <f t="shared" si="80"/>
        <v>5897.58</v>
      </c>
      <c r="Y351" s="17">
        <f t="shared" si="81"/>
        <v>6339.2946000000011</v>
      </c>
      <c r="Z351" s="17">
        <f t="shared" si="82"/>
        <v>12236.874600000001</v>
      </c>
      <c r="AA351" s="17" t="str">
        <f t="shared" si="83"/>
        <v>Q2-2025</v>
      </c>
      <c r="AB351" s="12" t="str">
        <f t="shared" si="84"/>
        <v>Jun-2025</v>
      </c>
      <c r="AC351" s="12" t="str">
        <f t="shared" si="85"/>
        <v>High</v>
      </c>
      <c r="AD351">
        <v>6</v>
      </c>
      <c r="AE351" s="12">
        <f>_xlfn.MINIFS(Table1[MonthDate], Table1[Country], Table1[[#This Row],[Country]])</f>
        <v>44927</v>
      </c>
      <c r="AF351" s="12">
        <f t="shared" si="86"/>
        <v>45809</v>
      </c>
      <c r="AG351">
        <f>AD351*(1 + Scenario_Control!$B$4)</f>
        <v>6.6000000000000005</v>
      </c>
      <c r="AH351">
        <f>O351*(1 + Scenario_Control!$B$3)</f>
        <v>1032.0764999999999</v>
      </c>
      <c r="AI351">
        <f t="shared" si="87"/>
        <v>2692.1124120000009</v>
      </c>
      <c r="AJ351">
        <f t="shared" si="88"/>
        <v>-4119.5924879999984</v>
      </c>
      <c r="AK351" s="29">
        <f>MIN(Q351*(1-U351), Scenario_Control!$B$2*Q351)</f>
        <v>459.86000000000007</v>
      </c>
      <c r="AL351" s="15">
        <f t="shared" si="89"/>
        <v>0</v>
      </c>
      <c r="AM351" s="8">
        <f>DATEDIF(Table1[[#This Row],[Country_FirstMonth]], Table1[[#This Row],[MonthDate]], "m")</f>
        <v>29</v>
      </c>
    </row>
    <row r="352" spans="1:39" x14ac:dyDescent="0.25">
      <c r="A352" t="s">
        <v>364</v>
      </c>
      <c r="B352" s="12">
        <v>44980</v>
      </c>
      <c r="C352" s="12">
        <f t="shared" si="75"/>
        <v>44993</v>
      </c>
      <c r="D352" s="2" t="str">
        <f>IF(Table1[[#This Row],[RequiredDate]]&lt;Table1[[#This Row],[OrderDate]],"Check","OK")</f>
        <v>OK</v>
      </c>
      <c r="E352" s="2">
        <v>44993</v>
      </c>
      <c r="F352" s="15">
        <f t="shared" si="76"/>
        <v>13</v>
      </c>
      <c r="G352" t="s">
        <v>649</v>
      </c>
      <c r="H352" t="s">
        <v>658</v>
      </c>
      <c r="I352" t="s">
        <v>693</v>
      </c>
      <c r="J352" t="s">
        <v>705</v>
      </c>
      <c r="K352" t="s">
        <v>711</v>
      </c>
      <c r="L352" t="s">
        <v>712</v>
      </c>
      <c r="M352" t="s">
        <v>728</v>
      </c>
      <c r="N352" t="s">
        <v>1084</v>
      </c>
      <c r="O352" s="29">
        <v>307.37</v>
      </c>
      <c r="P352" t="str">
        <f>IF(Table1[[#This Row],[UnitPrice]]&lt;=0,"Check","OK")</f>
        <v>OK</v>
      </c>
      <c r="Q352" s="29">
        <f t="shared" si="77"/>
        <v>462.61</v>
      </c>
      <c r="R352">
        <v>462.61</v>
      </c>
      <c r="S352" s="5">
        <f>IF(Table1[[#This Row],[Discount_Flag]]="Check", MIN(MAX(Table1[[#This Row],[DiscountPct]],0),0.3), Table1[[#This Row],[DiscountPct]])</f>
        <v>0.188</v>
      </c>
      <c r="T352" t="str">
        <f>IF(OR(Table1[[#This Row],[DiscountPct]]&lt;0,Table1[[#This Row],[DiscountPct]]&gt;0.3),"Check","OK")</f>
        <v>OK</v>
      </c>
      <c r="U352" s="11">
        <v>0.188</v>
      </c>
      <c r="V352" s="15">
        <f t="shared" si="78"/>
        <v>0</v>
      </c>
      <c r="W352" s="11">
        <f t="shared" si="79"/>
        <v>0.18174167709599739</v>
      </c>
      <c r="X352" s="17">
        <f t="shared" si="80"/>
        <v>3381.07</v>
      </c>
      <c r="Y352" s="17">
        <f t="shared" si="81"/>
        <v>750.9625200000005</v>
      </c>
      <c r="Z352" s="17">
        <f t="shared" si="82"/>
        <v>4132.0325200000007</v>
      </c>
      <c r="AA352" s="17" t="str">
        <f t="shared" si="83"/>
        <v>Q1-2023</v>
      </c>
      <c r="AB352" s="12" t="str">
        <f t="shared" si="84"/>
        <v>Feb-2023</v>
      </c>
      <c r="AC352" s="12" t="str">
        <f t="shared" si="85"/>
        <v>Low</v>
      </c>
      <c r="AD352">
        <v>11</v>
      </c>
      <c r="AE352" s="12">
        <f>_xlfn.MINIFS(Table1[MonthDate], Table1[Country], Table1[[#This Row],[Country]])</f>
        <v>44927</v>
      </c>
      <c r="AF352" s="12">
        <f t="shared" si="86"/>
        <v>44958</v>
      </c>
      <c r="AG352">
        <f>AD352*(1 + Scenario_Control!$B$4)</f>
        <v>12.100000000000001</v>
      </c>
      <c r="AH352">
        <f>O352*(1 + Scenario_Control!$B$3)</f>
        <v>322.73850000000004</v>
      </c>
      <c r="AI352">
        <f t="shared" si="87"/>
        <v>909.0471544000003</v>
      </c>
      <c r="AJ352">
        <f t="shared" si="88"/>
        <v>-2996.0886956000008</v>
      </c>
      <c r="AK352" s="29">
        <f>MIN(Q352*(1-U352), Scenario_Control!$B$2*Q352)</f>
        <v>92.522000000000006</v>
      </c>
      <c r="AL352" s="15">
        <f t="shared" si="89"/>
        <v>0</v>
      </c>
      <c r="AM352" s="8">
        <f>DATEDIF(Table1[[#This Row],[Country_FirstMonth]], Table1[[#This Row],[MonthDate]], "m")</f>
        <v>1</v>
      </c>
    </row>
    <row r="353" spans="1:39" x14ac:dyDescent="0.25">
      <c r="A353" t="s">
        <v>365</v>
      </c>
      <c r="B353" s="12">
        <v>45262</v>
      </c>
      <c r="C353" s="12">
        <f t="shared" si="75"/>
        <v>45276</v>
      </c>
      <c r="D353" s="2" t="str">
        <f>IF(Table1[[#This Row],[RequiredDate]]&lt;Table1[[#This Row],[OrderDate]],"Check","OK")</f>
        <v>OK</v>
      </c>
      <c r="E353" s="2">
        <v>45276</v>
      </c>
      <c r="F353" s="15">
        <f t="shared" si="76"/>
        <v>14</v>
      </c>
      <c r="G353" t="s">
        <v>649</v>
      </c>
      <c r="H353" t="s">
        <v>656</v>
      </c>
      <c r="I353" t="s">
        <v>698</v>
      </c>
      <c r="J353" t="s">
        <v>702</v>
      </c>
      <c r="K353" t="s">
        <v>711</v>
      </c>
      <c r="L353" t="s">
        <v>725</v>
      </c>
      <c r="M353" t="s">
        <v>732</v>
      </c>
      <c r="N353" t="s">
        <v>1085</v>
      </c>
      <c r="O353" s="29">
        <v>879.08</v>
      </c>
      <c r="P353" t="str">
        <f>IF(Table1[[#This Row],[UnitPrice]]&lt;=0,"Check","OK")</f>
        <v>OK</v>
      </c>
      <c r="Q353" s="29">
        <f t="shared" si="77"/>
        <v>1093.3900000000001</v>
      </c>
      <c r="R353">
        <v>1093.3900000000001</v>
      </c>
      <c r="S353" s="5">
        <f>IF(Table1[[#This Row],[Discount_Flag]]="Check", MIN(MAX(Table1[[#This Row],[DiscountPct]],0),0.3), Table1[[#This Row],[DiscountPct]])</f>
        <v>0.113</v>
      </c>
      <c r="T353" t="str">
        <f>IF(OR(Table1[[#This Row],[DiscountPct]]&lt;0,Table1[[#This Row],[DiscountPct]]&gt;0.3),"Check","OK")</f>
        <v>OK</v>
      </c>
      <c r="U353" s="11">
        <v>0.113</v>
      </c>
      <c r="V353" s="15">
        <f t="shared" si="78"/>
        <v>0</v>
      </c>
      <c r="W353" s="11">
        <f t="shared" si="79"/>
        <v>9.3579577341935186E-2</v>
      </c>
      <c r="X353" s="17">
        <f t="shared" si="80"/>
        <v>14944.36</v>
      </c>
      <c r="Y353" s="17">
        <f t="shared" si="81"/>
        <v>1542.8678099999997</v>
      </c>
      <c r="Z353" s="17">
        <f t="shared" si="82"/>
        <v>16487.22781</v>
      </c>
      <c r="AA353" s="17" t="str">
        <f t="shared" si="83"/>
        <v>Q4-2023</v>
      </c>
      <c r="AB353" s="12" t="str">
        <f t="shared" si="84"/>
        <v>Dec-2023</v>
      </c>
      <c r="AC353" s="12" t="str">
        <f t="shared" si="85"/>
        <v>Medium</v>
      </c>
      <c r="AD353">
        <v>17</v>
      </c>
      <c r="AE353" s="12">
        <f>_xlfn.MINIFS(Table1[MonthDate], Table1[Country], Table1[[#This Row],[Country]])</f>
        <v>44927</v>
      </c>
      <c r="AF353" s="12">
        <f t="shared" si="86"/>
        <v>45261</v>
      </c>
      <c r="AG353">
        <f>AD353*(1 + Scenario_Control!$B$4)</f>
        <v>18.700000000000003</v>
      </c>
      <c r="AH353">
        <f>O353*(1 + Scenario_Control!$B$3)</f>
        <v>923.03400000000011</v>
      </c>
      <c r="AI353">
        <f t="shared" si="87"/>
        <v>3627.1901182000011</v>
      </c>
      <c r="AJ353">
        <f t="shared" si="88"/>
        <v>-13633.545681800006</v>
      </c>
      <c r="AK353" s="29">
        <f>MIN(Q353*(1-U353), Scenario_Control!$B$2*Q353)</f>
        <v>218.67800000000003</v>
      </c>
      <c r="AL353" s="15">
        <f t="shared" si="89"/>
        <v>0</v>
      </c>
      <c r="AM353" s="8">
        <f>DATEDIF(Table1[[#This Row],[Country_FirstMonth]], Table1[[#This Row],[MonthDate]], "m")</f>
        <v>11</v>
      </c>
    </row>
    <row r="354" spans="1:39" x14ac:dyDescent="0.25">
      <c r="A354" t="s">
        <v>366</v>
      </c>
      <c r="B354" s="12">
        <v>45121</v>
      </c>
      <c r="C354" s="12">
        <f t="shared" si="75"/>
        <v>45121</v>
      </c>
      <c r="D354" s="2" t="str">
        <f>IF(Table1[[#This Row],[RequiredDate]]&lt;Table1[[#This Row],[OrderDate]],"Check","OK")</f>
        <v>OK</v>
      </c>
      <c r="E354" s="2">
        <v>45121</v>
      </c>
      <c r="F354" s="15">
        <f t="shared" si="76"/>
        <v>0</v>
      </c>
      <c r="G354" t="s">
        <v>646</v>
      </c>
      <c r="H354" t="s">
        <v>651</v>
      </c>
      <c r="I354" t="s">
        <v>665</v>
      </c>
      <c r="J354" t="s">
        <v>702</v>
      </c>
      <c r="K354" t="s">
        <v>707</v>
      </c>
      <c r="L354" t="s">
        <v>714</v>
      </c>
      <c r="M354" t="s">
        <v>733</v>
      </c>
      <c r="N354" t="s">
        <v>1086</v>
      </c>
      <c r="O354" s="29">
        <v>956.38</v>
      </c>
      <c r="P354" t="str">
        <f>IF(Table1[[#This Row],[UnitPrice]]&lt;=0,"Check","OK")</f>
        <v>OK</v>
      </c>
      <c r="Q354" s="29">
        <f t="shared" si="77"/>
        <v>1454.22</v>
      </c>
      <c r="R354">
        <v>1454.22</v>
      </c>
      <c r="S354" s="5">
        <f>IF(Table1[[#This Row],[Discount_Flag]]="Check", MIN(MAX(Table1[[#This Row],[DiscountPct]],0),0.3), Table1[[#This Row],[DiscountPct]])</f>
        <v>3.9E-2</v>
      </c>
      <c r="T354" t="str">
        <f>IF(OR(Table1[[#This Row],[DiscountPct]]&lt;0,Table1[[#This Row],[DiscountPct]]&gt;0.3),"Check","OK")</f>
        <v>OK</v>
      </c>
      <c r="U354" s="11">
        <v>3.9E-2</v>
      </c>
      <c r="V354" s="15">
        <f t="shared" si="78"/>
        <v>0</v>
      </c>
      <c r="W354" s="11">
        <f t="shared" si="79"/>
        <v>0.31565202802576603</v>
      </c>
      <c r="X354" s="17">
        <f t="shared" si="80"/>
        <v>18171.22</v>
      </c>
      <c r="Y354" s="17">
        <f t="shared" si="81"/>
        <v>8381.3829799999985</v>
      </c>
      <c r="Z354" s="17">
        <f t="shared" si="82"/>
        <v>26552.60298</v>
      </c>
      <c r="AA354" s="17" t="str">
        <f t="shared" si="83"/>
        <v>Q3-2023</v>
      </c>
      <c r="AB354" s="12" t="str">
        <f t="shared" si="84"/>
        <v>Jul-2023</v>
      </c>
      <c r="AC354" s="12" t="str">
        <f t="shared" si="85"/>
        <v>Medium</v>
      </c>
      <c r="AD354">
        <v>19</v>
      </c>
      <c r="AE354" s="12">
        <f>_xlfn.MINIFS(Table1[MonthDate], Table1[Country], Table1[[#This Row],[Country]])</f>
        <v>44927</v>
      </c>
      <c r="AF354" s="12">
        <f t="shared" si="86"/>
        <v>45108</v>
      </c>
      <c r="AG354">
        <f>AD354*(1 + Scenario_Control!$B$4)</f>
        <v>20.900000000000002</v>
      </c>
      <c r="AH354">
        <f>O354*(1 + Scenario_Control!$B$3)</f>
        <v>1004.1990000000001</v>
      </c>
      <c r="AI354">
        <f t="shared" si="87"/>
        <v>5841.5726556</v>
      </c>
      <c r="AJ354">
        <f t="shared" si="88"/>
        <v>-15146.186444400002</v>
      </c>
      <c r="AK354" s="29">
        <f>MIN(Q354*(1-U354), Scenario_Control!$B$2*Q354)</f>
        <v>290.84399999999999</v>
      </c>
      <c r="AL354" s="15">
        <f t="shared" si="89"/>
        <v>1</v>
      </c>
      <c r="AM354" s="8">
        <f>DATEDIF(Table1[[#This Row],[Country_FirstMonth]], Table1[[#This Row],[MonthDate]], "m")</f>
        <v>6</v>
      </c>
    </row>
    <row r="355" spans="1:39" x14ac:dyDescent="0.25">
      <c r="A355" t="s">
        <v>367</v>
      </c>
      <c r="B355" s="12">
        <v>45512</v>
      </c>
      <c r="C355" s="12">
        <f t="shared" si="75"/>
        <v>45524</v>
      </c>
      <c r="D355" s="2" t="str">
        <f>IF(Table1[[#This Row],[RequiredDate]]&lt;Table1[[#This Row],[OrderDate]],"Check","OK")</f>
        <v>OK</v>
      </c>
      <c r="E355" s="2">
        <v>45524</v>
      </c>
      <c r="F355" s="15">
        <f t="shared" si="76"/>
        <v>12</v>
      </c>
      <c r="G355" t="s">
        <v>647</v>
      </c>
      <c r="H355" t="s">
        <v>652</v>
      </c>
      <c r="I355" t="s">
        <v>666</v>
      </c>
      <c r="J355" t="s">
        <v>705</v>
      </c>
      <c r="K355" t="s">
        <v>707</v>
      </c>
      <c r="L355" t="s">
        <v>722</v>
      </c>
      <c r="M355" t="s">
        <v>729</v>
      </c>
      <c r="N355" t="s">
        <v>1087</v>
      </c>
      <c r="O355" s="29">
        <v>1233.3599999999999</v>
      </c>
      <c r="P355" t="str">
        <f>IF(Table1[[#This Row],[UnitPrice]]&lt;=0,"Check","OK")</f>
        <v>OK</v>
      </c>
      <c r="Q355" s="29">
        <f t="shared" si="77"/>
        <v>2120.4</v>
      </c>
      <c r="R355">
        <v>2120.4</v>
      </c>
      <c r="S355" s="5">
        <f>IF(Table1[[#This Row],[Discount_Flag]]="Check", MIN(MAX(Table1[[#This Row],[DiscountPct]],0),0.3), Table1[[#This Row],[DiscountPct]])</f>
        <v>0.17899999999999999</v>
      </c>
      <c r="T355" t="str">
        <f>IF(OR(Table1[[#This Row],[DiscountPct]]&lt;0,Table1[[#This Row],[DiscountPct]]&gt;0.3),"Check","OK")</f>
        <v>OK</v>
      </c>
      <c r="U355" s="11">
        <v>0.17899999999999999</v>
      </c>
      <c r="V355" s="15">
        <f t="shared" si="78"/>
        <v>0</v>
      </c>
      <c r="W355" s="11">
        <f t="shared" si="79"/>
        <v>0.29151785991244278</v>
      </c>
      <c r="X355" s="17">
        <f t="shared" si="80"/>
        <v>24667.199999999997</v>
      </c>
      <c r="Y355" s="17">
        <f t="shared" si="81"/>
        <v>10149.768000000004</v>
      </c>
      <c r="Z355" s="17">
        <f t="shared" si="82"/>
        <v>34816.968000000001</v>
      </c>
      <c r="AA355" s="17" t="str">
        <f t="shared" si="83"/>
        <v>Q3-2024</v>
      </c>
      <c r="AB355" s="12" t="str">
        <f t="shared" si="84"/>
        <v>Aug-2024</v>
      </c>
      <c r="AC355" s="12" t="str">
        <f t="shared" si="85"/>
        <v>High</v>
      </c>
      <c r="AD355">
        <v>20</v>
      </c>
      <c r="AE355" s="12">
        <f>_xlfn.MINIFS(Table1[MonthDate], Table1[Country], Table1[[#This Row],[Country]])</f>
        <v>44986</v>
      </c>
      <c r="AF355" s="12">
        <f t="shared" si="86"/>
        <v>45505</v>
      </c>
      <c r="AG355">
        <f>AD355*(1 + Scenario_Control!$B$4)</f>
        <v>22</v>
      </c>
      <c r="AH355">
        <f>O355*(1 + Scenario_Control!$B$3)</f>
        <v>1295.028</v>
      </c>
      <c r="AI355">
        <f t="shared" si="87"/>
        <v>7659.7329599999994</v>
      </c>
      <c r="AJ355">
        <f t="shared" si="88"/>
        <v>-20830.883040000001</v>
      </c>
      <c r="AK355" s="29">
        <f>MIN(Q355*(1-U355), Scenario_Control!$B$2*Q355)</f>
        <v>424.08000000000004</v>
      </c>
      <c r="AL355" s="15">
        <f t="shared" si="89"/>
        <v>0</v>
      </c>
      <c r="AM355" s="8">
        <f>DATEDIF(Table1[[#This Row],[Country_FirstMonth]], Table1[[#This Row],[MonthDate]], "m")</f>
        <v>17</v>
      </c>
    </row>
    <row r="356" spans="1:39" x14ac:dyDescent="0.25">
      <c r="A356" t="s">
        <v>368</v>
      </c>
      <c r="B356" s="12">
        <v>45603</v>
      </c>
      <c r="C356" s="12">
        <f t="shared" si="75"/>
        <v>45622</v>
      </c>
      <c r="D356" s="2" t="str">
        <f>IF(Table1[[#This Row],[RequiredDate]]&lt;Table1[[#This Row],[OrderDate]],"Check","OK")</f>
        <v>OK</v>
      </c>
      <c r="E356" s="2">
        <v>45622</v>
      </c>
      <c r="F356" s="15">
        <f t="shared" si="76"/>
        <v>19</v>
      </c>
      <c r="G356" t="s">
        <v>648</v>
      </c>
      <c r="H356" t="s">
        <v>655</v>
      </c>
      <c r="I356" t="s">
        <v>692</v>
      </c>
      <c r="J356" t="s">
        <v>703</v>
      </c>
      <c r="K356" t="s">
        <v>710</v>
      </c>
      <c r="L356" t="s">
        <v>713</v>
      </c>
      <c r="M356" t="s">
        <v>728</v>
      </c>
      <c r="N356" t="s">
        <v>1088</v>
      </c>
      <c r="O356" s="29">
        <v>55.35</v>
      </c>
      <c r="P356" t="str">
        <f>IF(Table1[[#This Row],[UnitPrice]]&lt;=0,"Check","OK")</f>
        <v>OK</v>
      </c>
      <c r="Q356" s="29">
        <f t="shared" si="77"/>
        <v>128.68</v>
      </c>
      <c r="R356">
        <v>128.68</v>
      </c>
      <c r="S356" s="5">
        <f>IF(Table1[[#This Row],[Discount_Flag]]="Check", MIN(MAX(Table1[[#This Row],[DiscountPct]],0),0.3), Table1[[#This Row],[DiscountPct]])</f>
        <v>0.128</v>
      </c>
      <c r="T356" t="str">
        <f>IF(OR(Table1[[#This Row],[DiscountPct]]&lt;0,Table1[[#This Row],[DiscountPct]]&gt;0.3),"Check","OK")</f>
        <v>OK</v>
      </c>
      <c r="U356" s="11">
        <v>0.128</v>
      </c>
      <c r="V356" s="15">
        <f t="shared" si="78"/>
        <v>0</v>
      </c>
      <c r="W356" s="11">
        <f t="shared" si="79"/>
        <v>0.50672388372550647</v>
      </c>
      <c r="X356" s="17">
        <f t="shared" si="80"/>
        <v>553.5</v>
      </c>
      <c r="Y356" s="17">
        <f t="shared" si="81"/>
        <v>568.58960000000025</v>
      </c>
      <c r="Z356" s="17">
        <f t="shared" si="82"/>
        <v>1122.0896000000002</v>
      </c>
      <c r="AA356" s="17" t="str">
        <f t="shared" si="83"/>
        <v>Q4-2024</v>
      </c>
      <c r="AB356" s="12" t="str">
        <f t="shared" si="84"/>
        <v>Nov-2024</v>
      </c>
      <c r="AC356" s="12" t="str">
        <f t="shared" si="85"/>
        <v>Low</v>
      </c>
      <c r="AD356">
        <v>10</v>
      </c>
      <c r="AE356" s="12">
        <f>_xlfn.MINIFS(Table1[MonthDate], Table1[Country], Table1[[#This Row],[Country]])</f>
        <v>44927</v>
      </c>
      <c r="AF356" s="12">
        <f t="shared" si="86"/>
        <v>45597</v>
      </c>
      <c r="AG356">
        <f>AD356*(1 + Scenario_Control!$B$4)</f>
        <v>11</v>
      </c>
      <c r="AH356">
        <f>O356*(1 + Scenario_Control!$B$3)</f>
        <v>58.117500000000007</v>
      </c>
      <c r="AI356">
        <f t="shared" si="87"/>
        <v>246.85971200000006</v>
      </c>
      <c r="AJ356">
        <f t="shared" si="88"/>
        <v>-392.43278799999996</v>
      </c>
      <c r="AK356" s="29">
        <f>MIN(Q356*(1-U356), Scenario_Control!$B$2*Q356)</f>
        <v>25.736000000000004</v>
      </c>
      <c r="AL356" s="15">
        <f t="shared" si="89"/>
        <v>0</v>
      </c>
      <c r="AM356" s="8">
        <f>DATEDIF(Table1[[#This Row],[Country_FirstMonth]], Table1[[#This Row],[MonthDate]], "m")</f>
        <v>22</v>
      </c>
    </row>
    <row r="357" spans="1:39" x14ac:dyDescent="0.25">
      <c r="A357" t="s">
        <v>369</v>
      </c>
      <c r="B357" s="12">
        <v>45292</v>
      </c>
      <c r="C357" s="12">
        <f t="shared" si="75"/>
        <v>45318</v>
      </c>
      <c r="D357" s="2" t="str">
        <f>IF(Table1[[#This Row],[RequiredDate]]&lt;Table1[[#This Row],[OrderDate]],"Check","OK")</f>
        <v>OK</v>
      </c>
      <c r="E357" s="2">
        <v>45318</v>
      </c>
      <c r="F357" s="15">
        <f t="shared" si="76"/>
        <v>26</v>
      </c>
      <c r="G357" t="s">
        <v>649</v>
      </c>
      <c r="H357" t="s">
        <v>658</v>
      </c>
      <c r="I357" t="s">
        <v>693</v>
      </c>
      <c r="J357" t="s">
        <v>702</v>
      </c>
      <c r="K357" t="s">
        <v>710</v>
      </c>
      <c r="L357" t="s">
        <v>726</v>
      </c>
      <c r="M357" t="s">
        <v>733</v>
      </c>
      <c r="N357" t="s">
        <v>1089</v>
      </c>
      <c r="O357" s="29">
        <v>657.45</v>
      </c>
      <c r="P357" t="str">
        <f>IF(Table1[[#This Row],[UnitPrice]]&lt;=0,"Check","OK")</f>
        <v>OK</v>
      </c>
      <c r="Q357" s="29">
        <f t="shared" si="77"/>
        <v>1325.96</v>
      </c>
      <c r="R357">
        <v>1325.96</v>
      </c>
      <c r="S357" s="5">
        <f>IF(Table1[[#This Row],[Discount_Flag]]="Check", MIN(MAX(Table1[[#This Row],[DiscountPct]],0),0.3), Table1[[#This Row],[DiscountPct]])</f>
        <v>0.16700000000000001</v>
      </c>
      <c r="T357" t="str">
        <f>IF(OR(Table1[[#This Row],[DiscountPct]]&lt;0,Table1[[#This Row],[DiscountPct]]&gt;0.3),"Check","OK")</f>
        <v>OK</v>
      </c>
      <c r="U357" s="11">
        <v>0.16700000000000001</v>
      </c>
      <c r="V357" s="15">
        <f t="shared" si="78"/>
        <v>0</v>
      </c>
      <c r="W357" s="11">
        <f t="shared" si="79"/>
        <v>0.40476658249048808</v>
      </c>
      <c r="X357" s="17">
        <f t="shared" si="80"/>
        <v>13806.45</v>
      </c>
      <c r="Y357" s="17">
        <f t="shared" si="81"/>
        <v>9388.5682799999995</v>
      </c>
      <c r="Z357" s="17">
        <f t="shared" si="82"/>
        <v>23195.01828</v>
      </c>
      <c r="AA357" s="17" t="str">
        <f t="shared" si="83"/>
        <v>Q1-2024</v>
      </c>
      <c r="AB357" s="12" t="str">
        <f t="shared" si="84"/>
        <v>Jan-2024</v>
      </c>
      <c r="AC357" s="12" t="str">
        <f t="shared" si="85"/>
        <v>Medium</v>
      </c>
      <c r="AD357">
        <v>21</v>
      </c>
      <c r="AE357" s="12">
        <f>_xlfn.MINIFS(Table1[MonthDate], Table1[Country], Table1[[#This Row],[Country]])</f>
        <v>44927</v>
      </c>
      <c r="AF357" s="12">
        <f t="shared" si="86"/>
        <v>45292</v>
      </c>
      <c r="AG357">
        <f>AD357*(1 + Scenario_Control!$B$4)</f>
        <v>23.1</v>
      </c>
      <c r="AH357">
        <f>O357*(1 + Scenario_Control!$B$3)</f>
        <v>690.3225000000001</v>
      </c>
      <c r="AI357">
        <f t="shared" si="87"/>
        <v>5102.9040216000003</v>
      </c>
      <c r="AJ357">
        <f t="shared" si="88"/>
        <v>-10843.545728400004</v>
      </c>
      <c r="AK357" s="29">
        <f>MIN(Q357*(1-U357), Scenario_Control!$B$2*Q357)</f>
        <v>265.19200000000001</v>
      </c>
      <c r="AL357" s="15">
        <f t="shared" si="89"/>
        <v>0</v>
      </c>
      <c r="AM357" s="8">
        <f>DATEDIF(Table1[[#This Row],[Country_FirstMonth]], Table1[[#This Row],[MonthDate]], "m")</f>
        <v>12</v>
      </c>
    </row>
    <row r="358" spans="1:39" x14ac:dyDescent="0.25">
      <c r="A358" t="s">
        <v>370</v>
      </c>
      <c r="B358" s="12">
        <v>45883</v>
      </c>
      <c r="C358" s="12">
        <f t="shared" si="75"/>
        <v>45911</v>
      </c>
      <c r="D358" s="2" t="str">
        <f>IF(Table1[[#This Row],[RequiredDate]]&lt;Table1[[#This Row],[OrderDate]],"Check","OK")</f>
        <v>OK</v>
      </c>
      <c r="E358" s="2">
        <v>45911</v>
      </c>
      <c r="F358" s="15">
        <f t="shared" si="76"/>
        <v>28</v>
      </c>
      <c r="G358" t="s">
        <v>648</v>
      </c>
      <c r="H358" t="s">
        <v>655</v>
      </c>
      <c r="I358" t="s">
        <v>670</v>
      </c>
      <c r="J358" t="s">
        <v>703</v>
      </c>
      <c r="K358" t="s">
        <v>711</v>
      </c>
      <c r="L358" t="s">
        <v>721</v>
      </c>
      <c r="M358" t="s">
        <v>728</v>
      </c>
      <c r="N358" t="s">
        <v>1090</v>
      </c>
      <c r="O358" s="29">
        <v>1203.02</v>
      </c>
      <c r="P358" t="str">
        <f>IF(Table1[[#This Row],[UnitPrice]]&lt;=0,"Check","OK")</f>
        <v>OK</v>
      </c>
      <c r="Q358" s="29">
        <f t="shared" si="77"/>
        <v>2439.33</v>
      </c>
      <c r="R358">
        <v>2439.33</v>
      </c>
      <c r="S358" s="5">
        <f>IF(Table1[[#This Row],[Discount_Flag]]="Check", MIN(MAX(Table1[[#This Row],[DiscountPct]],0),0.3), Table1[[#This Row],[DiscountPct]])</f>
        <v>0</v>
      </c>
      <c r="T358" t="str">
        <f>IF(OR(Table1[[#This Row],[DiscountPct]]&lt;0,Table1[[#This Row],[DiscountPct]]&gt;0.3),"Check","OK")</f>
        <v>OK</v>
      </c>
      <c r="U358" s="11">
        <v>0</v>
      </c>
      <c r="V358" s="15">
        <f t="shared" si="78"/>
        <v>0</v>
      </c>
      <c r="W358" s="11">
        <f t="shared" si="79"/>
        <v>0.50682359500354612</v>
      </c>
      <c r="X358" s="17">
        <f t="shared" si="80"/>
        <v>21654.36</v>
      </c>
      <c r="Y358" s="17">
        <f t="shared" si="81"/>
        <v>22253.58</v>
      </c>
      <c r="Z358" s="17">
        <f t="shared" si="82"/>
        <v>43907.94</v>
      </c>
      <c r="AA358" s="17" t="str">
        <f t="shared" si="83"/>
        <v>Q3-2025</v>
      </c>
      <c r="AB358" s="12" t="str">
        <f t="shared" si="84"/>
        <v>Aug-2025</v>
      </c>
      <c r="AC358" s="12" t="str">
        <f t="shared" si="85"/>
        <v>High</v>
      </c>
      <c r="AD358">
        <v>18</v>
      </c>
      <c r="AE358" s="12">
        <f>_xlfn.MINIFS(Table1[MonthDate], Table1[Country], Table1[[#This Row],[Country]])</f>
        <v>44927</v>
      </c>
      <c r="AF358" s="12">
        <f t="shared" si="86"/>
        <v>45870</v>
      </c>
      <c r="AG358">
        <f>AD358*(1 + Scenario_Control!$B$4)</f>
        <v>19.8</v>
      </c>
      <c r="AH358">
        <f>O358*(1 + Scenario_Control!$B$3)</f>
        <v>1263.171</v>
      </c>
      <c r="AI358">
        <f t="shared" si="87"/>
        <v>9659.7468000000008</v>
      </c>
      <c r="AJ358">
        <f t="shared" si="88"/>
        <v>-15351.039000000001</v>
      </c>
      <c r="AK358" s="29">
        <f>MIN(Q358*(1-U358), Scenario_Control!$B$2*Q358)</f>
        <v>487.86599999999999</v>
      </c>
      <c r="AL358" s="15">
        <f t="shared" si="89"/>
        <v>0</v>
      </c>
      <c r="AM358" s="8">
        <f>DATEDIF(Table1[[#This Row],[Country_FirstMonth]], Table1[[#This Row],[MonthDate]], "m")</f>
        <v>31</v>
      </c>
    </row>
    <row r="359" spans="1:39" x14ac:dyDescent="0.25">
      <c r="A359" t="s">
        <v>371</v>
      </c>
      <c r="B359" s="12">
        <v>45385</v>
      </c>
      <c r="C359" s="12">
        <f t="shared" si="75"/>
        <v>45403</v>
      </c>
      <c r="D359" s="2" t="str">
        <f>IF(Table1[[#This Row],[RequiredDate]]&lt;Table1[[#This Row],[OrderDate]],"Check","OK")</f>
        <v>OK</v>
      </c>
      <c r="E359" s="2">
        <v>45403</v>
      </c>
      <c r="F359" s="15">
        <f t="shared" si="76"/>
        <v>18</v>
      </c>
      <c r="G359" t="s">
        <v>648</v>
      </c>
      <c r="H359" t="s">
        <v>655</v>
      </c>
      <c r="I359" t="s">
        <v>672</v>
      </c>
      <c r="J359" t="s">
        <v>705</v>
      </c>
      <c r="K359" t="s">
        <v>710</v>
      </c>
      <c r="L359" t="s">
        <v>717</v>
      </c>
      <c r="M359" t="s">
        <v>729</v>
      </c>
      <c r="N359" t="s">
        <v>1091</v>
      </c>
      <c r="O359" s="29">
        <v>1176.69</v>
      </c>
      <c r="P359" t="str">
        <f>IF(Table1[[#This Row],[UnitPrice]]&lt;=0,"Check","OK")</f>
        <v>OK</v>
      </c>
      <c r="Q359" s="29">
        <f t="shared" si="77"/>
        <v>2201.54</v>
      </c>
      <c r="R359">
        <v>2201.54</v>
      </c>
      <c r="S359" s="5">
        <f>IF(Table1[[#This Row],[Discount_Flag]]="Check", MIN(MAX(Table1[[#This Row],[DiscountPct]],0),0.3), Table1[[#This Row],[DiscountPct]])</f>
        <v>0.17</v>
      </c>
      <c r="T359" t="str">
        <f>IF(OR(Table1[[#This Row],[DiscountPct]]&lt;0,Table1[[#This Row],[DiscountPct]]&gt;0.3),"Check","OK")</f>
        <v>OK</v>
      </c>
      <c r="U359" s="11">
        <v>0.17</v>
      </c>
      <c r="V359" s="15">
        <f t="shared" si="78"/>
        <v>0</v>
      </c>
      <c r="W359" s="11">
        <f t="shared" si="79"/>
        <v>0.35604222717701106</v>
      </c>
      <c r="X359" s="17">
        <f t="shared" si="80"/>
        <v>31770.63</v>
      </c>
      <c r="Y359" s="17">
        <f t="shared" si="81"/>
        <v>17565.881399999995</v>
      </c>
      <c r="Z359" s="17">
        <f t="shared" si="82"/>
        <v>49336.511399999996</v>
      </c>
      <c r="AA359" s="17" t="str">
        <f t="shared" si="83"/>
        <v>Q2-2024</v>
      </c>
      <c r="AB359" s="12" t="str">
        <f t="shared" si="84"/>
        <v>Apr-2024</v>
      </c>
      <c r="AC359" s="12" t="str">
        <f t="shared" si="85"/>
        <v>High</v>
      </c>
      <c r="AD359">
        <v>27</v>
      </c>
      <c r="AE359" s="12">
        <f>_xlfn.MINIFS(Table1[MonthDate], Table1[Country], Table1[[#This Row],[Country]])</f>
        <v>44927</v>
      </c>
      <c r="AF359" s="12">
        <f t="shared" si="86"/>
        <v>45383</v>
      </c>
      <c r="AG359">
        <f>AD359*(1 + Scenario_Control!$B$4)</f>
        <v>29.700000000000003</v>
      </c>
      <c r="AH359">
        <f>O359*(1 + Scenario_Control!$B$3)</f>
        <v>1235.5245000000002</v>
      </c>
      <c r="AI359">
        <f t="shared" si="87"/>
        <v>10854.032508</v>
      </c>
      <c r="AJ359">
        <f t="shared" si="88"/>
        <v>-25841.045142000006</v>
      </c>
      <c r="AK359" s="29">
        <f>MIN(Q359*(1-U359), Scenario_Control!$B$2*Q359)</f>
        <v>440.30799999999999</v>
      </c>
      <c r="AL359" s="15">
        <f t="shared" si="89"/>
        <v>0</v>
      </c>
      <c r="AM359" s="8">
        <f>DATEDIF(Table1[[#This Row],[Country_FirstMonth]], Table1[[#This Row],[MonthDate]], "m")</f>
        <v>15</v>
      </c>
    </row>
    <row r="360" spans="1:39" x14ac:dyDescent="0.25">
      <c r="A360" t="s">
        <v>372</v>
      </c>
      <c r="B360" s="12">
        <v>45621</v>
      </c>
      <c r="C360" s="12">
        <f t="shared" si="75"/>
        <v>45633</v>
      </c>
      <c r="D360" s="2" t="str">
        <f>IF(Table1[[#This Row],[RequiredDate]]&lt;Table1[[#This Row],[OrderDate]],"Check","OK")</f>
        <v>OK</v>
      </c>
      <c r="E360" s="2">
        <v>45633</v>
      </c>
      <c r="F360" s="15">
        <f t="shared" si="76"/>
        <v>12</v>
      </c>
      <c r="G360" t="s">
        <v>647</v>
      </c>
      <c r="H360" t="s">
        <v>659</v>
      </c>
      <c r="I360" t="s">
        <v>685</v>
      </c>
      <c r="J360" t="s">
        <v>701</v>
      </c>
      <c r="K360" t="s">
        <v>710</v>
      </c>
      <c r="L360" t="s">
        <v>720</v>
      </c>
      <c r="M360" t="s">
        <v>733</v>
      </c>
      <c r="N360" t="s">
        <v>1092</v>
      </c>
      <c r="O360" s="29">
        <v>769.9</v>
      </c>
      <c r="P360" t="str">
        <f>IF(Table1[[#This Row],[UnitPrice]]&lt;=0,"Check","OK")</f>
        <v>OK</v>
      </c>
      <c r="Q360" s="29">
        <f t="shared" si="77"/>
        <v>814.36</v>
      </c>
      <c r="R360">
        <v>814.36</v>
      </c>
      <c r="S360" s="5">
        <f>IF(Table1[[#This Row],[Discount_Flag]]="Check", MIN(MAX(Table1[[#This Row],[DiscountPct]],0),0.3), Table1[[#This Row],[DiscountPct]])</f>
        <v>0</v>
      </c>
      <c r="T360" t="str">
        <f>IF(OR(Table1[[#This Row],[DiscountPct]]&lt;0,Table1[[#This Row],[DiscountPct]]&gt;0.3),"Check","OK")</f>
        <v>OK</v>
      </c>
      <c r="U360" s="11">
        <v>0</v>
      </c>
      <c r="V360" s="15">
        <f t="shared" si="78"/>
        <v>0</v>
      </c>
      <c r="W360" s="11">
        <f t="shared" si="79"/>
        <v>5.4595019401738831E-2</v>
      </c>
      <c r="X360" s="17">
        <f t="shared" si="80"/>
        <v>3849.5</v>
      </c>
      <c r="Y360" s="17">
        <f t="shared" si="81"/>
        <v>222.30000000000018</v>
      </c>
      <c r="Z360" s="17">
        <f t="shared" si="82"/>
        <v>4071.8</v>
      </c>
      <c r="AA360" s="17" t="str">
        <f t="shared" si="83"/>
        <v>Q4-2024</v>
      </c>
      <c r="AB360" s="12" t="str">
        <f t="shared" si="84"/>
        <v>Nov-2024</v>
      </c>
      <c r="AC360" s="12" t="str">
        <f t="shared" si="85"/>
        <v>Medium</v>
      </c>
      <c r="AD360">
        <v>5</v>
      </c>
      <c r="AE360" s="12">
        <f>_xlfn.MINIFS(Table1[MonthDate], Table1[Country], Table1[[#This Row],[Country]])</f>
        <v>44927</v>
      </c>
      <c r="AF360" s="12">
        <f t="shared" si="86"/>
        <v>45597</v>
      </c>
      <c r="AG360">
        <f>AD360*(1 + Scenario_Control!$B$4)</f>
        <v>5.5</v>
      </c>
      <c r="AH360">
        <f>O360*(1 + Scenario_Control!$B$3)</f>
        <v>808.39499999999998</v>
      </c>
      <c r="AI360">
        <f t="shared" si="87"/>
        <v>895.79600000000005</v>
      </c>
      <c r="AJ360">
        <f t="shared" si="88"/>
        <v>-3550.3764999999994</v>
      </c>
      <c r="AK360" s="29">
        <f>MIN(Q360*(1-U360), Scenario_Control!$B$2*Q360)</f>
        <v>162.87200000000001</v>
      </c>
      <c r="AL360" s="15">
        <f t="shared" si="89"/>
        <v>0</v>
      </c>
      <c r="AM360" s="8">
        <f>DATEDIF(Table1[[#This Row],[Country_FirstMonth]], Table1[[#This Row],[MonthDate]], "m")</f>
        <v>22</v>
      </c>
    </row>
    <row r="361" spans="1:39" x14ac:dyDescent="0.25">
      <c r="A361" t="s">
        <v>373</v>
      </c>
      <c r="B361" s="12">
        <v>45309</v>
      </c>
      <c r="C361" s="12">
        <f t="shared" si="75"/>
        <v>45325</v>
      </c>
      <c r="D361" s="2" t="str">
        <f>IF(Table1[[#This Row],[RequiredDate]]&lt;Table1[[#This Row],[OrderDate]],"Check","OK")</f>
        <v>OK</v>
      </c>
      <c r="E361" s="2">
        <v>45325</v>
      </c>
      <c r="F361" s="15">
        <f t="shared" si="76"/>
        <v>16</v>
      </c>
      <c r="G361" t="s">
        <v>646</v>
      </c>
      <c r="H361" t="s">
        <v>661</v>
      </c>
      <c r="I361" t="s">
        <v>695</v>
      </c>
      <c r="J361" t="s">
        <v>703</v>
      </c>
      <c r="K361" t="s">
        <v>710</v>
      </c>
      <c r="L361" t="s">
        <v>716</v>
      </c>
      <c r="M361" t="s">
        <v>728</v>
      </c>
      <c r="N361" t="s">
        <v>1093</v>
      </c>
      <c r="O361" s="29">
        <v>666.23</v>
      </c>
      <c r="P361" t="str">
        <f>IF(Table1[[#This Row],[UnitPrice]]&lt;=0,"Check","OK")</f>
        <v>OK</v>
      </c>
      <c r="Q361" s="29">
        <f t="shared" si="77"/>
        <v>1382.91</v>
      </c>
      <c r="R361">
        <v>1382.91</v>
      </c>
      <c r="S361" s="5">
        <f>IF(Table1[[#This Row],[Discount_Flag]]="Check", MIN(MAX(Table1[[#This Row],[DiscountPct]],0),0.3), Table1[[#This Row],[DiscountPct]])</f>
        <v>0.17599999999999999</v>
      </c>
      <c r="T361" t="str">
        <f>IF(OR(Table1[[#This Row],[DiscountPct]]&lt;0,Table1[[#This Row],[DiscountPct]]&gt;0.3),"Check","OK")</f>
        <v>OK</v>
      </c>
      <c r="U361" s="11">
        <v>0.17599999999999999</v>
      </c>
      <c r="V361" s="15">
        <f t="shared" si="78"/>
        <v>0</v>
      </c>
      <c r="W361" s="11">
        <f t="shared" si="79"/>
        <v>0.41534043907553048</v>
      </c>
      <c r="X361" s="17">
        <f t="shared" si="80"/>
        <v>8660.99</v>
      </c>
      <c r="Y361" s="17">
        <f t="shared" si="81"/>
        <v>6152.7419200000022</v>
      </c>
      <c r="Z361" s="17">
        <f t="shared" si="82"/>
        <v>14813.731920000002</v>
      </c>
      <c r="AA361" s="17" t="str">
        <f t="shared" si="83"/>
        <v>Q1-2024</v>
      </c>
      <c r="AB361" s="12" t="str">
        <f t="shared" si="84"/>
        <v>Jan-2024</v>
      </c>
      <c r="AC361" s="12" t="str">
        <f t="shared" si="85"/>
        <v>Medium</v>
      </c>
      <c r="AD361">
        <v>13</v>
      </c>
      <c r="AE361" s="12">
        <f>_xlfn.MINIFS(Table1[MonthDate], Table1[Country], Table1[[#This Row],[Country]])</f>
        <v>44927</v>
      </c>
      <c r="AF361" s="12">
        <f t="shared" si="86"/>
        <v>45292</v>
      </c>
      <c r="AG361">
        <f>AD361*(1 + Scenario_Control!$B$4)</f>
        <v>14.3</v>
      </c>
      <c r="AH361">
        <f>O361*(1 + Scenario_Control!$B$3)</f>
        <v>699.54150000000004</v>
      </c>
      <c r="AI361">
        <f t="shared" si="87"/>
        <v>3259.0210224000011</v>
      </c>
      <c r="AJ361">
        <f t="shared" si="88"/>
        <v>-6744.4224275999995</v>
      </c>
      <c r="AK361" s="29">
        <f>MIN(Q361*(1-U361), Scenario_Control!$B$2*Q361)</f>
        <v>276.58200000000005</v>
      </c>
      <c r="AL361" s="15">
        <f t="shared" si="89"/>
        <v>0</v>
      </c>
      <c r="AM361" s="8">
        <f>DATEDIF(Table1[[#This Row],[Country_FirstMonth]], Table1[[#This Row],[MonthDate]], "m")</f>
        <v>12</v>
      </c>
    </row>
    <row r="362" spans="1:39" x14ac:dyDescent="0.25">
      <c r="A362" t="s">
        <v>374</v>
      </c>
      <c r="B362" s="12">
        <v>45466</v>
      </c>
      <c r="C362" s="12">
        <f t="shared" si="75"/>
        <v>45468</v>
      </c>
      <c r="D362" s="2" t="str">
        <f>IF(Table1[[#This Row],[RequiredDate]]&lt;Table1[[#This Row],[OrderDate]],"Check","OK")</f>
        <v>OK</v>
      </c>
      <c r="E362" s="2">
        <v>45468</v>
      </c>
      <c r="F362" s="15">
        <f t="shared" si="76"/>
        <v>2</v>
      </c>
      <c r="G362" t="s">
        <v>649</v>
      </c>
      <c r="H362" t="s">
        <v>658</v>
      </c>
      <c r="I362" t="s">
        <v>674</v>
      </c>
      <c r="J362" t="s">
        <v>705</v>
      </c>
      <c r="K362" t="s">
        <v>709</v>
      </c>
      <c r="L362" t="s">
        <v>716</v>
      </c>
      <c r="M362" t="s">
        <v>733</v>
      </c>
      <c r="N362" t="s">
        <v>1094</v>
      </c>
      <c r="O362" s="29">
        <v>951.44</v>
      </c>
      <c r="P362" t="str">
        <f>IF(Table1[[#This Row],[UnitPrice]]&lt;=0,"Check","OK")</f>
        <v>OK</v>
      </c>
      <c r="Q362" s="29">
        <f t="shared" si="77"/>
        <v>1646.43</v>
      </c>
      <c r="R362">
        <v>1646.43</v>
      </c>
      <c r="S362" s="5">
        <f>IF(Table1[[#This Row],[Discount_Flag]]="Check", MIN(MAX(Table1[[#This Row],[DiscountPct]],0),0.3), Table1[[#This Row],[DiscountPct]])</f>
        <v>0.11</v>
      </c>
      <c r="T362" t="str">
        <f>IF(OR(Table1[[#This Row],[DiscountPct]]&lt;0,Table1[[#This Row],[DiscountPct]]&gt;0.3),"Check","OK")</f>
        <v>OK</v>
      </c>
      <c r="U362" s="11">
        <v>0.11</v>
      </c>
      <c r="V362" s="15">
        <f t="shared" si="78"/>
        <v>0</v>
      </c>
      <c r="W362" s="11">
        <f t="shared" si="79"/>
        <v>0.35069592520473475</v>
      </c>
      <c r="X362" s="17">
        <f t="shared" si="80"/>
        <v>22834.560000000001</v>
      </c>
      <c r="Y362" s="17">
        <f t="shared" si="81"/>
        <v>12333.184799999999</v>
      </c>
      <c r="Z362" s="17">
        <f t="shared" si="82"/>
        <v>35167.7448</v>
      </c>
      <c r="AA362" s="17" t="str">
        <f t="shared" si="83"/>
        <v>Q2-2024</v>
      </c>
      <c r="AB362" s="12" t="str">
        <f t="shared" si="84"/>
        <v>Jun-2024</v>
      </c>
      <c r="AC362" s="12" t="str">
        <f t="shared" si="85"/>
        <v>Medium</v>
      </c>
      <c r="AD362">
        <v>24</v>
      </c>
      <c r="AE362" s="12">
        <f>_xlfn.MINIFS(Table1[MonthDate], Table1[Country], Table1[[#This Row],[Country]])</f>
        <v>44927</v>
      </c>
      <c r="AF362" s="12">
        <f t="shared" si="86"/>
        <v>45444</v>
      </c>
      <c r="AG362">
        <f>AD362*(1 + Scenario_Control!$B$4)</f>
        <v>26.400000000000002</v>
      </c>
      <c r="AH362">
        <f>O362*(1 + Scenario_Control!$B$3)</f>
        <v>999.01200000000006</v>
      </c>
      <c r="AI362">
        <f t="shared" si="87"/>
        <v>7736.9038560000017</v>
      </c>
      <c r="AJ362">
        <f t="shared" si="88"/>
        <v>-18637.012944000002</v>
      </c>
      <c r="AK362" s="29">
        <f>MIN(Q362*(1-U362), Scenario_Control!$B$2*Q362)</f>
        <v>329.28600000000006</v>
      </c>
      <c r="AL362" s="15">
        <f t="shared" si="89"/>
        <v>1</v>
      </c>
      <c r="AM362" s="8">
        <f>DATEDIF(Table1[[#This Row],[Country_FirstMonth]], Table1[[#This Row],[MonthDate]], "m")</f>
        <v>17</v>
      </c>
    </row>
    <row r="363" spans="1:39" x14ac:dyDescent="0.25">
      <c r="A363" t="s">
        <v>375</v>
      </c>
      <c r="B363" s="12">
        <v>45833</v>
      </c>
      <c r="C363" s="12">
        <f t="shared" si="75"/>
        <v>45848</v>
      </c>
      <c r="D363" s="2" t="str">
        <f>IF(Table1[[#This Row],[RequiredDate]]&lt;Table1[[#This Row],[OrderDate]],"Check","OK")</f>
        <v>OK</v>
      </c>
      <c r="E363" s="2">
        <v>45848</v>
      </c>
      <c r="F363" s="15">
        <f t="shared" si="76"/>
        <v>15</v>
      </c>
      <c r="G363" t="s">
        <v>649</v>
      </c>
      <c r="H363" t="s">
        <v>658</v>
      </c>
      <c r="I363" t="s">
        <v>674</v>
      </c>
      <c r="J363" t="s">
        <v>703</v>
      </c>
      <c r="K363" t="s">
        <v>709</v>
      </c>
      <c r="L363" t="s">
        <v>726</v>
      </c>
      <c r="M363" t="s">
        <v>730</v>
      </c>
      <c r="N363" t="s">
        <v>1095</v>
      </c>
      <c r="O363" s="29">
        <v>546.83000000000004</v>
      </c>
      <c r="P363" t="str">
        <f>IF(Table1[[#This Row],[UnitPrice]]&lt;=0,"Check","OK")</f>
        <v>OK</v>
      </c>
      <c r="Q363" s="29">
        <f t="shared" si="77"/>
        <v>400.84</v>
      </c>
      <c r="R363">
        <v>400.84</v>
      </c>
      <c r="S363" s="5">
        <f>IF(Table1[[#This Row],[Discount_Flag]]="Check", MIN(MAX(Table1[[#This Row],[DiscountPct]],0),0.3), Table1[[#This Row],[DiscountPct]])</f>
        <v>7.8E-2</v>
      </c>
      <c r="T363" t="str">
        <f>IF(OR(Table1[[#This Row],[DiscountPct]]&lt;0,Table1[[#This Row],[DiscountPct]]&gt;0.3),"Check","OK")</f>
        <v>OK</v>
      </c>
      <c r="U363" s="11">
        <v>7.8E-2</v>
      </c>
      <c r="V363" s="15">
        <f t="shared" si="78"/>
        <v>0</v>
      </c>
      <c r="W363" s="11">
        <f t="shared" si="79"/>
        <v>-0.47962056254533608</v>
      </c>
      <c r="X363" s="17">
        <f t="shared" si="80"/>
        <v>7108.7900000000009</v>
      </c>
      <c r="Y363" s="17">
        <f t="shared" si="81"/>
        <v>-2304.3217600000007</v>
      </c>
      <c r="Z363" s="17">
        <f t="shared" si="82"/>
        <v>4804.4682400000002</v>
      </c>
      <c r="AA363" s="17" t="str">
        <f t="shared" si="83"/>
        <v>Q2-2025</v>
      </c>
      <c r="AB363" s="12" t="str">
        <f t="shared" si="84"/>
        <v>Jun-2025</v>
      </c>
      <c r="AC363" s="12" t="str">
        <f t="shared" si="85"/>
        <v>Low</v>
      </c>
      <c r="AD363">
        <v>13</v>
      </c>
      <c r="AE363" s="12">
        <f>_xlfn.MINIFS(Table1[MonthDate], Table1[Country], Table1[[#This Row],[Country]])</f>
        <v>44927</v>
      </c>
      <c r="AF363" s="12">
        <f t="shared" si="86"/>
        <v>45809</v>
      </c>
      <c r="AG363">
        <f>AD363*(1 + Scenario_Control!$B$4)</f>
        <v>14.3</v>
      </c>
      <c r="AH363">
        <f>O363*(1 + Scenario_Control!$B$3)</f>
        <v>574.17150000000004</v>
      </c>
      <c r="AI363">
        <f t="shared" si="87"/>
        <v>1056.9830128000001</v>
      </c>
      <c r="AJ363">
        <f t="shared" si="88"/>
        <v>-7153.6694372000011</v>
      </c>
      <c r="AK363" s="29">
        <f>MIN(Q363*(1-U363), Scenario_Control!$B$2*Q363)</f>
        <v>80.168000000000006</v>
      </c>
      <c r="AL363" s="15">
        <f t="shared" si="89"/>
        <v>0</v>
      </c>
      <c r="AM363" s="8">
        <f>DATEDIF(Table1[[#This Row],[Country_FirstMonth]], Table1[[#This Row],[MonthDate]], "m")</f>
        <v>29</v>
      </c>
    </row>
    <row r="364" spans="1:39" x14ac:dyDescent="0.25">
      <c r="A364" t="s">
        <v>376</v>
      </c>
      <c r="B364" s="12">
        <v>45108</v>
      </c>
      <c r="C364" s="12">
        <f t="shared" si="75"/>
        <v>45115</v>
      </c>
      <c r="D364" s="2" t="str">
        <f>IF(Table1[[#This Row],[RequiredDate]]&lt;Table1[[#This Row],[OrderDate]],"Check","OK")</f>
        <v>OK</v>
      </c>
      <c r="E364" s="2">
        <v>45115</v>
      </c>
      <c r="F364" s="15">
        <f t="shared" si="76"/>
        <v>7</v>
      </c>
      <c r="G364" t="s">
        <v>646</v>
      </c>
      <c r="H364" t="s">
        <v>651</v>
      </c>
      <c r="I364" t="s">
        <v>663</v>
      </c>
      <c r="J364" t="s">
        <v>701</v>
      </c>
      <c r="K364" t="s">
        <v>707</v>
      </c>
      <c r="L364" t="s">
        <v>720</v>
      </c>
      <c r="M364" t="s">
        <v>731</v>
      </c>
      <c r="N364" t="s">
        <v>1096</v>
      </c>
      <c r="O364" s="29">
        <v>834.26</v>
      </c>
      <c r="P364" t="str">
        <f>IF(Table1[[#This Row],[UnitPrice]]&lt;=0,"Check","OK")</f>
        <v>OK</v>
      </c>
      <c r="Q364" s="29">
        <f t="shared" si="77"/>
        <v>1780.56</v>
      </c>
      <c r="R364">
        <v>1780.56</v>
      </c>
      <c r="S364" s="5">
        <f>IF(Table1[[#This Row],[Discount_Flag]]="Check", MIN(MAX(Table1[[#This Row],[DiscountPct]],0),0.3), Table1[[#This Row],[DiscountPct]])</f>
        <v>1.4E-2</v>
      </c>
      <c r="T364" t="str">
        <f>IF(OR(Table1[[#This Row],[DiscountPct]]&lt;0,Table1[[#This Row],[DiscountPct]]&gt;0.3),"Check","OK")</f>
        <v>OK</v>
      </c>
      <c r="U364" s="11">
        <v>1.4E-2</v>
      </c>
      <c r="V364" s="15">
        <f t="shared" si="78"/>
        <v>0</v>
      </c>
      <c r="W364" s="11">
        <f t="shared" si="79"/>
        <v>0.5248093427497933</v>
      </c>
      <c r="X364" s="17">
        <f t="shared" si="80"/>
        <v>39210.22</v>
      </c>
      <c r="Y364" s="17">
        <f t="shared" si="81"/>
        <v>43304.491519999996</v>
      </c>
      <c r="Z364" s="17">
        <f t="shared" si="82"/>
        <v>82514.711519999997</v>
      </c>
      <c r="AA364" s="17" t="str">
        <f t="shared" si="83"/>
        <v>Q3-2023</v>
      </c>
      <c r="AB364" s="12" t="str">
        <f t="shared" si="84"/>
        <v>Jul-2023</v>
      </c>
      <c r="AC364" s="12" t="str">
        <f t="shared" si="85"/>
        <v>Medium</v>
      </c>
      <c r="AD364">
        <v>47</v>
      </c>
      <c r="AE364" s="12">
        <f>_xlfn.MINIFS(Table1[MonthDate], Table1[Country], Table1[[#This Row],[Country]])</f>
        <v>44927</v>
      </c>
      <c r="AF364" s="12">
        <f t="shared" si="86"/>
        <v>45108</v>
      </c>
      <c r="AG364">
        <f>AD364*(1 + Scenario_Control!$B$4)</f>
        <v>51.7</v>
      </c>
      <c r="AH364">
        <f>O364*(1 + Scenario_Control!$B$3)</f>
        <v>875.97300000000007</v>
      </c>
      <c r="AI364">
        <f t="shared" si="87"/>
        <v>18153.236534400003</v>
      </c>
      <c r="AJ364">
        <f t="shared" si="88"/>
        <v>-27134.567565600006</v>
      </c>
      <c r="AK364" s="29">
        <f>MIN(Q364*(1-U364), Scenario_Control!$B$2*Q364)</f>
        <v>356.11200000000002</v>
      </c>
      <c r="AL364" s="15">
        <f t="shared" si="89"/>
        <v>1</v>
      </c>
      <c r="AM364" s="8">
        <f>DATEDIF(Table1[[#This Row],[Country_FirstMonth]], Table1[[#This Row],[MonthDate]], "m")</f>
        <v>6</v>
      </c>
    </row>
    <row r="365" spans="1:39" x14ac:dyDescent="0.25">
      <c r="A365" t="s">
        <v>377</v>
      </c>
      <c r="B365" s="12">
        <v>45360</v>
      </c>
      <c r="C365" s="12">
        <f t="shared" si="75"/>
        <v>45377</v>
      </c>
      <c r="D365" s="2" t="str">
        <f>IF(Table1[[#This Row],[RequiredDate]]&lt;Table1[[#This Row],[OrderDate]],"Check","OK")</f>
        <v>OK</v>
      </c>
      <c r="E365" s="2">
        <v>45377</v>
      </c>
      <c r="F365" s="15">
        <f t="shared" si="76"/>
        <v>17</v>
      </c>
      <c r="G365" t="s">
        <v>647</v>
      </c>
      <c r="H365" t="s">
        <v>659</v>
      </c>
      <c r="I365" t="s">
        <v>676</v>
      </c>
      <c r="J365" t="s">
        <v>706</v>
      </c>
      <c r="K365" t="s">
        <v>708</v>
      </c>
      <c r="L365" t="s">
        <v>723</v>
      </c>
      <c r="M365" t="s">
        <v>732</v>
      </c>
      <c r="N365" t="s">
        <v>1097</v>
      </c>
      <c r="O365" s="29">
        <v>1029.67</v>
      </c>
      <c r="P365" t="str">
        <f>IF(Table1[[#This Row],[UnitPrice]]&lt;=0,"Check","OK")</f>
        <v>OK</v>
      </c>
      <c r="Q365" s="29">
        <f t="shared" si="77"/>
        <v>1118.43</v>
      </c>
      <c r="R365">
        <v>1118.43</v>
      </c>
      <c r="S365" s="5">
        <f>IF(Table1[[#This Row],[Discount_Flag]]="Check", MIN(MAX(Table1[[#This Row],[DiscountPct]],0),0.3), Table1[[#This Row],[DiscountPct]])</f>
        <v>0.27200000000000002</v>
      </c>
      <c r="T365" t="str">
        <f>IF(OR(Table1[[#This Row],[DiscountPct]]&lt;0,Table1[[#This Row],[DiscountPct]]&gt;0.3),"Check","OK")</f>
        <v>OK</v>
      </c>
      <c r="U365" s="11">
        <v>0.27200000000000002</v>
      </c>
      <c r="V365" s="15">
        <f t="shared" si="78"/>
        <v>1</v>
      </c>
      <c r="W365" s="11">
        <f t="shared" si="79"/>
        <v>-0.26461367106736061</v>
      </c>
      <c r="X365" s="17">
        <f t="shared" si="80"/>
        <v>9267.0300000000007</v>
      </c>
      <c r="Y365" s="17">
        <f t="shared" si="81"/>
        <v>-1939.0766400000002</v>
      </c>
      <c r="Z365" s="17">
        <f t="shared" si="82"/>
        <v>7327.9533600000004</v>
      </c>
      <c r="AA365" s="17" t="str">
        <f t="shared" si="83"/>
        <v>Q1-2024</v>
      </c>
      <c r="AB365" s="12" t="str">
        <f t="shared" si="84"/>
        <v>Mar-2024</v>
      </c>
      <c r="AC365" s="12" t="str">
        <f t="shared" si="85"/>
        <v>Medium</v>
      </c>
      <c r="AD365">
        <v>9</v>
      </c>
      <c r="AE365" s="12">
        <f>_xlfn.MINIFS(Table1[MonthDate], Table1[Country], Table1[[#This Row],[Country]])</f>
        <v>44927</v>
      </c>
      <c r="AF365" s="12">
        <f t="shared" si="86"/>
        <v>45352</v>
      </c>
      <c r="AG365">
        <f>AD365*(1 + Scenario_Control!$B$4)</f>
        <v>9.9</v>
      </c>
      <c r="AH365">
        <f>O365*(1 + Scenario_Control!$B$3)</f>
        <v>1081.1535000000001</v>
      </c>
      <c r="AI365">
        <f t="shared" si="87"/>
        <v>1612.1497392000001</v>
      </c>
      <c r="AJ365">
        <f t="shared" si="88"/>
        <v>-9091.2699108000015</v>
      </c>
      <c r="AK365" s="29">
        <f>MIN(Q365*(1-U365), Scenario_Control!$B$2*Q365)</f>
        <v>223.68600000000004</v>
      </c>
      <c r="AL365" s="15">
        <f t="shared" si="89"/>
        <v>0</v>
      </c>
      <c r="AM365" s="8">
        <f>DATEDIF(Table1[[#This Row],[Country_FirstMonth]], Table1[[#This Row],[MonthDate]], "m")</f>
        <v>14</v>
      </c>
    </row>
    <row r="366" spans="1:39" x14ac:dyDescent="0.25">
      <c r="A366" t="s">
        <v>378</v>
      </c>
      <c r="B366" s="12">
        <v>45082</v>
      </c>
      <c r="C366" s="12">
        <f t="shared" si="75"/>
        <v>45105</v>
      </c>
      <c r="D366" s="2" t="str">
        <f>IF(Table1[[#This Row],[RequiredDate]]&lt;Table1[[#This Row],[OrderDate]],"Check","OK")</f>
        <v>OK</v>
      </c>
      <c r="E366" s="2">
        <v>45105</v>
      </c>
      <c r="F366" s="15">
        <f t="shared" si="76"/>
        <v>23</v>
      </c>
      <c r="G366" t="s">
        <v>649</v>
      </c>
      <c r="H366" t="s">
        <v>658</v>
      </c>
      <c r="I366" t="s">
        <v>674</v>
      </c>
      <c r="J366" t="s">
        <v>701</v>
      </c>
      <c r="K366" t="s">
        <v>711</v>
      </c>
      <c r="L366" t="s">
        <v>723</v>
      </c>
      <c r="M366" t="s">
        <v>728</v>
      </c>
      <c r="N366" t="s">
        <v>1098</v>
      </c>
      <c r="O366" s="29">
        <v>605.82000000000005</v>
      </c>
      <c r="P366" t="str">
        <f>IF(Table1[[#This Row],[UnitPrice]]&lt;=0,"Check","OK")</f>
        <v>OK</v>
      </c>
      <c r="Q366" s="29">
        <f t="shared" si="77"/>
        <v>771.12</v>
      </c>
      <c r="R366">
        <v>771.12</v>
      </c>
      <c r="S366" s="5">
        <f>IF(Table1[[#This Row],[Discount_Flag]]="Check", MIN(MAX(Table1[[#This Row],[DiscountPct]],0),0.3), Table1[[#This Row],[DiscountPct]])</f>
        <v>0.13200000000000001</v>
      </c>
      <c r="T366" t="str">
        <f>IF(OR(Table1[[#This Row],[DiscountPct]]&lt;0,Table1[[#This Row],[DiscountPct]]&gt;0.3),"Check","OK")</f>
        <v>OK</v>
      </c>
      <c r="U366" s="11">
        <v>0.13200000000000001</v>
      </c>
      <c r="V366" s="15">
        <f t="shared" si="78"/>
        <v>0</v>
      </c>
      <c r="W366" s="11">
        <f t="shared" si="79"/>
        <v>9.4888851597986767E-2</v>
      </c>
      <c r="X366" s="17">
        <f t="shared" si="80"/>
        <v>11510.580000000002</v>
      </c>
      <c r="Y366" s="17">
        <f t="shared" si="81"/>
        <v>1206.7310399999988</v>
      </c>
      <c r="Z366" s="17">
        <f t="shared" si="82"/>
        <v>12717.311040000001</v>
      </c>
      <c r="AA366" s="17" t="str">
        <f t="shared" si="83"/>
        <v>Q2-2023</v>
      </c>
      <c r="AB366" s="12" t="str">
        <f t="shared" si="84"/>
        <v>Jun-2023</v>
      </c>
      <c r="AC366" s="12" t="str">
        <f t="shared" si="85"/>
        <v>Medium</v>
      </c>
      <c r="AD366">
        <v>19</v>
      </c>
      <c r="AE366" s="12">
        <f>_xlfn.MINIFS(Table1[MonthDate], Table1[Country], Table1[[#This Row],[Country]])</f>
        <v>44927</v>
      </c>
      <c r="AF366" s="12">
        <f t="shared" si="86"/>
        <v>45078</v>
      </c>
      <c r="AG366">
        <f>AD366*(1 + Scenario_Control!$B$4)</f>
        <v>20.900000000000002</v>
      </c>
      <c r="AH366">
        <f>O366*(1 + Scenario_Control!$B$3)</f>
        <v>636.1110000000001</v>
      </c>
      <c r="AI366">
        <f t="shared" si="87"/>
        <v>2797.8084288000005</v>
      </c>
      <c r="AJ366">
        <f t="shared" si="88"/>
        <v>-10496.911471200003</v>
      </c>
      <c r="AK366" s="29">
        <f>MIN(Q366*(1-U366), Scenario_Control!$B$2*Q366)</f>
        <v>154.22400000000002</v>
      </c>
      <c r="AL366" s="15">
        <f t="shared" si="89"/>
        <v>0</v>
      </c>
      <c r="AM366" s="8">
        <f>DATEDIF(Table1[[#This Row],[Country_FirstMonth]], Table1[[#This Row],[MonthDate]], "m")</f>
        <v>5</v>
      </c>
    </row>
    <row r="367" spans="1:39" x14ac:dyDescent="0.25">
      <c r="A367" t="s">
        <v>379</v>
      </c>
      <c r="B367" s="12">
        <v>45737</v>
      </c>
      <c r="C367" s="12">
        <f t="shared" si="75"/>
        <v>45756</v>
      </c>
      <c r="D367" s="2" t="str">
        <f>IF(Table1[[#This Row],[RequiredDate]]&lt;Table1[[#This Row],[OrderDate]],"Check","OK")</f>
        <v>OK</v>
      </c>
      <c r="E367" s="2">
        <v>45756</v>
      </c>
      <c r="F367" s="15">
        <f t="shared" si="76"/>
        <v>19</v>
      </c>
      <c r="G367" t="s">
        <v>647</v>
      </c>
      <c r="H367" t="s">
        <v>652</v>
      </c>
      <c r="I367" t="s">
        <v>689</v>
      </c>
      <c r="J367" t="s">
        <v>705</v>
      </c>
      <c r="K367" t="s">
        <v>710</v>
      </c>
      <c r="L367" t="s">
        <v>718</v>
      </c>
      <c r="M367" t="s">
        <v>727</v>
      </c>
      <c r="N367" t="s">
        <v>1099</v>
      </c>
      <c r="O367" s="29">
        <v>1055.45</v>
      </c>
      <c r="P367" t="str">
        <f>IF(Table1[[#This Row],[UnitPrice]]&lt;=0,"Check","OK")</f>
        <v>OK</v>
      </c>
      <c r="Q367" s="29">
        <f t="shared" si="77"/>
        <v>1210.04</v>
      </c>
      <c r="R367">
        <v>1210.04</v>
      </c>
      <c r="S367" s="5">
        <f>IF(Table1[[#This Row],[Discount_Flag]]="Check", MIN(MAX(Table1[[#This Row],[DiscountPct]],0),0.3), Table1[[#This Row],[DiscountPct]])</f>
        <v>8.9999999999999993E-3</v>
      </c>
      <c r="T367" t="str">
        <f>IF(OR(Table1[[#This Row],[DiscountPct]]&lt;0,Table1[[#This Row],[DiscountPct]]&gt;0.3),"Check","OK")</f>
        <v>OK</v>
      </c>
      <c r="U367" s="11">
        <v>8.9999999999999993E-3</v>
      </c>
      <c r="V367" s="15">
        <f t="shared" si="78"/>
        <v>0</v>
      </c>
      <c r="W367" s="11">
        <f t="shared" si="79"/>
        <v>0.1198346188053727</v>
      </c>
      <c r="X367" s="17">
        <f t="shared" si="80"/>
        <v>18998.100000000002</v>
      </c>
      <c r="Y367" s="17">
        <f t="shared" si="81"/>
        <v>2586.5935199999985</v>
      </c>
      <c r="Z367" s="17">
        <f t="shared" si="82"/>
        <v>21584.693520000001</v>
      </c>
      <c r="AA367" s="17" t="str">
        <f t="shared" si="83"/>
        <v>Q1-2025</v>
      </c>
      <c r="AB367" s="12" t="str">
        <f t="shared" si="84"/>
        <v>Mar-2025</v>
      </c>
      <c r="AC367" s="12" t="str">
        <f t="shared" si="85"/>
        <v>Medium</v>
      </c>
      <c r="AD367">
        <v>18</v>
      </c>
      <c r="AE367" s="12">
        <f>_xlfn.MINIFS(Table1[MonthDate], Table1[Country], Table1[[#This Row],[Country]])</f>
        <v>44986</v>
      </c>
      <c r="AF367" s="12">
        <f t="shared" si="86"/>
        <v>45717</v>
      </c>
      <c r="AG367">
        <f>AD367*(1 + Scenario_Control!$B$4)</f>
        <v>19.8</v>
      </c>
      <c r="AH367">
        <f>O367*(1 + Scenario_Control!$B$3)</f>
        <v>1108.2225000000001</v>
      </c>
      <c r="AI367">
        <f t="shared" si="87"/>
        <v>4748.6325744000005</v>
      </c>
      <c r="AJ367">
        <f t="shared" si="88"/>
        <v>-17194.172925600004</v>
      </c>
      <c r="AK367" s="29">
        <f>MIN(Q367*(1-U367), Scenario_Control!$B$2*Q367)</f>
        <v>242.00800000000001</v>
      </c>
      <c r="AL367" s="15">
        <f t="shared" si="89"/>
        <v>0</v>
      </c>
      <c r="AM367" s="8">
        <f>DATEDIF(Table1[[#This Row],[Country_FirstMonth]], Table1[[#This Row],[MonthDate]], "m")</f>
        <v>24</v>
      </c>
    </row>
    <row r="368" spans="1:39" x14ac:dyDescent="0.25">
      <c r="A368" t="s">
        <v>380</v>
      </c>
      <c r="B368" s="12">
        <v>45445</v>
      </c>
      <c r="C368" s="12">
        <f t="shared" si="75"/>
        <v>45458</v>
      </c>
      <c r="D368" s="2" t="str">
        <f>IF(Table1[[#This Row],[RequiredDate]]&lt;Table1[[#This Row],[OrderDate]],"Check","OK")</f>
        <v>OK</v>
      </c>
      <c r="E368" s="2">
        <v>45458</v>
      </c>
      <c r="F368" s="15">
        <f t="shared" si="76"/>
        <v>13</v>
      </c>
      <c r="G368" t="s">
        <v>646</v>
      </c>
      <c r="H368" t="s">
        <v>650</v>
      </c>
      <c r="I368" t="s">
        <v>675</v>
      </c>
      <c r="J368" t="s">
        <v>702</v>
      </c>
      <c r="K368" t="s">
        <v>708</v>
      </c>
      <c r="L368" t="s">
        <v>719</v>
      </c>
      <c r="M368" t="s">
        <v>730</v>
      </c>
      <c r="N368" t="s">
        <v>1100</v>
      </c>
      <c r="O368" s="29">
        <v>1295.18</v>
      </c>
      <c r="P368" t="str">
        <f>IF(Table1[[#This Row],[UnitPrice]]&lt;=0,"Check","OK")</f>
        <v>OK</v>
      </c>
      <c r="Q368" s="29">
        <f t="shared" si="77"/>
        <v>3024.03</v>
      </c>
      <c r="R368">
        <v>3024.03</v>
      </c>
      <c r="S368" s="5">
        <f>IF(Table1[[#This Row],[Discount_Flag]]="Check", MIN(MAX(Table1[[#This Row],[DiscountPct]],0),0.3), Table1[[#This Row],[DiscountPct]])</f>
        <v>0.192</v>
      </c>
      <c r="T368" t="str">
        <f>IF(OR(Table1[[#This Row],[DiscountPct]]&lt;0,Table1[[#This Row],[DiscountPct]]&gt;0.3),"Check","OK")</f>
        <v>OK</v>
      </c>
      <c r="U368" s="11">
        <v>0.192</v>
      </c>
      <c r="V368" s="15">
        <f t="shared" si="78"/>
        <v>0</v>
      </c>
      <c r="W368" s="11">
        <f t="shared" si="79"/>
        <v>0.46993067378483178</v>
      </c>
      <c r="X368" s="17">
        <f t="shared" si="80"/>
        <v>10361.44</v>
      </c>
      <c r="Y368" s="17">
        <f t="shared" si="81"/>
        <v>9185.8899200000033</v>
      </c>
      <c r="Z368" s="17">
        <f t="shared" si="82"/>
        <v>19547.329920000004</v>
      </c>
      <c r="AA368" s="17" t="str">
        <f t="shared" si="83"/>
        <v>Q2-2024</v>
      </c>
      <c r="AB368" s="12" t="str">
        <f t="shared" si="84"/>
        <v>Jun-2024</v>
      </c>
      <c r="AC368" s="12" t="str">
        <f t="shared" si="85"/>
        <v>High</v>
      </c>
      <c r="AD368">
        <v>8</v>
      </c>
      <c r="AE368" s="12">
        <f>_xlfn.MINIFS(Table1[MonthDate], Table1[Country], Table1[[#This Row],[Country]])</f>
        <v>44927</v>
      </c>
      <c r="AF368" s="12">
        <f t="shared" si="86"/>
        <v>45444</v>
      </c>
      <c r="AG368">
        <f>AD368*(1 + Scenario_Control!$B$4)</f>
        <v>8.8000000000000007</v>
      </c>
      <c r="AH368">
        <f>O368*(1 + Scenario_Control!$B$3)</f>
        <v>1359.9390000000001</v>
      </c>
      <c r="AI368">
        <f t="shared" si="87"/>
        <v>4300.4125824000012</v>
      </c>
      <c r="AJ368">
        <f t="shared" si="88"/>
        <v>-7667.0506176000008</v>
      </c>
      <c r="AK368" s="29">
        <f>MIN(Q368*(1-U368), Scenario_Control!$B$2*Q368)</f>
        <v>604.80600000000004</v>
      </c>
      <c r="AL368" s="15">
        <f t="shared" si="89"/>
        <v>0</v>
      </c>
      <c r="AM368" s="8">
        <f>DATEDIF(Table1[[#This Row],[Country_FirstMonth]], Table1[[#This Row],[MonthDate]], "m")</f>
        <v>17</v>
      </c>
    </row>
    <row r="369" spans="1:39" x14ac:dyDescent="0.25">
      <c r="A369" t="s">
        <v>381</v>
      </c>
      <c r="B369" s="12">
        <v>45731</v>
      </c>
      <c r="C369" s="12">
        <f t="shared" si="75"/>
        <v>45745</v>
      </c>
      <c r="D369" s="2" t="str">
        <f>IF(Table1[[#This Row],[RequiredDate]]&lt;Table1[[#This Row],[OrderDate]],"Check","OK")</f>
        <v>OK</v>
      </c>
      <c r="E369" s="2">
        <v>45745</v>
      </c>
      <c r="F369" s="15">
        <f t="shared" si="76"/>
        <v>14</v>
      </c>
      <c r="G369" t="s">
        <v>647</v>
      </c>
      <c r="H369" t="s">
        <v>654</v>
      </c>
      <c r="I369" t="s">
        <v>691</v>
      </c>
      <c r="J369" t="s">
        <v>706</v>
      </c>
      <c r="K369" t="s">
        <v>711</v>
      </c>
      <c r="L369" t="s">
        <v>712</v>
      </c>
      <c r="M369" t="s">
        <v>727</v>
      </c>
      <c r="N369" t="s">
        <v>1101</v>
      </c>
      <c r="O369" s="29">
        <v>935.83</v>
      </c>
      <c r="P369" t="str">
        <f>IF(Table1[[#This Row],[UnitPrice]]&lt;=0,"Check","OK")</f>
        <v>OK</v>
      </c>
      <c r="Q369" s="29">
        <f t="shared" si="77"/>
        <v>2303.46</v>
      </c>
      <c r="R369">
        <v>2303.46</v>
      </c>
      <c r="S369" s="5">
        <f>IF(Table1[[#This Row],[Discount_Flag]]="Check", MIN(MAX(Table1[[#This Row],[DiscountPct]],0),0.3), Table1[[#This Row],[DiscountPct]])</f>
        <v>0.105</v>
      </c>
      <c r="T369" t="str">
        <f>IF(OR(Table1[[#This Row],[DiscountPct]]&lt;0,Table1[[#This Row],[DiscountPct]]&gt;0.3),"Check","OK")</f>
        <v>OK</v>
      </c>
      <c r="U369" s="11">
        <v>0.105</v>
      </c>
      <c r="V369" s="15">
        <f t="shared" si="78"/>
        <v>0</v>
      </c>
      <c r="W369" s="11">
        <f t="shared" si="79"/>
        <v>0.54606543559174292</v>
      </c>
      <c r="X369" s="17">
        <f t="shared" si="80"/>
        <v>8422.4700000000012</v>
      </c>
      <c r="Y369" s="17">
        <f t="shared" si="81"/>
        <v>10131.900299999998</v>
      </c>
      <c r="Z369" s="17">
        <f t="shared" si="82"/>
        <v>18554.370299999999</v>
      </c>
      <c r="AA369" s="17" t="str">
        <f t="shared" si="83"/>
        <v>Q1-2025</v>
      </c>
      <c r="AB369" s="12" t="str">
        <f t="shared" si="84"/>
        <v>Mar-2025</v>
      </c>
      <c r="AC369" s="12" t="str">
        <f t="shared" si="85"/>
        <v>High</v>
      </c>
      <c r="AD369">
        <v>9</v>
      </c>
      <c r="AE369" s="12">
        <f>_xlfn.MINIFS(Table1[MonthDate], Table1[Country], Table1[[#This Row],[Country]])</f>
        <v>44927</v>
      </c>
      <c r="AF369" s="12">
        <f t="shared" si="86"/>
        <v>45717</v>
      </c>
      <c r="AG369">
        <f>AD369*(1 + Scenario_Control!$B$4)</f>
        <v>9.9</v>
      </c>
      <c r="AH369">
        <f>O369*(1 + Scenario_Control!$B$3)</f>
        <v>982.62150000000008</v>
      </c>
      <c r="AI369">
        <f t="shared" si="87"/>
        <v>4081.9614660000002</v>
      </c>
      <c r="AJ369">
        <f t="shared" si="88"/>
        <v>-5645.9913840000008</v>
      </c>
      <c r="AK369" s="29">
        <f>MIN(Q369*(1-U369), Scenario_Control!$B$2*Q369)</f>
        <v>460.69200000000001</v>
      </c>
      <c r="AL369" s="15">
        <f t="shared" si="89"/>
        <v>0</v>
      </c>
      <c r="AM369" s="8">
        <f>DATEDIF(Table1[[#This Row],[Country_FirstMonth]], Table1[[#This Row],[MonthDate]], "m")</f>
        <v>26</v>
      </c>
    </row>
    <row r="370" spans="1:39" x14ac:dyDescent="0.25">
      <c r="A370" t="s">
        <v>382</v>
      </c>
      <c r="B370" s="12">
        <v>45194</v>
      </c>
      <c r="C370" s="12">
        <f t="shared" si="75"/>
        <v>45208</v>
      </c>
      <c r="D370" s="2" t="str">
        <f>IF(Table1[[#This Row],[RequiredDate]]&lt;Table1[[#This Row],[OrderDate]],"Check","OK")</f>
        <v>OK</v>
      </c>
      <c r="E370" s="2">
        <v>45208</v>
      </c>
      <c r="F370" s="15">
        <f t="shared" si="76"/>
        <v>14</v>
      </c>
      <c r="G370" t="s">
        <v>648</v>
      </c>
      <c r="H370" t="s">
        <v>660</v>
      </c>
      <c r="I370" t="s">
        <v>700</v>
      </c>
      <c r="J370" t="s">
        <v>705</v>
      </c>
      <c r="K370" t="s">
        <v>709</v>
      </c>
      <c r="L370" t="s">
        <v>713</v>
      </c>
      <c r="M370" t="s">
        <v>731</v>
      </c>
      <c r="N370" t="s">
        <v>1102</v>
      </c>
      <c r="O370" s="29">
        <v>1279.56</v>
      </c>
      <c r="P370" t="str">
        <f>IF(Table1[[#This Row],[UnitPrice]]&lt;=0,"Check","OK")</f>
        <v>OK</v>
      </c>
      <c r="Q370" s="29">
        <f t="shared" si="77"/>
        <v>3083.8</v>
      </c>
      <c r="R370">
        <v>3083.8</v>
      </c>
      <c r="S370" s="5">
        <f>IF(Table1[[#This Row],[Discount_Flag]]="Check", MIN(MAX(Table1[[#This Row],[DiscountPct]],0),0.3), Table1[[#This Row],[DiscountPct]])</f>
        <v>0.106</v>
      </c>
      <c r="T370" t="str">
        <f>IF(OR(Table1[[#This Row],[DiscountPct]]&lt;0,Table1[[#This Row],[DiscountPct]]&gt;0.3),"Check","OK")</f>
        <v>OK</v>
      </c>
      <c r="U370" s="11">
        <v>0.106</v>
      </c>
      <c r="V370" s="15">
        <f t="shared" si="78"/>
        <v>0</v>
      </c>
      <c r="W370" s="11">
        <f t="shared" si="79"/>
        <v>0.53587289455047848</v>
      </c>
      <c r="X370" s="17">
        <f t="shared" si="80"/>
        <v>6397.7999999999993</v>
      </c>
      <c r="Y370" s="17">
        <f t="shared" si="81"/>
        <v>7386.7860000000019</v>
      </c>
      <c r="Z370" s="17">
        <f t="shared" si="82"/>
        <v>13784.586000000001</v>
      </c>
      <c r="AA370" s="17" t="str">
        <f t="shared" si="83"/>
        <v>Q3-2023</v>
      </c>
      <c r="AB370" s="12" t="str">
        <f t="shared" si="84"/>
        <v>Sept-2023</v>
      </c>
      <c r="AC370" s="12" t="str">
        <f t="shared" si="85"/>
        <v>High</v>
      </c>
      <c r="AD370">
        <v>5</v>
      </c>
      <c r="AE370" s="12">
        <f>_xlfn.MINIFS(Table1[MonthDate], Table1[Country], Table1[[#This Row],[Country]])</f>
        <v>44927</v>
      </c>
      <c r="AF370" s="12">
        <f t="shared" si="86"/>
        <v>45170</v>
      </c>
      <c r="AG370">
        <f>AD370*(1 + Scenario_Control!$B$4)</f>
        <v>5.5</v>
      </c>
      <c r="AH370">
        <f>O370*(1 + Scenario_Control!$B$3)</f>
        <v>1343.538</v>
      </c>
      <c r="AI370">
        <f t="shared" si="87"/>
        <v>3032.6089200000006</v>
      </c>
      <c r="AJ370">
        <f t="shared" si="88"/>
        <v>-4356.8500799999993</v>
      </c>
      <c r="AK370" s="29">
        <f>MIN(Q370*(1-U370), Scenario_Control!$B$2*Q370)</f>
        <v>616.7600000000001</v>
      </c>
      <c r="AL370" s="15">
        <f t="shared" si="89"/>
        <v>0</v>
      </c>
      <c r="AM370" s="8">
        <f>DATEDIF(Table1[[#This Row],[Country_FirstMonth]], Table1[[#This Row],[MonthDate]], "m")</f>
        <v>8</v>
      </c>
    </row>
    <row r="371" spans="1:39" x14ac:dyDescent="0.25">
      <c r="A371" t="s">
        <v>383</v>
      </c>
      <c r="B371" s="12">
        <v>45832</v>
      </c>
      <c r="C371" s="12">
        <f t="shared" si="75"/>
        <v>45861</v>
      </c>
      <c r="D371" s="2" t="str">
        <f>IF(Table1[[#This Row],[RequiredDate]]&lt;Table1[[#This Row],[OrderDate]],"Check","OK")</f>
        <v>OK</v>
      </c>
      <c r="E371" s="2">
        <v>45861</v>
      </c>
      <c r="F371" s="15">
        <f t="shared" si="76"/>
        <v>29</v>
      </c>
      <c r="G371" t="s">
        <v>648</v>
      </c>
      <c r="H371" t="s">
        <v>653</v>
      </c>
      <c r="I371" t="s">
        <v>688</v>
      </c>
      <c r="J371" t="s">
        <v>703</v>
      </c>
      <c r="K371" t="s">
        <v>709</v>
      </c>
      <c r="L371" t="s">
        <v>714</v>
      </c>
      <c r="M371" t="s">
        <v>728</v>
      </c>
      <c r="N371" t="s">
        <v>1103</v>
      </c>
      <c r="O371" s="29">
        <v>255.4</v>
      </c>
      <c r="P371" t="str">
        <f>IF(Table1[[#This Row],[UnitPrice]]&lt;=0,"Check","OK")</f>
        <v>OK</v>
      </c>
      <c r="Q371" s="29">
        <f t="shared" si="77"/>
        <v>322.70999999999998</v>
      </c>
      <c r="R371">
        <v>322.70999999999998</v>
      </c>
      <c r="S371" s="5">
        <f>IF(Table1[[#This Row],[Discount_Flag]]="Check", MIN(MAX(Table1[[#This Row],[DiscountPct]],0),0.3), Table1[[#This Row],[DiscountPct]])</f>
        <v>0.115</v>
      </c>
      <c r="T371" t="str">
        <f>IF(OR(Table1[[#This Row],[DiscountPct]]&lt;0,Table1[[#This Row],[DiscountPct]]&gt;0.3),"Check","OK")</f>
        <v>OK</v>
      </c>
      <c r="U371" s="11">
        <v>0.115</v>
      </c>
      <c r="V371" s="15">
        <f t="shared" si="78"/>
        <v>0</v>
      </c>
      <c r="W371" s="11">
        <f t="shared" si="79"/>
        <v>0.10573713048412212</v>
      </c>
      <c r="X371" s="17">
        <f t="shared" si="80"/>
        <v>4086.4</v>
      </c>
      <c r="Y371" s="17">
        <f t="shared" si="81"/>
        <v>483.17359999999962</v>
      </c>
      <c r="Z371" s="17">
        <f t="shared" si="82"/>
        <v>4569.5735999999997</v>
      </c>
      <c r="AA371" s="17" t="str">
        <f t="shared" si="83"/>
        <v>Q2-2025</v>
      </c>
      <c r="AB371" s="12" t="str">
        <f t="shared" si="84"/>
        <v>Jun-2025</v>
      </c>
      <c r="AC371" s="12" t="str">
        <f t="shared" si="85"/>
        <v>Low</v>
      </c>
      <c r="AD371">
        <v>16</v>
      </c>
      <c r="AE371" s="12">
        <f>_xlfn.MINIFS(Table1[MonthDate], Table1[Country], Table1[[#This Row],[Country]])</f>
        <v>44927</v>
      </c>
      <c r="AF371" s="12">
        <f t="shared" si="86"/>
        <v>45809</v>
      </c>
      <c r="AG371">
        <f>AD371*(1 + Scenario_Control!$B$4)</f>
        <v>17.600000000000001</v>
      </c>
      <c r="AH371">
        <f>O371*(1 + Scenario_Control!$B$3)</f>
        <v>268.17</v>
      </c>
      <c r="AI371">
        <f t="shared" si="87"/>
        <v>1005.306192</v>
      </c>
      <c r="AJ371">
        <f t="shared" si="88"/>
        <v>-3714.4858080000004</v>
      </c>
      <c r="AK371" s="29">
        <f>MIN(Q371*(1-U371), Scenario_Control!$B$2*Q371)</f>
        <v>64.542000000000002</v>
      </c>
      <c r="AL371" s="15">
        <f t="shared" si="89"/>
        <v>0</v>
      </c>
      <c r="AM371" s="8">
        <f>DATEDIF(Table1[[#This Row],[Country_FirstMonth]], Table1[[#This Row],[MonthDate]], "m")</f>
        <v>29</v>
      </c>
    </row>
    <row r="372" spans="1:39" x14ac:dyDescent="0.25">
      <c r="A372" t="s">
        <v>384</v>
      </c>
      <c r="B372" s="12">
        <v>45286</v>
      </c>
      <c r="C372" s="12">
        <f t="shared" si="75"/>
        <v>45294</v>
      </c>
      <c r="D372" s="2" t="str">
        <f>IF(Table1[[#This Row],[RequiredDate]]&lt;Table1[[#This Row],[OrderDate]],"Check","OK")</f>
        <v>OK</v>
      </c>
      <c r="E372" s="2">
        <v>45294</v>
      </c>
      <c r="F372" s="15">
        <f t="shared" si="76"/>
        <v>8</v>
      </c>
      <c r="G372" t="s">
        <v>649</v>
      </c>
      <c r="H372" t="s">
        <v>657</v>
      </c>
      <c r="I372" t="s">
        <v>679</v>
      </c>
      <c r="J372" t="s">
        <v>705</v>
      </c>
      <c r="K372" t="s">
        <v>707</v>
      </c>
      <c r="L372" t="s">
        <v>724</v>
      </c>
      <c r="M372" t="s">
        <v>731</v>
      </c>
      <c r="N372" t="s">
        <v>1104</v>
      </c>
      <c r="O372" s="29">
        <v>492.75</v>
      </c>
      <c r="P372" t="str">
        <f>IF(Table1[[#This Row],[UnitPrice]]&lt;=0,"Check","OK")</f>
        <v>OK</v>
      </c>
      <c r="Q372" s="29">
        <f t="shared" si="77"/>
        <v>731.29</v>
      </c>
      <c r="R372">
        <v>731.29</v>
      </c>
      <c r="S372" s="5">
        <f>IF(Table1[[#This Row],[Discount_Flag]]="Check", MIN(MAX(Table1[[#This Row],[DiscountPct]],0),0.3), Table1[[#This Row],[DiscountPct]])</f>
        <v>5.8000000000000003E-2</v>
      </c>
      <c r="T372" t="str">
        <f>IF(OR(Table1[[#This Row],[DiscountPct]]&lt;0,Table1[[#This Row],[DiscountPct]]&gt;0.3),"Check","OK")</f>
        <v>OK</v>
      </c>
      <c r="U372" s="11">
        <v>5.8000000000000003E-2</v>
      </c>
      <c r="V372" s="15">
        <f t="shared" si="78"/>
        <v>0</v>
      </c>
      <c r="W372" s="11">
        <f t="shared" si="79"/>
        <v>0.28470350753528384</v>
      </c>
      <c r="X372" s="17">
        <f t="shared" si="80"/>
        <v>2956.5</v>
      </c>
      <c r="Y372" s="17">
        <f t="shared" si="81"/>
        <v>1176.75108</v>
      </c>
      <c r="Z372" s="17">
        <f t="shared" si="82"/>
        <v>4133.25108</v>
      </c>
      <c r="AA372" s="17" t="str">
        <f t="shared" si="83"/>
        <v>Q4-2023</v>
      </c>
      <c r="AB372" s="12" t="str">
        <f t="shared" si="84"/>
        <v>Dec-2023</v>
      </c>
      <c r="AC372" s="12" t="str">
        <f t="shared" si="85"/>
        <v>Medium</v>
      </c>
      <c r="AD372">
        <v>6</v>
      </c>
      <c r="AE372" s="12">
        <f>_xlfn.MINIFS(Table1[MonthDate], Table1[Country], Table1[[#This Row],[Country]])</f>
        <v>44927</v>
      </c>
      <c r="AF372" s="12">
        <f t="shared" si="86"/>
        <v>45261</v>
      </c>
      <c r="AG372">
        <f>AD372*(1 + Scenario_Control!$B$4)</f>
        <v>6.6000000000000005</v>
      </c>
      <c r="AH372">
        <f>O372*(1 + Scenario_Control!$B$3)</f>
        <v>517.38750000000005</v>
      </c>
      <c r="AI372">
        <f t="shared" si="87"/>
        <v>909.31523760000005</v>
      </c>
      <c r="AJ372">
        <f t="shared" si="88"/>
        <v>-2505.4422624000008</v>
      </c>
      <c r="AK372" s="29">
        <f>MIN(Q372*(1-U372), Scenario_Control!$B$2*Q372)</f>
        <v>146.25800000000001</v>
      </c>
      <c r="AL372" s="15">
        <f t="shared" si="89"/>
        <v>0</v>
      </c>
      <c r="AM372" s="8">
        <f>DATEDIF(Table1[[#This Row],[Country_FirstMonth]], Table1[[#This Row],[MonthDate]], "m")</f>
        <v>11</v>
      </c>
    </row>
    <row r="373" spans="1:39" x14ac:dyDescent="0.25">
      <c r="A373" t="s">
        <v>385</v>
      </c>
      <c r="B373" s="12">
        <v>44962</v>
      </c>
      <c r="C373" s="12">
        <f t="shared" si="75"/>
        <v>44985</v>
      </c>
      <c r="D373" s="2" t="str">
        <f>IF(Table1[[#This Row],[RequiredDate]]&lt;Table1[[#This Row],[OrderDate]],"Check","OK")</f>
        <v>OK</v>
      </c>
      <c r="E373" s="2">
        <v>44985</v>
      </c>
      <c r="F373" s="15">
        <f t="shared" si="76"/>
        <v>23</v>
      </c>
      <c r="G373" t="s">
        <v>648</v>
      </c>
      <c r="H373" t="s">
        <v>660</v>
      </c>
      <c r="I373" t="s">
        <v>697</v>
      </c>
      <c r="J373" t="s">
        <v>703</v>
      </c>
      <c r="K373" t="s">
        <v>710</v>
      </c>
      <c r="L373" t="s">
        <v>716</v>
      </c>
      <c r="M373" t="s">
        <v>730</v>
      </c>
      <c r="N373" t="s">
        <v>1105</v>
      </c>
      <c r="O373" s="29">
        <v>1214.49</v>
      </c>
      <c r="P373" t="str">
        <f>IF(Table1[[#This Row],[UnitPrice]]&lt;=0,"Check","OK")</f>
        <v>OK</v>
      </c>
      <c r="Q373" s="29">
        <f t="shared" si="77"/>
        <v>1533.95</v>
      </c>
      <c r="R373">
        <v>1533.95</v>
      </c>
      <c r="S373" s="5">
        <f>IF(Table1[[#This Row],[Discount_Flag]]="Check", MIN(MAX(Table1[[#This Row],[DiscountPct]],0),0.3), Table1[[#This Row],[DiscountPct]])</f>
        <v>0</v>
      </c>
      <c r="T373" t="str">
        <f>IF(OR(Table1[[#This Row],[DiscountPct]]&lt;0,Table1[[#This Row],[DiscountPct]]&gt;0.3),"Check","OK")</f>
        <v>OK</v>
      </c>
      <c r="U373" s="11">
        <v>0</v>
      </c>
      <c r="V373" s="15">
        <f t="shared" si="78"/>
        <v>0</v>
      </c>
      <c r="W373" s="11">
        <f t="shared" si="79"/>
        <v>0.20825972163369086</v>
      </c>
      <c r="X373" s="17">
        <f t="shared" si="80"/>
        <v>13359.39</v>
      </c>
      <c r="Y373" s="17">
        <f t="shared" si="81"/>
        <v>3514.0600000000013</v>
      </c>
      <c r="Z373" s="17">
        <f t="shared" si="82"/>
        <v>16873.45</v>
      </c>
      <c r="AA373" s="17" t="str">
        <f t="shared" si="83"/>
        <v>Q1-2023</v>
      </c>
      <c r="AB373" s="12" t="str">
        <f t="shared" si="84"/>
        <v>Feb-2023</v>
      </c>
      <c r="AC373" s="12" t="str">
        <f t="shared" si="85"/>
        <v>Medium</v>
      </c>
      <c r="AD373">
        <v>11</v>
      </c>
      <c r="AE373" s="12">
        <f>_xlfn.MINIFS(Table1[MonthDate], Table1[Country], Table1[[#This Row],[Country]])</f>
        <v>44927</v>
      </c>
      <c r="AF373" s="12">
        <f t="shared" si="86"/>
        <v>44958</v>
      </c>
      <c r="AG373">
        <f>AD373*(1 + Scenario_Control!$B$4)</f>
        <v>12.100000000000001</v>
      </c>
      <c r="AH373">
        <f>O373*(1 + Scenario_Control!$B$3)</f>
        <v>1275.2145</v>
      </c>
      <c r="AI373">
        <f t="shared" si="87"/>
        <v>3712.1590000000006</v>
      </c>
      <c r="AJ373">
        <f t="shared" si="88"/>
        <v>-11717.936450000001</v>
      </c>
      <c r="AK373" s="29">
        <f>MIN(Q373*(1-U373), Scenario_Control!$B$2*Q373)</f>
        <v>306.79000000000002</v>
      </c>
      <c r="AL373" s="15">
        <f t="shared" si="89"/>
        <v>0</v>
      </c>
      <c r="AM373" s="8">
        <f>DATEDIF(Table1[[#This Row],[Country_FirstMonth]], Table1[[#This Row],[MonthDate]], "m")</f>
        <v>1</v>
      </c>
    </row>
    <row r="374" spans="1:39" x14ac:dyDescent="0.25">
      <c r="A374" t="s">
        <v>386</v>
      </c>
      <c r="B374" s="12">
        <v>45022</v>
      </c>
      <c r="C374" s="12">
        <f t="shared" si="75"/>
        <v>45024</v>
      </c>
      <c r="D374" s="2" t="str">
        <f>IF(Table1[[#This Row],[RequiredDate]]&lt;Table1[[#This Row],[OrderDate]],"Check","OK")</f>
        <v>OK</v>
      </c>
      <c r="E374" s="2">
        <v>45024</v>
      </c>
      <c r="F374" s="15">
        <f t="shared" si="76"/>
        <v>2</v>
      </c>
      <c r="G374" t="s">
        <v>646</v>
      </c>
      <c r="H374" t="s">
        <v>651</v>
      </c>
      <c r="I374" t="s">
        <v>669</v>
      </c>
      <c r="J374" t="s">
        <v>705</v>
      </c>
      <c r="K374" t="s">
        <v>709</v>
      </c>
      <c r="L374" t="s">
        <v>723</v>
      </c>
      <c r="M374" t="s">
        <v>732</v>
      </c>
      <c r="N374" t="s">
        <v>1106</v>
      </c>
      <c r="O374" s="29">
        <v>720.35</v>
      </c>
      <c r="P374" t="str">
        <f>IF(Table1[[#This Row],[UnitPrice]]&lt;=0,"Check","OK")</f>
        <v>OK</v>
      </c>
      <c r="Q374" s="29">
        <f t="shared" si="77"/>
        <v>1571.66</v>
      </c>
      <c r="R374">
        <v>1571.66</v>
      </c>
      <c r="S374" s="5">
        <f>IF(Table1[[#This Row],[Discount_Flag]]="Check", MIN(MAX(Table1[[#This Row],[DiscountPct]],0),0.3), Table1[[#This Row],[DiscountPct]])</f>
        <v>0.107</v>
      </c>
      <c r="T374" t="str">
        <f>IF(OR(Table1[[#This Row],[DiscountPct]]&lt;0,Table1[[#This Row],[DiscountPct]]&gt;0.3),"Check","OK")</f>
        <v>OK</v>
      </c>
      <c r="U374" s="11">
        <v>0.107</v>
      </c>
      <c r="V374" s="15">
        <f t="shared" si="78"/>
        <v>0</v>
      </c>
      <c r="W374" s="11">
        <f t="shared" si="79"/>
        <v>0.4867446305622265</v>
      </c>
      <c r="X374" s="17">
        <f t="shared" si="80"/>
        <v>16568.05</v>
      </c>
      <c r="Y374" s="17">
        <f t="shared" si="81"/>
        <v>15712.274740000001</v>
      </c>
      <c r="Z374" s="17">
        <f t="shared" si="82"/>
        <v>32280.32474</v>
      </c>
      <c r="AA374" s="17" t="str">
        <f t="shared" si="83"/>
        <v>Q2-2023</v>
      </c>
      <c r="AB374" s="12" t="str">
        <f t="shared" si="84"/>
        <v>Apr-2023</v>
      </c>
      <c r="AC374" s="12" t="str">
        <f t="shared" si="85"/>
        <v>Medium</v>
      </c>
      <c r="AD374">
        <v>23</v>
      </c>
      <c r="AE374" s="12">
        <f>_xlfn.MINIFS(Table1[MonthDate], Table1[Country], Table1[[#This Row],[Country]])</f>
        <v>44927</v>
      </c>
      <c r="AF374" s="12">
        <f t="shared" si="86"/>
        <v>45017</v>
      </c>
      <c r="AG374">
        <f>AD374*(1 + Scenario_Control!$B$4)</f>
        <v>25.3</v>
      </c>
      <c r="AH374">
        <f>O374*(1 + Scenario_Control!$B$3)</f>
        <v>756.36750000000006</v>
      </c>
      <c r="AI374">
        <f t="shared" si="87"/>
        <v>7101.6714428000014</v>
      </c>
      <c r="AJ374">
        <f t="shared" si="88"/>
        <v>-12034.426307199999</v>
      </c>
      <c r="AK374" s="29">
        <f>MIN(Q374*(1-U374), Scenario_Control!$B$2*Q374)</f>
        <v>314.33200000000005</v>
      </c>
      <c r="AL374" s="15">
        <f t="shared" si="89"/>
        <v>1</v>
      </c>
      <c r="AM374" s="8">
        <f>DATEDIF(Table1[[#This Row],[Country_FirstMonth]], Table1[[#This Row],[MonthDate]], "m")</f>
        <v>3</v>
      </c>
    </row>
    <row r="375" spans="1:39" x14ac:dyDescent="0.25">
      <c r="A375" t="s">
        <v>387</v>
      </c>
      <c r="B375" s="12">
        <v>45751</v>
      </c>
      <c r="C375" s="12">
        <f t="shared" si="75"/>
        <v>45757</v>
      </c>
      <c r="D375" s="2" t="str">
        <f>IF(Table1[[#This Row],[RequiredDate]]&lt;Table1[[#This Row],[OrderDate]],"Check","OK")</f>
        <v>OK</v>
      </c>
      <c r="E375" s="2">
        <v>45757</v>
      </c>
      <c r="F375" s="15">
        <f t="shared" si="76"/>
        <v>6</v>
      </c>
      <c r="G375" t="s">
        <v>649</v>
      </c>
      <c r="H375" t="s">
        <v>658</v>
      </c>
      <c r="I375" t="s">
        <v>674</v>
      </c>
      <c r="J375" t="s">
        <v>703</v>
      </c>
      <c r="K375" t="s">
        <v>711</v>
      </c>
      <c r="L375" t="s">
        <v>725</v>
      </c>
      <c r="M375" t="s">
        <v>728</v>
      </c>
      <c r="N375" t="s">
        <v>1107</v>
      </c>
      <c r="O375" s="29">
        <v>290.14</v>
      </c>
      <c r="P375" t="str">
        <f>IF(Table1[[#This Row],[UnitPrice]]&lt;=0,"Check","OK")</f>
        <v>OK</v>
      </c>
      <c r="Q375" s="29">
        <f t="shared" si="77"/>
        <v>250.73</v>
      </c>
      <c r="R375">
        <v>250.73</v>
      </c>
      <c r="S375" s="5">
        <f>IF(Table1[[#This Row],[Discount_Flag]]="Check", MIN(MAX(Table1[[#This Row],[DiscountPct]],0),0.3), Table1[[#This Row],[DiscountPct]])</f>
        <v>3.4000000000000002E-2</v>
      </c>
      <c r="T375" t="str">
        <f>IF(OR(Table1[[#This Row],[DiscountPct]]&lt;0,Table1[[#This Row],[DiscountPct]]&gt;0.3),"Check","OK")</f>
        <v>OK</v>
      </c>
      <c r="U375" s="11">
        <v>3.4000000000000002E-2</v>
      </c>
      <c r="V375" s="15">
        <f t="shared" si="78"/>
        <v>0</v>
      </c>
      <c r="W375" s="11">
        <f t="shared" si="79"/>
        <v>-0.19790997038131072</v>
      </c>
      <c r="X375" s="17">
        <f t="shared" si="80"/>
        <v>4932.38</v>
      </c>
      <c r="Y375" s="17">
        <f t="shared" si="81"/>
        <v>-814.89194000000043</v>
      </c>
      <c r="Z375" s="17">
        <f t="shared" si="82"/>
        <v>4117.4880599999997</v>
      </c>
      <c r="AA375" s="17" t="str">
        <f t="shared" si="83"/>
        <v>Q2-2025</v>
      </c>
      <c r="AB375" s="12" t="str">
        <f t="shared" si="84"/>
        <v>Apr-2025</v>
      </c>
      <c r="AC375" s="12" t="str">
        <f t="shared" si="85"/>
        <v>Low</v>
      </c>
      <c r="AD375">
        <v>17</v>
      </c>
      <c r="AE375" s="12">
        <f>_xlfn.MINIFS(Table1[MonthDate], Table1[Country], Table1[[#This Row],[Country]])</f>
        <v>44927</v>
      </c>
      <c r="AF375" s="12">
        <f t="shared" si="86"/>
        <v>45748</v>
      </c>
      <c r="AG375">
        <f>AD375*(1 + Scenario_Control!$B$4)</f>
        <v>18.700000000000003</v>
      </c>
      <c r="AH375">
        <f>O375*(1 + Scenario_Control!$B$3)</f>
        <v>304.64699999999999</v>
      </c>
      <c r="AI375">
        <f t="shared" si="87"/>
        <v>905.84737320000011</v>
      </c>
      <c r="AJ375">
        <f t="shared" si="88"/>
        <v>-4791.0515268000008</v>
      </c>
      <c r="AK375" s="29">
        <f>MIN(Q375*(1-U375), Scenario_Control!$B$2*Q375)</f>
        <v>50.146000000000001</v>
      </c>
      <c r="AL375" s="15">
        <f t="shared" si="89"/>
        <v>1</v>
      </c>
      <c r="AM375" s="8">
        <f>DATEDIF(Table1[[#This Row],[Country_FirstMonth]], Table1[[#This Row],[MonthDate]], "m")</f>
        <v>27</v>
      </c>
    </row>
    <row r="376" spans="1:39" x14ac:dyDescent="0.25">
      <c r="A376" t="s">
        <v>388</v>
      </c>
      <c r="B376" s="12">
        <v>45429</v>
      </c>
      <c r="C376" s="12">
        <f t="shared" si="75"/>
        <v>45439</v>
      </c>
      <c r="D376" s="2" t="str">
        <f>IF(Table1[[#This Row],[RequiredDate]]&lt;Table1[[#This Row],[OrderDate]],"Check","OK")</f>
        <v>OK</v>
      </c>
      <c r="E376" s="2">
        <v>45439</v>
      </c>
      <c r="F376" s="15">
        <f t="shared" si="76"/>
        <v>10</v>
      </c>
      <c r="G376" t="s">
        <v>648</v>
      </c>
      <c r="H376" t="s">
        <v>660</v>
      </c>
      <c r="I376" t="s">
        <v>697</v>
      </c>
      <c r="J376" t="s">
        <v>703</v>
      </c>
      <c r="K376" t="s">
        <v>708</v>
      </c>
      <c r="L376" t="s">
        <v>712</v>
      </c>
      <c r="M376" t="s">
        <v>730</v>
      </c>
      <c r="N376" t="s">
        <v>1108</v>
      </c>
      <c r="O376" s="29">
        <v>1484.23</v>
      </c>
      <c r="P376" t="str">
        <f>IF(Table1[[#This Row],[UnitPrice]]&lt;=0,"Check","OK")</f>
        <v>OK</v>
      </c>
      <c r="Q376" s="29">
        <f t="shared" si="77"/>
        <v>3472.81</v>
      </c>
      <c r="R376">
        <v>3472.81</v>
      </c>
      <c r="S376" s="5">
        <f>IF(Table1[[#This Row],[Discount_Flag]]="Check", MIN(MAX(Table1[[#This Row],[DiscountPct]],0),0.3), Table1[[#This Row],[DiscountPct]])</f>
        <v>0.25600000000000001</v>
      </c>
      <c r="T376" t="str">
        <f>IF(OR(Table1[[#This Row],[DiscountPct]]&lt;0,Table1[[#This Row],[DiscountPct]]&gt;0.3),"Check","OK")</f>
        <v>OK</v>
      </c>
      <c r="U376" s="11">
        <v>0.25600000000000001</v>
      </c>
      <c r="V376" s="15">
        <f t="shared" si="78"/>
        <v>1</v>
      </c>
      <c r="W376" s="11">
        <f t="shared" si="79"/>
        <v>0.42555659661803413</v>
      </c>
      <c r="X376" s="17">
        <f t="shared" si="80"/>
        <v>17810.760000000002</v>
      </c>
      <c r="Y376" s="17">
        <f t="shared" si="81"/>
        <v>13194.487679999998</v>
      </c>
      <c r="Z376" s="17">
        <f t="shared" si="82"/>
        <v>31005.24768</v>
      </c>
      <c r="AA376" s="17" t="str">
        <f t="shared" si="83"/>
        <v>Q2-2024</v>
      </c>
      <c r="AB376" s="12" t="str">
        <f t="shared" si="84"/>
        <v>May-2024</v>
      </c>
      <c r="AC376" s="12" t="str">
        <f t="shared" si="85"/>
        <v>High</v>
      </c>
      <c r="AD376">
        <v>12</v>
      </c>
      <c r="AE376" s="12">
        <f>_xlfn.MINIFS(Table1[MonthDate], Table1[Country], Table1[[#This Row],[Country]])</f>
        <v>44927</v>
      </c>
      <c r="AF376" s="12">
        <f t="shared" si="86"/>
        <v>45413</v>
      </c>
      <c r="AG376">
        <f>AD376*(1 + Scenario_Control!$B$4)</f>
        <v>13.200000000000001</v>
      </c>
      <c r="AH376">
        <f>O376*(1 + Scenario_Control!$B$3)</f>
        <v>1558.4415000000001</v>
      </c>
      <c r="AI376">
        <f t="shared" si="87"/>
        <v>6821.1544896000014</v>
      </c>
      <c r="AJ376">
        <f t="shared" si="88"/>
        <v>-13750.273310400004</v>
      </c>
      <c r="AK376" s="29">
        <f>MIN(Q376*(1-U376), Scenario_Control!$B$2*Q376)</f>
        <v>694.56200000000001</v>
      </c>
      <c r="AL376" s="15">
        <f t="shared" si="89"/>
        <v>0</v>
      </c>
      <c r="AM376" s="8">
        <f>DATEDIF(Table1[[#This Row],[Country_FirstMonth]], Table1[[#This Row],[MonthDate]], "m")</f>
        <v>16</v>
      </c>
    </row>
    <row r="377" spans="1:39" x14ac:dyDescent="0.25">
      <c r="A377" t="s">
        <v>389</v>
      </c>
      <c r="B377" s="12">
        <v>45354</v>
      </c>
      <c r="C377" s="12">
        <f t="shared" si="75"/>
        <v>45370</v>
      </c>
      <c r="D377" s="2" t="str">
        <f>IF(Table1[[#This Row],[RequiredDate]]&lt;Table1[[#This Row],[OrderDate]],"Check","OK")</f>
        <v>OK</v>
      </c>
      <c r="E377" s="2">
        <v>45370</v>
      </c>
      <c r="F377" s="15">
        <f t="shared" si="76"/>
        <v>16</v>
      </c>
      <c r="G377" t="s">
        <v>647</v>
      </c>
      <c r="H377" t="s">
        <v>659</v>
      </c>
      <c r="I377" t="s">
        <v>699</v>
      </c>
      <c r="J377" t="s">
        <v>704</v>
      </c>
      <c r="K377" t="s">
        <v>710</v>
      </c>
      <c r="L377" t="s">
        <v>715</v>
      </c>
      <c r="M377" t="s">
        <v>730</v>
      </c>
      <c r="N377" t="s">
        <v>1109</v>
      </c>
      <c r="O377" s="29">
        <v>988.83</v>
      </c>
      <c r="P377" t="str">
        <f>IF(Table1[[#This Row],[UnitPrice]]&lt;=0,"Check","OK")</f>
        <v>OK</v>
      </c>
      <c r="Q377" s="29">
        <f t="shared" si="77"/>
        <v>1206.04</v>
      </c>
      <c r="R377">
        <v>1206.04</v>
      </c>
      <c r="S377" s="5">
        <f>IF(Table1[[#This Row],[Discount_Flag]]="Check", MIN(MAX(Table1[[#This Row],[DiscountPct]],0),0.3), Table1[[#This Row],[DiscountPct]])</f>
        <v>6.3E-2</v>
      </c>
      <c r="T377" t="str">
        <f>IF(OR(Table1[[#This Row],[DiscountPct]]&lt;0,Table1[[#This Row],[DiscountPct]]&gt;0.3),"Check","OK")</f>
        <v>OK</v>
      </c>
      <c r="U377" s="11">
        <v>6.3E-2</v>
      </c>
      <c r="V377" s="15">
        <f t="shared" si="78"/>
        <v>0</v>
      </c>
      <c r="W377" s="11">
        <f t="shared" si="79"/>
        <v>0.12497526236406606</v>
      </c>
      <c r="X377" s="17">
        <f t="shared" si="80"/>
        <v>33620.22</v>
      </c>
      <c r="Y377" s="17">
        <f t="shared" si="81"/>
        <v>4801.8023200000025</v>
      </c>
      <c r="Z377" s="17">
        <f t="shared" si="82"/>
        <v>38422.022320000004</v>
      </c>
      <c r="AA377" s="17" t="str">
        <f t="shared" si="83"/>
        <v>Q1-2024</v>
      </c>
      <c r="AB377" s="12" t="str">
        <f t="shared" si="84"/>
        <v>Mar-2024</v>
      </c>
      <c r="AC377" s="12" t="str">
        <f t="shared" si="85"/>
        <v>Medium</v>
      </c>
      <c r="AD377">
        <v>34</v>
      </c>
      <c r="AE377" s="12">
        <f>_xlfn.MINIFS(Table1[MonthDate], Table1[Country], Table1[[#This Row],[Country]])</f>
        <v>44927</v>
      </c>
      <c r="AF377" s="12">
        <f t="shared" si="86"/>
        <v>45352</v>
      </c>
      <c r="AG377">
        <f>AD377*(1 + Scenario_Control!$B$4)</f>
        <v>37.400000000000006</v>
      </c>
      <c r="AH377">
        <f>O377*(1 + Scenario_Control!$B$3)</f>
        <v>1038.2715000000001</v>
      </c>
      <c r="AI377">
        <f t="shared" si="87"/>
        <v>8452.844910400001</v>
      </c>
      <c r="AJ377">
        <f t="shared" si="88"/>
        <v>-30378.509189600009</v>
      </c>
      <c r="AK377" s="29">
        <f>MIN(Q377*(1-U377), Scenario_Control!$B$2*Q377)</f>
        <v>241.208</v>
      </c>
      <c r="AL377" s="15">
        <f t="shared" si="89"/>
        <v>0</v>
      </c>
      <c r="AM377" s="8">
        <f>DATEDIF(Table1[[#This Row],[Country_FirstMonth]], Table1[[#This Row],[MonthDate]], "m")</f>
        <v>14</v>
      </c>
    </row>
    <row r="378" spans="1:39" x14ac:dyDescent="0.25">
      <c r="A378" t="s">
        <v>390</v>
      </c>
      <c r="B378" s="12">
        <v>45835</v>
      </c>
      <c r="C378" s="12">
        <f t="shared" si="75"/>
        <v>45849</v>
      </c>
      <c r="D378" s="2" t="str">
        <f>IF(Table1[[#This Row],[RequiredDate]]&lt;Table1[[#This Row],[OrderDate]],"Check","OK")</f>
        <v>OK</v>
      </c>
      <c r="E378" s="2">
        <v>45849</v>
      </c>
      <c r="F378" s="15">
        <f t="shared" si="76"/>
        <v>14</v>
      </c>
      <c r="G378" t="s">
        <v>647</v>
      </c>
      <c r="H378" t="s">
        <v>659</v>
      </c>
      <c r="I378" t="s">
        <v>685</v>
      </c>
      <c r="J378" t="s">
        <v>705</v>
      </c>
      <c r="K378" t="s">
        <v>709</v>
      </c>
      <c r="L378" t="s">
        <v>716</v>
      </c>
      <c r="M378" t="s">
        <v>729</v>
      </c>
      <c r="N378" t="s">
        <v>1110</v>
      </c>
      <c r="O378" s="29">
        <v>1227.7</v>
      </c>
      <c r="P378" t="str">
        <f>IF(Table1[[#This Row],[UnitPrice]]&lt;=0,"Check","OK")</f>
        <v>OK</v>
      </c>
      <c r="Q378" s="29">
        <f t="shared" si="77"/>
        <v>2197.23</v>
      </c>
      <c r="R378">
        <v>2197.23</v>
      </c>
      <c r="S378" s="5">
        <f>IF(Table1[[#This Row],[Discount_Flag]]="Check", MIN(MAX(Table1[[#This Row],[DiscountPct]],0),0.3), Table1[[#This Row],[DiscountPct]])</f>
        <v>9.9000000000000005E-2</v>
      </c>
      <c r="T378" t="str">
        <f>IF(OR(Table1[[#This Row],[DiscountPct]]&lt;0,Table1[[#This Row],[DiscountPct]]&gt;0.3),"Check","OK")</f>
        <v>OK</v>
      </c>
      <c r="U378" s="11">
        <v>9.9000000000000005E-2</v>
      </c>
      <c r="V378" s="15">
        <f t="shared" si="78"/>
        <v>0</v>
      </c>
      <c r="W378" s="11">
        <f t="shared" si="79"/>
        <v>0.37985685871873898</v>
      </c>
      <c r="X378" s="17">
        <f t="shared" si="80"/>
        <v>27009.4</v>
      </c>
      <c r="Y378" s="17">
        <f t="shared" si="81"/>
        <v>16544.093059999999</v>
      </c>
      <c r="Z378" s="17">
        <f t="shared" si="82"/>
        <v>43553.493060000001</v>
      </c>
      <c r="AA378" s="17" t="str">
        <f t="shared" si="83"/>
        <v>Q2-2025</v>
      </c>
      <c r="AB378" s="12" t="str">
        <f t="shared" si="84"/>
        <v>Jun-2025</v>
      </c>
      <c r="AC378" s="12" t="str">
        <f t="shared" si="85"/>
        <v>High</v>
      </c>
      <c r="AD378">
        <v>22</v>
      </c>
      <c r="AE378" s="12">
        <f>_xlfn.MINIFS(Table1[MonthDate], Table1[Country], Table1[[#This Row],[Country]])</f>
        <v>44927</v>
      </c>
      <c r="AF378" s="12">
        <f t="shared" si="86"/>
        <v>45809</v>
      </c>
      <c r="AG378">
        <f>AD378*(1 + Scenario_Control!$B$4)</f>
        <v>24.200000000000003</v>
      </c>
      <c r="AH378">
        <f>O378*(1 + Scenario_Control!$B$3)</f>
        <v>1289.085</v>
      </c>
      <c r="AI378">
        <f t="shared" si="87"/>
        <v>9581.7684732000016</v>
      </c>
      <c r="AJ378">
        <f t="shared" si="88"/>
        <v>-21614.088526800002</v>
      </c>
      <c r="AK378" s="29">
        <f>MIN(Q378*(1-U378), Scenario_Control!$B$2*Q378)</f>
        <v>439.44600000000003</v>
      </c>
      <c r="AL378" s="15">
        <f t="shared" si="89"/>
        <v>0</v>
      </c>
      <c r="AM378" s="8">
        <f>DATEDIF(Table1[[#This Row],[Country_FirstMonth]], Table1[[#This Row],[MonthDate]], "m")</f>
        <v>29</v>
      </c>
    </row>
    <row r="379" spans="1:39" x14ac:dyDescent="0.25">
      <c r="A379" t="s">
        <v>391</v>
      </c>
      <c r="B379" s="12">
        <v>44998</v>
      </c>
      <c r="C379" s="12">
        <f t="shared" si="75"/>
        <v>45020</v>
      </c>
      <c r="D379" s="2" t="str">
        <f>IF(Table1[[#This Row],[RequiredDate]]&lt;Table1[[#This Row],[OrderDate]],"Check","OK")</f>
        <v>OK</v>
      </c>
      <c r="E379" s="2">
        <v>45020</v>
      </c>
      <c r="F379" s="15">
        <f t="shared" si="76"/>
        <v>22</v>
      </c>
      <c r="G379" t="s">
        <v>646</v>
      </c>
      <c r="H379" t="s">
        <v>661</v>
      </c>
      <c r="I379" t="s">
        <v>687</v>
      </c>
      <c r="J379" t="s">
        <v>705</v>
      </c>
      <c r="K379" t="s">
        <v>707</v>
      </c>
      <c r="L379" t="s">
        <v>720</v>
      </c>
      <c r="M379" t="s">
        <v>727</v>
      </c>
      <c r="N379" t="s">
        <v>1111</v>
      </c>
      <c r="O379" s="29">
        <v>1113.7</v>
      </c>
      <c r="P379" t="str">
        <f>IF(Table1[[#This Row],[UnitPrice]]&lt;=0,"Check","OK")</f>
        <v>OK</v>
      </c>
      <c r="Q379" s="29">
        <f t="shared" si="77"/>
        <v>1620.6</v>
      </c>
      <c r="R379">
        <v>1620.6</v>
      </c>
      <c r="S379" s="5">
        <f>IF(Table1[[#This Row],[Discount_Flag]]="Check", MIN(MAX(Table1[[#This Row],[DiscountPct]],0),0.3), Table1[[#This Row],[DiscountPct]])</f>
        <v>0.13900000000000001</v>
      </c>
      <c r="T379" t="str">
        <f>IF(OR(Table1[[#This Row],[DiscountPct]]&lt;0,Table1[[#This Row],[DiscountPct]]&gt;0.3),"Check","OK")</f>
        <v>OK</v>
      </c>
      <c r="U379" s="11">
        <v>0.13900000000000001</v>
      </c>
      <c r="V379" s="15">
        <f t="shared" si="78"/>
        <v>0</v>
      </c>
      <c r="W379" s="11">
        <f t="shared" si="79"/>
        <v>0.20184133348182787</v>
      </c>
      <c r="X379" s="17">
        <f t="shared" si="80"/>
        <v>12250.7</v>
      </c>
      <c r="Y379" s="17">
        <f t="shared" si="81"/>
        <v>3098.002599999998</v>
      </c>
      <c r="Z379" s="17">
        <f t="shared" si="82"/>
        <v>15348.702599999999</v>
      </c>
      <c r="AA379" s="17" t="str">
        <f t="shared" si="83"/>
        <v>Q1-2023</v>
      </c>
      <c r="AB379" s="12" t="str">
        <f t="shared" si="84"/>
        <v>Mar-2023</v>
      </c>
      <c r="AC379" s="12" t="str">
        <f t="shared" si="85"/>
        <v>Medium</v>
      </c>
      <c r="AD379">
        <v>11</v>
      </c>
      <c r="AE379" s="12">
        <f>_xlfn.MINIFS(Table1[MonthDate], Table1[Country], Table1[[#This Row],[Country]])</f>
        <v>44927</v>
      </c>
      <c r="AF379" s="12">
        <f t="shared" si="86"/>
        <v>44986</v>
      </c>
      <c r="AG379">
        <f>AD379*(1 + Scenario_Control!$B$4)</f>
        <v>12.100000000000001</v>
      </c>
      <c r="AH379">
        <f>O379*(1 + Scenario_Control!$B$3)</f>
        <v>1169.385</v>
      </c>
      <c r="AI379">
        <f t="shared" si="87"/>
        <v>3376.7145720000003</v>
      </c>
      <c r="AJ379">
        <f t="shared" si="88"/>
        <v>-10772.843928</v>
      </c>
      <c r="AK379" s="29">
        <f>MIN(Q379*(1-U379), Scenario_Control!$B$2*Q379)</f>
        <v>324.12</v>
      </c>
      <c r="AL379" s="15">
        <f t="shared" si="89"/>
        <v>0</v>
      </c>
      <c r="AM379" s="8">
        <f>DATEDIF(Table1[[#This Row],[Country_FirstMonth]], Table1[[#This Row],[MonthDate]], "m")</f>
        <v>2</v>
      </c>
    </row>
    <row r="380" spans="1:39" x14ac:dyDescent="0.25">
      <c r="A380" t="s">
        <v>392</v>
      </c>
      <c r="B380" s="12">
        <v>45664</v>
      </c>
      <c r="C380" s="12">
        <f t="shared" si="75"/>
        <v>45677</v>
      </c>
      <c r="D380" s="2" t="str">
        <f>IF(Table1[[#This Row],[RequiredDate]]&lt;Table1[[#This Row],[OrderDate]],"Check","OK")</f>
        <v>OK</v>
      </c>
      <c r="E380" s="2">
        <v>45677</v>
      </c>
      <c r="F380" s="15">
        <f t="shared" si="76"/>
        <v>13</v>
      </c>
      <c r="G380" t="s">
        <v>646</v>
      </c>
      <c r="H380" t="s">
        <v>661</v>
      </c>
      <c r="I380" t="s">
        <v>695</v>
      </c>
      <c r="J380" t="s">
        <v>701</v>
      </c>
      <c r="K380" t="s">
        <v>711</v>
      </c>
      <c r="L380" t="s">
        <v>723</v>
      </c>
      <c r="M380" t="s">
        <v>729</v>
      </c>
      <c r="N380" t="s">
        <v>1112</v>
      </c>
      <c r="O380" s="29">
        <v>432.13</v>
      </c>
      <c r="P380" t="str">
        <f>IF(Table1[[#This Row],[UnitPrice]]&lt;=0,"Check","OK")</f>
        <v>OK</v>
      </c>
      <c r="Q380" s="29">
        <f t="shared" si="77"/>
        <v>1034.6600000000001</v>
      </c>
      <c r="R380">
        <v>1034.6600000000001</v>
      </c>
      <c r="S380" s="5">
        <f>IF(Table1[[#This Row],[Discount_Flag]]="Check", MIN(MAX(Table1[[#This Row],[DiscountPct]],0),0.3), Table1[[#This Row],[DiscountPct]])</f>
        <v>9.1999999999999998E-2</v>
      </c>
      <c r="T380" t="str">
        <f>IF(OR(Table1[[#This Row],[DiscountPct]]&lt;0,Table1[[#This Row],[DiscountPct]]&gt;0.3),"Check","OK")</f>
        <v>OK</v>
      </c>
      <c r="U380" s="11">
        <v>9.1999999999999998E-2</v>
      </c>
      <c r="V380" s="15">
        <f t="shared" si="78"/>
        <v>0</v>
      </c>
      <c r="W380" s="11">
        <f t="shared" si="79"/>
        <v>0.54002851476204794</v>
      </c>
      <c r="X380" s="17">
        <f t="shared" si="80"/>
        <v>3024.91</v>
      </c>
      <c r="Y380" s="17">
        <f t="shared" si="81"/>
        <v>3551.3889600000011</v>
      </c>
      <c r="Z380" s="17">
        <f t="shared" si="82"/>
        <v>6576.298960000001</v>
      </c>
      <c r="AA380" s="17" t="str">
        <f t="shared" si="83"/>
        <v>Q1-2025</v>
      </c>
      <c r="AB380" s="12" t="str">
        <f t="shared" si="84"/>
        <v>Jan-2025</v>
      </c>
      <c r="AC380" s="12" t="str">
        <f t="shared" si="85"/>
        <v>Medium</v>
      </c>
      <c r="AD380">
        <v>7</v>
      </c>
      <c r="AE380" s="12">
        <f>_xlfn.MINIFS(Table1[MonthDate], Table1[Country], Table1[[#This Row],[Country]])</f>
        <v>44927</v>
      </c>
      <c r="AF380" s="12">
        <f t="shared" si="86"/>
        <v>45658</v>
      </c>
      <c r="AG380">
        <f>AD380*(1 + Scenario_Control!$B$4)</f>
        <v>7.7000000000000011</v>
      </c>
      <c r="AH380">
        <f>O380*(1 + Scenario_Control!$B$3)</f>
        <v>453.73650000000004</v>
      </c>
      <c r="AI380">
        <f t="shared" si="87"/>
        <v>1446.7857712000005</v>
      </c>
      <c r="AJ380">
        <f t="shared" si="88"/>
        <v>-2046.9852788000003</v>
      </c>
      <c r="AK380" s="29">
        <f>MIN(Q380*(1-U380), Scenario_Control!$B$2*Q380)</f>
        <v>206.93200000000002</v>
      </c>
      <c r="AL380" s="15">
        <f t="shared" si="89"/>
        <v>0</v>
      </c>
      <c r="AM380" s="8">
        <f>DATEDIF(Table1[[#This Row],[Country_FirstMonth]], Table1[[#This Row],[MonthDate]], "m")</f>
        <v>24</v>
      </c>
    </row>
    <row r="381" spans="1:39" x14ac:dyDescent="0.25">
      <c r="A381" t="s">
        <v>393</v>
      </c>
      <c r="B381" s="12">
        <v>45694</v>
      </c>
      <c r="C381" s="12">
        <f t="shared" si="75"/>
        <v>45703</v>
      </c>
      <c r="D381" s="2" t="str">
        <f>IF(Table1[[#This Row],[RequiredDate]]&lt;Table1[[#This Row],[OrderDate]],"Check","OK")</f>
        <v>OK</v>
      </c>
      <c r="E381" s="2">
        <v>45703</v>
      </c>
      <c r="F381" s="15">
        <f t="shared" si="76"/>
        <v>9</v>
      </c>
      <c r="G381" t="s">
        <v>648</v>
      </c>
      <c r="H381" t="s">
        <v>655</v>
      </c>
      <c r="I381" t="s">
        <v>670</v>
      </c>
      <c r="J381" t="s">
        <v>703</v>
      </c>
      <c r="K381" t="s">
        <v>710</v>
      </c>
      <c r="L381" t="s">
        <v>721</v>
      </c>
      <c r="M381" t="s">
        <v>729</v>
      </c>
      <c r="N381" t="s">
        <v>1113</v>
      </c>
      <c r="O381" s="29">
        <v>837.39</v>
      </c>
      <c r="P381" t="str">
        <f>IF(Table1[[#This Row],[UnitPrice]]&lt;=0,"Check","OK")</f>
        <v>OK</v>
      </c>
      <c r="Q381" s="29">
        <f t="shared" si="77"/>
        <v>1905.42</v>
      </c>
      <c r="R381">
        <v>1905.42</v>
      </c>
      <c r="S381" s="5">
        <f>IF(Table1[[#This Row],[Discount_Flag]]="Check", MIN(MAX(Table1[[#This Row],[DiscountPct]],0),0.3), Table1[[#This Row],[DiscountPct]])</f>
        <v>3.2000000000000001E-2</v>
      </c>
      <c r="T381" t="str">
        <f>IF(OR(Table1[[#This Row],[DiscountPct]]&lt;0,Table1[[#This Row],[DiscountPct]]&gt;0.3),"Check","OK")</f>
        <v>OK</v>
      </c>
      <c r="U381" s="11">
        <v>3.2000000000000001E-2</v>
      </c>
      <c r="V381" s="15">
        <f t="shared" si="78"/>
        <v>0</v>
      </c>
      <c r="W381" s="11">
        <f t="shared" si="79"/>
        <v>0.54599389423350919</v>
      </c>
      <c r="X381" s="17">
        <f t="shared" si="80"/>
        <v>15073.02</v>
      </c>
      <c r="Y381" s="17">
        <f t="shared" si="81"/>
        <v>18127.018079999998</v>
      </c>
      <c r="Z381" s="17">
        <f t="shared" si="82"/>
        <v>33200.038079999998</v>
      </c>
      <c r="AA381" s="17" t="str">
        <f t="shared" si="83"/>
        <v>Q1-2025</v>
      </c>
      <c r="AB381" s="12" t="str">
        <f t="shared" si="84"/>
        <v>Feb-2025</v>
      </c>
      <c r="AC381" s="12" t="str">
        <f t="shared" si="85"/>
        <v>Medium</v>
      </c>
      <c r="AD381">
        <v>18</v>
      </c>
      <c r="AE381" s="12">
        <f>_xlfn.MINIFS(Table1[MonthDate], Table1[Country], Table1[[#This Row],[Country]])</f>
        <v>44927</v>
      </c>
      <c r="AF381" s="12">
        <f t="shared" si="86"/>
        <v>45689</v>
      </c>
      <c r="AG381">
        <f>AD381*(1 + Scenario_Control!$B$4)</f>
        <v>19.8</v>
      </c>
      <c r="AH381">
        <f>O381*(1 + Scenario_Control!$B$3)</f>
        <v>879.2595</v>
      </c>
      <c r="AI381">
        <f t="shared" si="87"/>
        <v>7304.008377600001</v>
      </c>
      <c r="AJ381">
        <f t="shared" si="88"/>
        <v>-10105.3297224</v>
      </c>
      <c r="AK381" s="29">
        <f>MIN(Q381*(1-U381), Scenario_Control!$B$2*Q381)</f>
        <v>381.08400000000006</v>
      </c>
      <c r="AL381" s="15">
        <f t="shared" si="89"/>
        <v>0</v>
      </c>
      <c r="AM381" s="8">
        <f>DATEDIF(Table1[[#This Row],[Country_FirstMonth]], Table1[[#This Row],[MonthDate]], "m")</f>
        <v>25</v>
      </c>
    </row>
    <row r="382" spans="1:39" x14ac:dyDescent="0.25">
      <c r="A382" t="s">
        <v>394</v>
      </c>
      <c r="B382" s="12">
        <v>45688</v>
      </c>
      <c r="C382" s="12">
        <f t="shared" si="75"/>
        <v>45705</v>
      </c>
      <c r="D382" s="2" t="str">
        <f>IF(Table1[[#This Row],[RequiredDate]]&lt;Table1[[#This Row],[OrderDate]],"Check","OK")</f>
        <v>OK</v>
      </c>
      <c r="E382" s="2">
        <v>45705</v>
      </c>
      <c r="F382" s="15">
        <f t="shared" si="76"/>
        <v>17</v>
      </c>
      <c r="G382" t="s">
        <v>649</v>
      </c>
      <c r="H382" t="s">
        <v>658</v>
      </c>
      <c r="I382" t="s">
        <v>683</v>
      </c>
      <c r="J382" t="s">
        <v>706</v>
      </c>
      <c r="K382" t="s">
        <v>707</v>
      </c>
      <c r="L382" t="s">
        <v>722</v>
      </c>
      <c r="M382" t="s">
        <v>727</v>
      </c>
      <c r="N382" t="s">
        <v>812</v>
      </c>
      <c r="O382" s="29">
        <v>378.26</v>
      </c>
      <c r="P382" t="str">
        <f>IF(Table1[[#This Row],[UnitPrice]]&lt;=0,"Check","OK")</f>
        <v>OK</v>
      </c>
      <c r="Q382" s="29">
        <f t="shared" si="77"/>
        <v>541.55999999999995</v>
      </c>
      <c r="R382">
        <v>541.55999999999995</v>
      </c>
      <c r="S382" s="5">
        <f>IF(Table1[[#This Row],[Discount_Flag]]="Check", MIN(MAX(Table1[[#This Row],[DiscountPct]],0),0.3), Table1[[#This Row],[DiscountPct]])</f>
        <v>0.16300000000000001</v>
      </c>
      <c r="T382" t="str">
        <f>IF(OR(Table1[[#This Row],[DiscountPct]]&lt;0,Table1[[#This Row],[DiscountPct]]&gt;0.3),"Check","OK")</f>
        <v>OK</v>
      </c>
      <c r="U382" s="11">
        <v>0.16300000000000001</v>
      </c>
      <c r="V382" s="15">
        <f t="shared" si="78"/>
        <v>0</v>
      </c>
      <c r="W382" s="11">
        <f t="shared" si="79"/>
        <v>0.16551529573885526</v>
      </c>
      <c r="X382" s="17">
        <f t="shared" si="80"/>
        <v>9456.5</v>
      </c>
      <c r="Y382" s="17">
        <f t="shared" si="81"/>
        <v>1875.6429999999982</v>
      </c>
      <c r="Z382" s="17">
        <f t="shared" si="82"/>
        <v>11332.142999999998</v>
      </c>
      <c r="AA382" s="17" t="str">
        <f t="shared" si="83"/>
        <v>Q1-2025</v>
      </c>
      <c r="AB382" s="12" t="str">
        <f t="shared" si="84"/>
        <v>Jan-2025</v>
      </c>
      <c r="AC382" s="12" t="str">
        <f t="shared" si="85"/>
        <v>Low</v>
      </c>
      <c r="AD382">
        <v>25</v>
      </c>
      <c r="AE382" s="12">
        <f>_xlfn.MINIFS(Table1[MonthDate], Table1[Country], Table1[[#This Row],[Country]])</f>
        <v>44927</v>
      </c>
      <c r="AF382" s="12">
        <f t="shared" si="86"/>
        <v>45658</v>
      </c>
      <c r="AG382">
        <f>AD382*(1 + Scenario_Control!$B$4)</f>
        <v>27.500000000000004</v>
      </c>
      <c r="AH382">
        <f>O382*(1 + Scenario_Control!$B$3)</f>
        <v>397.173</v>
      </c>
      <c r="AI382">
        <f t="shared" si="87"/>
        <v>2493.0714600000001</v>
      </c>
      <c r="AJ382">
        <f t="shared" si="88"/>
        <v>-8429.1860400000005</v>
      </c>
      <c r="AK382" s="29">
        <f>MIN(Q382*(1-U382), Scenario_Control!$B$2*Q382)</f>
        <v>108.312</v>
      </c>
      <c r="AL382" s="15">
        <f t="shared" si="89"/>
        <v>0</v>
      </c>
      <c r="AM382" s="8">
        <f>DATEDIF(Table1[[#This Row],[Country_FirstMonth]], Table1[[#This Row],[MonthDate]], "m")</f>
        <v>24</v>
      </c>
    </row>
    <row r="383" spans="1:39" x14ac:dyDescent="0.25">
      <c r="A383" t="s">
        <v>395</v>
      </c>
      <c r="B383" s="12">
        <v>45876</v>
      </c>
      <c r="C383" s="12">
        <f t="shared" si="75"/>
        <v>45906</v>
      </c>
      <c r="D383" s="2" t="str">
        <f>IF(Table1[[#This Row],[RequiredDate]]&lt;Table1[[#This Row],[OrderDate]],"Check","OK")</f>
        <v>OK</v>
      </c>
      <c r="E383" s="2">
        <v>45906</v>
      </c>
      <c r="F383" s="15">
        <f t="shared" si="76"/>
        <v>30</v>
      </c>
      <c r="G383" t="s">
        <v>648</v>
      </c>
      <c r="H383" t="s">
        <v>653</v>
      </c>
      <c r="I383" t="s">
        <v>681</v>
      </c>
      <c r="J383" t="s">
        <v>702</v>
      </c>
      <c r="K383" t="s">
        <v>711</v>
      </c>
      <c r="L383" t="s">
        <v>724</v>
      </c>
      <c r="M383" t="s">
        <v>729</v>
      </c>
      <c r="N383" t="s">
        <v>1114</v>
      </c>
      <c r="O383" s="29">
        <v>833.73</v>
      </c>
      <c r="P383" t="str">
        <f>IF(Table1[[#This Row],[UnitPrice]]&lt;=0,"Check","OK")</f>
        <v>OK</v>
      </c>
      <c r="Q383" s="29">
        <f t="shared" si="77"/>
        <v>1116.5999999999999</v>
      </c>
      <c r="R383">
        <v>1116.5999999999999</v>
      </c>
      <c r="S383" s="5">
        <f>IF(Table1[[#This Row],[Discount_Flag]]="Check", MIN(MAX(Table1[[#This Row],[DiscountPct]],0),0.3), Table1[[#This Row],[DiscountPct]])</f>
        <v>0.17599999999999999</v>
      </c>
      <c r="T383" t="str">
        <f>IF(OR(Table1[[#This Row],[DiscountPct]]&lt;0,Table1[[#This Row],[DiscountPct]]&gt;0.3),"Check","OK")</f>
        <v>OK</v>
      </c>
      <c r="U383" s="11">
        <v>0.17599999999999999</v>
      </c>
      <c r="V383" s="15">
        <f t="shared" si="78"/>
        <v>0</v>
      </c>
      <c r="W383" s="11">
        <f t="shared" si="79"/>
        <v>9.3848958958279924E-2</v>
      </c>
      <c r="X383" s="17">
        <f t="shared" si="80"/>
        <v>11672.220000000001</v>
      </c>
      <c r="Y383" s="17">
        <f t="shared" si="81"/>
        <v>1208.877599999998</v>
      </c>
      <c r="Z383" s="17">
        <f t="shared" si="82"/>
        <v>12881.097599999999</v>
      </c>
      <c r="AA383" s="17" t="str">
        <f t="shared" si="83"/>
        <v>Q3-2025</v>
      </c>
      <c r="AB383" s="12" t="str">
        <f t="shared" si="84"/>
        <v>Aug-2025</v>
      </c>
      <c r="AC383" s="12" t="str">
        <f t="shared" si="85"/>
        <v>Medium</v>
      </c>
      <c r="AD383">
        <v>14</v>
      </c>
      <c r="AE383" s="12">
        <f>_xlfn.MINIFS(Table1[MonthDate], Table1[Country], Table1[[#This Row],[Country]])</f>
        <v>44927</v>
      </c>
      <c r="AF383" s="12">
        <f t="shared" si="86"/>
        <v>45870</v>
      </c>
      <c r="AG383">
        <f>AD383*(1 + Scenario_Control!$B$4)</f>
        <v>15.400000000000002</v>
      </c>
      <c r="AH383">
        <f>O383*(1 + Scenario_Control!$B$3)</f>
        <v>875.41650000000004</v>
      </c>
      <c r="AI383">
        <f t="shared" si="87"/>
        <v>2833.8414720000005</v>
      </c>
      <c r="AJ383">
        <f t="shared" si="88"/>
        <v>-10647.572628000002</v>
      </c>
      <c r="AK383" s="29">
        <f>MIN(Q383*(1-U383), Scenario_Control!$B$2*Q383)</f>
        <v>223.32</v>
      </c>
      <c r="AL383" s="15">
        <f t="shared" si="89"/>
        <v>0</v>
      </c>
      <c r="AM383" s="8">
        <f>DATEDIF(Table1[[#This Row],[Country_FirstMonth]], Table1[[#This Row],[MonthDate]], "m")</f>
        <v>31</v>
      </c>
    </row>
    <row r="384" spans="1:39" x14ac:dyDescent="0.25">
      <c r="A384" t="s">
        <v>396</v>
      </c>
      <c r="B384" s="12">
        <v>45861</v>
      </c>
      <c r="C384" s="12">
        <f t="shared" si="75"/>
        <v>45886</v>
      </c>
      <c r="D384" s="2" t="str">
        <f>IF(Table1[[#This Row],[RequiredDate]]&lt;Table1[[#This Row],[OrderDate]],"Check","OK")</f>
        <v>OK</v>
      </c>
      <c r="E384" s="2">
        <v>45886</v>
      </c>
      <c r="F384" s="15">
        <f t="shared" si="76"/>
        <v>25</v>
      </c>
      <c r="G384" t="s">
        <v>649</v>
      </c>
      <c r="H384" t="s">
        <v>658</v>
      </c>
      <c r="I384" t="s">
        <v>674</v>
      </c>
      <c r="J384" t="s">
        <v>702</v>
      </c>
      <c r="K384" t="s">
        <v>708</v>
      </c>
      <c r="L384" t="s">
        <v>714</v>
      </c>
      <c r="M384" t="s">
        <v>728</v>
      </c>
      <c r="N384" t="s">
        <v>1115</v>
      </c>
      <c r="O384" s="29">
        <v>1142.06</v>
      </c>
      <c r="P384" t="str">
        <f>IF(Table1[[#This Row],[UnitPrice]]&lt;=0,"Check","OK")</f>
        <v>OK</v>
      </c>
      <c r="Q384" s="29">
        <f t="shared" si="77"/>
        <v>1455</v>
      </c>
      <c r="R384">
        <v>1455</v>
      </c>
      <c r="S384" s="5">
        <f>IF(Table1[[#This Row],[Discount_Flag]]="Check", MIN(MAX(Table1[[#This Row],[DiscountPct]],0),0.3), Table1[[#This Row],[DiscountPct]])</f>
        <v>7.8E-2</v>
      </c>
      <c r="T384" t="str">
        <f>IF(OR(Table1[[#This Row],[DiscountPct]]&lt;0,Table1[[#This Row],[DiscountPct]]&gt;0.3),"Check","OK")</f>
        <v>OK</v>
      </c>
      <c r="U384" s="11">
        <v>7.8E-2</v>
      </c>
      <c r="V384" s="15">
        <f t="shared" si="78"/>
        <v>0</v>
      </c>
      <c r="W384" s="11">
        <f t="shared" si="79"/>
        <v>0.1486757459877302</v>
      </c>
      <c r="X384" s="17">
        <f t="shared" si="80"/>
        <v>31977.68</v>
      </c>
      <c r="Y384" s="17">
        <f t="shared" si="81"/>
        <v>5584.5999999999985</v>
      </c>
      <c r="Z384" s="17">
        <f t="shared" si="82"/>
        <v>37562.28</v>
      </c>
      <c r="AA384" s="17" t="str">
        <f t="shared" si="83"/>
        <v>Q3-2025</v>
      </c>
      <c r="AB384" s="12" t="str">
        <f t="shared" si="84"/>
        <v>Jul-2025</v>
      </c>
      <c r="AC384" s="12" t="str">
        <f t="shared" si="85"/>
        <v>Medium</v>
      </c>
      <c r="AD384">
        <v>28</v>
      </c>
      <c r="AE384" s="12">
        <f>_xlfn.MINIFS(Table1[MonthDate], Table1[Country], Table1[[#This Row],[Country]])</f>
        <v>44927</v>
      </c>
      <c r="AF384" s="12">
        <f t="shared" si="86"/>
        <v>45839</v>
      </c>
      <c r="AG384">
        <f>AD384*(1 + Scenario_Control!$B$4)</f>
        <v>30.800000000000004</v>
      </c>
      <c r="AH384">
        <f>O384*(1 + Scenario_Control!$B$3)</f>
        <v>1199.163</v>
      </c>
      <c r="AI384">
        <f t="shared" si="87"/>
        <v>8263.7016000000021</v>
      </c>
      <c r="AJ384">
        <f t="shared" si="88"/>
        <v>-28670.518800000005</v>
      </c>
      <c r="AK384" s="29">
        <f>MIN(Q384*(1-U384), Scenario_Control!$B$2*Q384)</f>
        <v>291</v>
      </c>
      <c r="AL384" s="15">
        <f t="shared" si="89"/>
        <v>0</v>
      </c>
      <c r="AM384" s="8">
        <f>DATEDIF(Table1[[#This Row],[Country_FirstMonth]], Table1[[#This Row],[MonthDate]], "m")</f>
        <v>30</v>
      </c>
    </row>
    <row r="385" spans="1:39" x14ac:dyDescent="0.25">
      <c r="A385" t="s">
        <v>397</v>
      </c>
      <c r="B385" s="12">
        <v>45097</v>
      </c>
      <c r="C385" s="12">
        <f t="shared" si="75"/>
        <v>45115</v>
      </c>
      <c r="D385" s="2" t="str">
        <f>IF(Table1[[#This Row],[RequiredDate]]&lt;Table1[[#This Row],[OrderDate]],"Check","OK")</f>
        <v>OK</v>
      </c>
      <c r="E385" s="2">
        <v>45115</v>
      </c>
      <c r="F385" s="15">
        <f t="shared" si="76"/>
        <v>18</v>
      </c>
      <c r="G385" t="s">
        <v>648</v>
      </c>
      <c r="H385" t="s">
        <v>660</v>
      </c>
      <c r="I385" t="s">
        <v>700</v>
      </c>
      <c r="J385" t="s">
        <v>704</v>
      </c>
      <c r="K385" t="s">
        <v>709</v>
      </c>
      <c r="L385" t="s">
        <v>719</v>
      </c>
      <c r="M385" t="s">
        <v>729</v>
      </c>
      <c r="N385" t="s">
        <v>1116</v>
      </c>
      <c r="O385" s="29">
        <v>1145.53</v>
      </c>
      <c r="P385" t="str">
        <f>IF(Table1[[#This Row],[UnitPrice]]&lt;=0,"Check","OK")</f>
        <v>OK</v>
      </c>
      <c r="Q385" s="29">
        <f t="shared" si="77"/>
        <v>1278.3</v>
      </c>
      <c r="R385">
        <v>1278.3</v>
      </c>
      <c r="S385" s="5">
        <f>IF(Table1[[#This Row],[Discount_Flag]]="Check", MIN(MAX(Table1[[#This Row],[DiscountPct]],0),0.3), Table1[[#This Row],[DiscountPct]])</f>
        <v>0.09</v>
      </c>
      <c r="T385" t="str">
        <f>IF(OR(Table1[[#This Row],[DiscountPct]]&lt;0,Table1[[#This Row],[DiscountPct]]&gt;0.3),"Check","OK")</f>
        <v>OK</v>
      </c>
      <c r="U385" s="11">
        <v>0.09</v>
      </c>
      <c r="V385" s="15">
        <f t="shared" si="78"/>
        <v>0</v>
      </c>
      <c r="W385" s="11">
        <f t="shared" si="79"/>
        <v>1.5235722581416158E-2</v>
      </c>
      <c r="X385" s="17">
        <f t="shared" si="80"/>
        <v>46966.729999999996</v>
      </c>
      <c r="Y385" s="17">
        <f t="shared" si="81"/>
        <v>726.64300000000367</v>
      </c>
      <c r="Z385" s="17">
        <f t="shared" si="82"/>
        <v>47693.373</v>
      </c>
      <c r="AA385" s="17" t="str">
        <f t="shared" si="83"/>
        <v>Q2-2023</v>
      </c>
      <c r="AB385" s="12" t="str">
        <f t="shared" si="84"/>
        <v>Jun-2023</v>
      </c>
      <c r="AC385" s="12" t="str">
        <f t="shared" si="85"/>
        <v>Medium</v>
      </c>
      <c r="AD385">
        <v>41</v>
      </c>
      <c r="AE385" s="12">
        <f>_xlfn.MINIFS(Table1[MonthDate], Table1[Country], Table1[[#This Row],[Country]])</f>
        <v>44927</v>
      </c>
      <c r="AF385" s="12">
        <f t="shared" si="86"/>
        <v>45078</v>
      </c>
      <c r="AG385">
        <f>AD385*(1 + Scenario_Control!$B$4)</f>
        <v>45.1</v>
      </c>
      <c r="AH385">
        <f>O385*(1 + Scenario_Control!$B$3)</f>
        <v>1202.8064999999999</v>
      </c>
      <c r="AI385">
        <f t="shared" si="87"/>
        <v>10492.54206</v>
      </c>
      <c r="AJ385">
        <f t="shared" si="88"/>
        <v>-43754.031089999997</v>
      </c>
      <c r="AK385" s="29">
        <f>MIN(Q385*(1-U385), Scenario_Control!$B$2*Q385)</f>
        <v>255.66</v>
      </c>
      <c r="AL385" s="15">
        <f t="shared" si="89"/>
        <v>0</v>
      </c>
      <c r="AM385" s="8">
        <f>DATEDIF(Table1[[#This Row],[Country_FirstMonth]], Table1[[#This Row],[MonthDate]], "m")</f>
        <v>5</v>
      </c>
    </row>
    <row r="386" spans="1:39" x14ac:dyDescent="0.25">
      <c r="A386" t="s">
        <v>398</v>
      </c>
      <c r="B386" s="12">
        <v>45491</v>
      </c>
      <c r="C386" s="12">
        <f t="shared" ref="C386:C449" si="90">IF(D386="Check",B386+7,E386)</f>
        <v>45511</v>
      </c>
      <c r="D386" s="2" t="str">
        <f>IF(Table1[[#This Row],[RequiredDate]]&lt;Table1[[#This Row],[OrderDate]],"Check","OK")</f>
        <v>OK</v>
      </c>
      <c r="E386" s="2">
        <v>45511</v>
      </c>
      <c r="F386" s="15">
        <f t="shared" ref="F386:F449" si="91">C386-B386</f>
        <v>20</v>
      </c>
      <c r="G386" t="s">
        <v>649</v>
      </c>
      <c r="H386" t="s">
        <v>657</v>
      </c>
      <c r="I386" t="s">
        <v>673</v>
      </c>
      <c r="J386" t="s">
        <v>701</v>
      </c>
      <c r="K386" t="s">
        <v>707</v>
      </c>
      <c r="L386" t="s">
        <v>721</v>
      </c>
      <c r="M386" t="s">
        <v>732</v>
      </c>
      <c r="N386" t="s">
        <v>1117</v>
      </c>
      <c r="O386" s="29">
        <v>941.35</v>
      </c>
      <c r="P386" t="str">
        <f>IF(Table1[[#This Row],[UnitPrice]]&lt;=0,"Check","OK")</f>
        <v>OK</v>
      </c>
      <c r="Q386" s="29">
        <f t="shared" ref="Q386:Q449" si="92">IF(R386&lt;0,0,R386)</f>
        <v>899.83</v>
      </c>
      <c r="R386">
        <v>899.83</v>
      </c>
      <c r="S386" s="5">
        <f>IF(Table1[[#This Row],[Discount_Flag]]="Check", MIN(MAX(Table1[[#This Row],[DiscountPct]],0),0.3), Table1[[#This Row],[DiscountPct]])</f>
        <v>5.8000000000000003E-2</v>
      </c>
      <c r="T386" t="str">
        <f>IF(OR(Table1[[#This Row],[DiscountPct]]&lt;0,Table1[[#This Row],[DiscountPct]]&gt;0.3),"Check","OK")</f>
        <v>OK</v>
      </c>
      <c r="U386" s="11">
        <v>5.8000000000000003E-2</v>
      </c>
      <c r="V386" s="15">
        <f t="shared" ref="V386:V449" si="93">IF(U386&gt;0.2,1,0)</f>
        <v>0</v>
      </c>
      <c r="W386" s="11">
        <f t="shared" ref="W386:W449" si="94">IF(Z386=0, 0, Y386/Z386)</f>
        <v>-0.11055419220139073</v>
      </c>
      <c r="X386" s="17">
        <f t="shared" ref="X386:X449" si="95">O386*AD386</f>
        <v>16944.3</v>
      </c>
      <c r="Y386" s="17">
        <f t="shared" ref="Y386:Y449" si="96">Z386-X386</f>
        <v>-1686.7825199999988</v>
      </c>
      <c r="Z386" s="17">
        <f t="shared" ref="Z386:Z449" si="97">Q386*AD386*(1-S386)</f>
        <v>15257.51748</v>
      </c>
      <c r="AA386" s="17" t="str">
        <f t="shared" ref="AA386:AA449" si="98">"Q"&amp;ROUNDUP(MONTH(B386)/3,0)&amp;"-"&amp;YEAR(B386)</f>
        <v>Q3-2024</v>
      </c>
      <c r="AB386" s="12" t="str">
        <f t="shared" ref="AB386:AB449" si="99">TEXT(B386,"MMM-YYYY")</f>
        <v>Jul-2024</v>
      </c>
      <c r="AC386" s="12" t="str">
        <f t="shared" ref="AC386:AC449" si="100">IF(Q386&lt;=$AE$639,"Low",IF(Q386&lt;=$AE$641,"Medium","High"))</f>
        <v>Medium</v>
      </c>
      <c r="AD386">
        <v>18</v>
      </c>
      <c r="AE386" s="12">
        <f>_xlfn.MINIFS(Table1[MonthDate], Table1[Country], Table1[[#This Row],[Country]])</f>
        <v>44927</v>
      </c>
      <c r="AF386" s="12">
        <f t="shared" ref="AF386:AF449" si="101">DATE(YEAR(B386), MONTH(B386), 1)</f>
        <v>45474</v>
      </c>
      <c r="AG386">
        <f>AD386*(1 + Scenario_Control!$B$4)</f>
        <v>19.8</v>
      </c>
      <c r="AH386">
        <f>O386*(1 + Scenario_Control!$B$3)</f>
        <v>988.41750000000002</v>
      </c>
      <c r="AI386">
        <f t="shared" ref="AI386:AI449" si="102">AK386 * AG386 * (1 - U386)</f>
        <v>3356.6538456000003</v>
      </c>
      <c r="AJ386">
        <f t="shared" ref="AJ386:AJ449" si="103">AI386 - (AH386 * AG386)</f>
        <v>-16214.0126544</v>
      </c>
      <c r="AK386" s="29">
        <f>MIN(Q386*(1-U386), Scenario_Control!$B$2*Q386)</f>
        <v>179.96600000000001</v>
      </c>
      <c r="AL386" s="15">
        <f t="shared" ref="AL386:AL449" si="104">IF(F386&lt;=7,1,0)</f>
        <v>0</v>
      </c>
      <c r="AM386" s="8">
        <f>DATEDIF(Table1[[#This Row],[Country_FirstMonth]], Table1[[#This Row],[MonthDate]], "m")</f>
        <v>18</v>
      </c>
    </row>
    <row r="387" spans="1:39" x14ac:dyDescent="0.25">
      <c r="A387" t="s">
        <v>399</v>
      </c>
      <c r="B387" s="12">
        <v>45066</v>
      </c>
      <c r="C387" s="12">
        <f t="shared" si="90"/>
        <v>45096</v>
      </c>
      <c r="D387" s="2" t="str">
        <f>IF(Table1[[#This Row],[RequiredDate]]&lt;Table1[[#This Row],[OrderDate]],"Check","OK")</f>
        <v>OK</v>
      </c>
      <c r="E387" s="2">
        <v>45096</v>
      </c>
      <c r="F387" s="15">
        <f t="shared" si="91"/>
        <v>30</v>
      </c>
      <c r="G387" t="s">
        <v>647</v>
      </c>
      <c r="H387" t="s">
        <v>654</v>
      </c>
      <c r="I387" t="s">
        <v>680</v>
      </c>
      <c r="J387" t="s">
        <v>703</v>
      </c>
      <c r="K387" t="s">
        <v>709</v>
      </c>
      <c r="L387" t="s">
        <v>722</v>
      </c>
      <c r="M387" t="s">
        <v>731</v>
      </c>
      <c r="N387" t="s">
        <v>1118</v>
      </c>
      <c r="O387" s="29">
        <v>1161.2</v>
      </c>
      <c r="P387" t="str">
        <f>IF(Table1[[#This Row],[UnitPrice]]&lt;=0,"Check","OK")</f>
        <v>OK</v>
      </c>
      <c r="Q387" s="29">
        <f t="shared" si="92"/>
        <v>878.73</v>
      </c>
      <c r="R387">
        <v>878.73</v>
      </c>
      <c r="S387" s="5">
        <f>IF(Table1[[#This Row],[Discount_Flag]]="Check", MIN(MAX(Table1[[#This Row],[DiscountPct]],0),0.3), Table1[[#This Row],[DiscountPct]])</f>
        <v>0.19</v>
      </c>
      <c r="T387" t="str">
        <f>IF(OR(Table1[[#This Row],[DiscountPct]]&lt;0,Table1[[#This Row],[DiscountPct]]&gt;0.3),"Check","OK")</f>
        <v>OK</v>
      </c>
      <c r="U387" s="11">
        <v>0.19</v>
      </c>
      <c r="V387" s="15">
        <f t="shared" si="93"/>
        <v>0</v>
      </c>
      <c r="W387" s="11">
        <f t="shared" si="94"/>
        <v>-0.63142290227212028</v>
      </c>
      <c r="X387" s="17">
        <f t="shared" si="95"/>
        <v>35997.200000000004</v>
      </c>
      <c r="Y387" s="17">
        <f t="shared" si="96"/>
        <v>-13932.289700000001</v>
      </c>
      <c r="Z387" s="17">
        <f t="shared" si="97"/>
        <v>22064.910300000003</v>
      </c>
      <c r="AA387" s="17" t="str">
        <f t="shared" si="98"/>
        <v>Q2-2023</v>
      </c>
      <c r="AB387" s="12" t="str">
        <f t="shared" si="99"/>
        <v>May-2023</v>
      </c>
      <c r="AC387" s="12" t="str">
        <f t="shared" si="100"/>
        <v>Medium</v>
      </c>
      <c r="AD387">
        <v>31</v>
      </c>
      <c r="AE387" s="12">
        <f>_xlfn.MINIFS(Table1[MonthDate], Table1[Country], Table1[[#This Row],[Country]])</f>
        <v>44927</v>
      </c>
      <c r="AF387" s="12">
        <f t="shared" si="101"/>
        <v>45047</v>
      </c>
      <c r="AG387">
        <f>AD387*(1 + Scenario_Control!$B$4)</f>
        <v>34.1</v>
      </c>
      <c r="AH387">
        <f>O387*(1 + Scenario_Control!$B$3)</f>
        <v>1219.26</v>
      </c>
      <c r="AI387">
        <f t="shared" si="102"/>
        <v>4854.2802660000007</v>
      </c>
      <c r="AJ387">
        <f t="shared" si="103"/>
        <v>-36722.485734000002</v>
      </c>
      <c r="AK387" s="29">
        <f>MIN(Q387*(1-U387), Scenario_Control!$B$2*Q387)</f>
        <v>175.74600000000001</v>
      </c>
      <c r="AL387" s="15">
        <f t="shared" si="104"/>
        <v>0</v>
      </c>
      <c r="AM387" s="8">
        <f>DATEDIF(Table1[[#This Row],[Country_FirstMonth]], Table1[[#This Row],[MonthDate]], "m")</f>
        <v>4</v>
      </c>
    </row>
    <row r="388" spans="1:39" x14ac:dyDescent="0.25">
      <c r="A388" t="s">
        <v>400</v>
      </c>
      <c r="B388" s="12">
        <v>45789</v>
      </c>
      <c r="C388" s="12">
        <f t="shared" si="90"/>
        <v>45803</v>
      </c>
      <c r="D388" s="2" t="str">
        <f>IF(Table1[[#This Row],[RequiredDate]]&lt;Table1[[#This Row],[OrderDate]],"Check","OK")</f>
        <v>OK</v>
      </c>
      <c r="E388" s="2">
        <v>45803</v>
      </c>
      <c r="F388" s="15">
        <f t="shared" si="91"/>
        <v>14</v>
      </c>
      <c r="G388" t="s">
        <v>647</v>
      </c>
      <c r="H388" t="s">
        <v>654</v>
      </c>
      <c r="I388" t="s">
        <v>696</v>
      </c>
      <c r="J388" t="s">
        <v>701</v>
      </c>
      <c r="K388" t="s">
        <v>709</v>
      </c>
      <c r="L388" t="s">
        <v>715</v>
      </c>
      <c r="M388" t="s">
        <v>728</v>
      </c>
      <c r="N388" t="s">
        <v>1119</v>
      </c>
      <c r="O388" s="29">
        <v>320.12</v>
      </c>
      <c r="P388" t="str">
        <f>IF(Table1[[#This Row],[UnitPrice]]&lt;=0,"Check","OK")</f>
        <v>OK</v>
      </c>
      <c r="Q388" s="29">
        <f t="shared" si="92"/>
        <v>594.41999999999996</v>
      </c>
      <c r="R388">
        <v>594.41999999999996</v>
      </c>
      <c r="S388" s="5">
        <f>IF(Table1[[#This Row],[Discount_Flag]]="Check", MIN(MAX(Table1[[#This Row],[DiscountPct]],0),0.3), Table1[[#This Row],[DiscountPct]])</f>
        <v>0.104</v>
      </c>
      <c r="T388" t="str">
        <f>IF(OR(Table1[[#This Row],[DiscountPct]]&lt;0,Table1[[#This Row],[DiscountPct]]&gt;0.3),"Check","OK")</f>
        <v>OK</v>
      </c>
      <c r="U388" s="11">
        <v>0.104</v>
      </c>
      <c r="V388" s="15">
        <f t="shared" si="93"/>
        <v>0</v>
      </c>
      <c r="W388" s="11">
        <f t="shared" si="94"/>
        <v>0.39894891538931104</v>
      </c>
      <c r="X388" s="17">
        <f t="shared" si="95"/>
        <v>5762.16</v>
      </c>
      <c r="Y388" s="17">
        <f t="shared" si="96"/>
        <v>3824.6457599999994</v>
      </c>
      <c r="Z388" s="17">
        <f t="shared" si="97"/>
        <v>9586.8057599999993</v>
      </c>
      <c r="AA388" s="17" t="str">
        <f t="shared" si="98"/>
        <v>Q2-2025</v>
      </c>
      <c r="AB388" s="12" t="str">
        <f t="shared" si="99"/>
        <v>May-2025</v>
      </c>
      <c r="AC388" s="12" t="str">
        <f t="shared" si="100"/>
        <v>Low</v>
      </c>
      <c r="AD388">
        <v>18</v>
      </c>
      <c r="AE388" s="12">
        <f>_xlfn.MINIFS(Table1[MonthDate], Table1[Country], Table1[[#This Row],[Country]])</f>
        <v>44927</v>
      </c>
      <c r="AF388" s="12">
        <f t="shared" si="101"/>
        <v>45778</v>
      </c>
      <c r="AG388">
        <f>AD388*(1 + Scenario_Control!$B$4)</f>
        <v>19.8</v>
      </c>
      <c r="AH388">
        <f>O388*(1 + Scenario_Control!$B$3)</f>
        <v>336.12600000000003</v>
      </c>
      <c r="AI388">
        <f t="shared" si="102"/>
        <v>2109.0972672000003</v>
      </c>
      <c r="AJ388">
        <f t="shared" si="103"/>
        <v>-4546.1975328000008</v>
      </c>
      <c r="AK388" s="29">
        <f>MIN(Q388*(1-U388), Scenario_Control!$B$2*Q388)</f>
        <v>118.884</v>
      </c>
      <c r="AL388" s="15">
        <f t="shared" si="104"/>
        <v>0</v>
      </c>
      <c r="AM388" s="8">
        <f>DATEDIF(Table1[[#This Row],[Country_FirstMonth]], Table1[[#This Row],[MonthDate]], "m")</f>
        <v>28</v>
      </c>
    </row>
    <row r="389" spans="1:39" x14ac:dyDescent="0.25">
      <c r="A389" t="s">
        <v>401</v>
      </c>
      <c r="B389" s="12">
        <v>45419</v>
      </c>
      <c r="C389" s="12">
        <f t="shared" si="90"/>
        <v>45424</v>
      </c>
      <c r="D389" s="2" t="str">
        <f>IF(Table1[[#This Row],[RequiredDate]]&lt;Table1[[#This Row],[OrderDate]],"Check","OK")</f>
        <v>OK</v>
      </c>
      <c r="E389" s="2">
        <v>45424</v>
      </c>
      <c r="F389" s="15">
        <f t="shared" si="91"/>
        <v>5</v>
      </c>
      <c r="G389" t="s">
        <v>646</v>
      </c>
      <c r="H389" t="s">
        <v>651</v>
      </c>
      <c r="I389" t="s">
        <v>669</v>
      </c>
      <c r="J389" t="s">
        <v>703</v>
      </c>
      <c r="K389" t="s">
        <v>710</v>
      </c>
      <c r="L389" t="s">
        <v>716</v>
      </c>
      <c r="M389" t="s">
        <v>731</v>
      </c>
      <c r="N389" t="s">
        <v>1120</v>
      </c>
      <c r="O389" s="29">
        <v>1163.99</v>
      </c>
      <c r="P389" t="str">
        <f>IF(Table1[[#This Row],[UnitPrice]]&lt;=0,"Check","OK")</f>
        <v>OK</v>
      </c>
      <c r="Q389" s="29">
        <f t="shared" si="92"/>
        <v>1617.85</v>
      </c>
      <c r="R389">
        <v>1617.85</v>
      </c>
      <c r="S389" s="5">
        <f>IF(Table1[[#This Row],[Discount_Flag]]="Check", MIN(MAX(Table1[[#This Row],[DiscountPct]],0),0.3), Table1[[#This Row],[DiscountPct]])</f>
        <v>0.127</v>
      </c>
      <c r="T389" t="str">
        <f>IF(OR(Table1[[#This Row],[DiscountPct]]&lt;0,Table1[[#This Row],[DiscountPct]]&gt;0.3),"Check","OK")</f>
        <v>OK</v>
      </c>
      <c r="U389" s="11">
        <v>0.127</v>
      </c>
      <c r="V389" s="15">
        <f t="shared" si="93"/>
        <v>0</v>
      </c>
      <c r="W389" s="11">
        <f t="shared" si="94"/>
        <v>0.17586804797749436</v>
      </c>
      <c r="X389" s="17">
        <f t="shared" si="95"/>
        <v>16295.86</v>
      </c>
      <c r="Y389" s="17">
        <f t="shared" si="96"/>
        <v>3477.5026999999973</v>
      </c>
      <c r="Z389" s="17">
        <f t="shared" si="97"/>
        <v>19773.362699999998</v>
      </c>
      <c r="AA389" s="17" t="str">
        <f t="shared" si="98"/>
        <v>Q2-2024</v>
      </c>
      <c r="AB389" s="12" t="str">
        <f t="shared" si="99"/>
        <v>May-2024</v>
      </c>
      <c r="AC389" s="12" t="str">
        <f t="shared" si="100"/>
        <v>Medium</v>
      </c>
      <c r="AD389">
        <v>14</v>
      </c>
      <c r="AE389" s="12">
        <f>_xlfn.MINIFS(Table1[MonthDate], Table1[Country], Table1[[#This Row],[Country]])</f>
        <v>44927</v>
      </c>
      <c r="AF389" s="12">
        <f t="shared" si="101"/>
        <v>45413</v>
      </c>
      <c r="AG389">
        <f>AD389*(1 + Scenario_Control!$B$4)</f>
        <v>15.400000000000002</v>
      </c>
      <c r="AH389">
        <f>O389*(1 + Scenario_Control!$B$3)</f>
        <v>1222.1895</v>
      </c>
      <c r="AI389">
        <f t="shared" si="102"/>
        <v>4350.1397940000006</v>
      </c>
      <c r="AJ389">
        <f t="shared" si="103"/>
        <v>-14471.578506</v>
      </c>
      <c r="AK389" s="29">
        <f>MIN(Q389*(1-U389), Scenario_Control!$B$2*Q389)</f>
        <v>323.57</v>
      </c>
      <c r="AL389" s="15">
        <f t="shared" si="104"/>
        <v>1</v>
      </c>
      <c r="AM389" s="8">
        <f>DATEDIF(Table1[[#This Row],[Country_FirstMonth]], Table1[[#This Row],[MonthDate]], "m")</f>
        <v>16</v>
      </c>
    </row>
    <row r="390" spans="1:39" x14ac:dyDescent="0.25">
      <c r="A390" t="s">
        <v>402</v>
      </c>
      <c r="B390" s="12">
        <v>45199</v>
      </c>
      <c r="C390" s="12">
        <f t="shared" si="90"/>
        <v>45202</v>
      </c>
      <c r="D390" s="2" t="str">
        <f>IF(Table1[[#This Row],[RequiredDate]]&lt;Table1[[#This Row],[OrderDate]],"Check","OK")</f>
        <v>OK</v>
      </c>
      <c r="E390" s="2">
        <v>45202</v>
      </c>
      <c r="F390" s="15">
        <f t="shared" si="91"/>
        <v>3</v>
      </c>
      <c r="G390" t="s">
        <v>647</v>
      </c>
      <c r="H390" t="s">
        <v>659</v>
      </c>
      <c r="I390" t="s">
        <v>699</v>
      </c>
      <c r="J390" t="s">
        <v>703</v>
      </c>
      <c r="K390" t="s">
        <v>707</v>
      </c>
      <c r="L390" t="s">
        <v>713</v>
      </c>
      <c r="M390" t="s">
        <v>731</v>
      </c>
      <c r="N390" t="s">
        <v>1121</v>
      </c>
      <c r="O390" s="29">
        <v>1019.36</v>
      </c>
      <c r="P390" t="str">
        <f>IF(Table1[[#This Row],[UnitPrice]]&lt;=0,"Check","OK")</f>
        <v>OK</v>
      </c>
      <c r="Q390" s="29">
        <f t="shared" si="92"/>
        <v>972.91</v>
      </c>
      <c r="R390">
        <v>972.91</v>
      </c>
      <c r="S390" s="5">
        <f>IF(Table1[[#This Row],[Discount_Flag]]="Check", MIN(MAX(Table1[[#This Row],[DiscountPct]],0),0.3), Table1[[#This Row],[DiscountPct]])</f>
        <v>0.14699999999999999</v>
      </c>
      <c r="T390" t="str">
        <f>IF(OR(Table1[[#This Row],[DiscountPct]]&lt;0,Table1[[#This Row],[DiscountPct]]&gt;0.3),"Check","OK")</f>
        <v>OK</v>
      </c>
      <c r="U390" s="11">
        <v>0.14699999999999999</v>
      </c>
      <c r="V390" s="15">
        <f t="shared" si="93"/>
        <v>0</v>
      </c>
      <c r="W390" s="11">
        <f t="shared" si="94"/>
        <v>-0.22830406545678819</v>
      </c>
      <c r="X390" s="17">
        <f t="shared" si="95"/>
        <v>17329.12</v>
      </c>
      <c r="Y390" s="17">
        <f t="shared" si="96"/>
        <v>-3220.9520899999989</v>
      </c>
      <c r="Z390" s="17">
        <f t="shared" si="97"/>
        <v>14108.16791</v>
      </c>
      <c r="AA390" s="17" t="str">
        <f t="shared" si="98"/>
        <v>Q3-2023</v>
      </c>
      <c r="AB390" s="12" t="str">
        <f t="shared" si="99"/>
        <v>Sept-2023</v>
      </c>
      <c r="AC390" s="12" t="str">
        <f t="shared" si="100"/>
        <v>Medium</v>
      </c>
      <c r="AD390">
        <v>17</v>
      </c>
      <c r="AE390" s="12">
        <f>_xlfn.MINIFS(Table1[MonthDate], Table1[Country], Table1[[#This Row],[Country]])</f>
        <v>44927</v>
      </c>
      <c r="AF390" s="12">
        <f t="shared" si="101"/>
        <v>45170</v>
      </c>
      <c r="AG390">
        <f>AD390*(1 + Scenario_Control!$B$4)</f>
        <v>18.700000000000003</v>
      </c>
      <c r="AH390">
        <f>O390*(1 + Scenario_Control!$B$3)</f>
        <v>1070.328</v>
      </c>
      <c r="AI390">
        <f t="shared" si="102"/>
        <v>3103.7969402000003</v>
      </c>
      <c r="AJ390">
        <f t="shared" si="103"/>
        <v>-16911.336659799999</v>
      </c>
      <c r="AK390" s="29">
        <f>MIN(Q390*(1-U390), Scenario_Control!$B$2*Q390)</f>
        <v>194.58199999999999</v>
      </c>
      <c r="AL390" s="15">
        <f t="shared" si="104"/>
        <v>1</v>
      </c>
      <c r="AM390" s="8">
        <f>DATEDIF(Table1[[#This Row],[Country_FirstMonth]], Table1[[#This Row],[MonthDate]], "m")</f>
        <v>8</v>
      </c>
    </row>
    <row r="391" spans="1:39" x14ac:dyDescent="0.25">
      <c r="A391" t="s">
        <v>403</v>
      </c>
      <c r="B391" s="12">
        <v>45225</v>
      </c>
      <c r="C391" s="12">
        <f t="shared" si="90"/>
        <v>45235</v>
      </c>
      <c r="D391" s="2" t="str">
        <f>IF(Table1[[#This Row],[RequiredDate]]&lt;Table1[[#This Row],[OrderDate]],"Check","OK")</f>
        <v>OK</v>
      </c>
      <c r="E391" s="2">
        <v>45235</v>
      </c>
      <c r="F391" s="15">
        <f t="shared" si="91"/>
        <v>10</v>
      </c>
      <c r="G391" t="s">
        <v>646</v>
      </c>
      <c r="H391" t="s">
        <v>661</v>
      </c>
      <c r="I391" t="s">
        <v>695</v>
      </c>
      <c r="J391" t="s">
        <v>703</v>
      </c>
      <c r="K391" t="s">
        <v>708</v>
      </c>
      <c r="L391" t="s">
        <v>714</v>
      </c>
      <c r="M391" t="s">
        <v>731</v>
      </c>
      <c r="N391" t="s">
        <v>1122</v>
      </c>
      <c r="O391" s="29">
        <v>20.38</v>
      </c>
      <c r="P391" t="str">
        <f>IF(Table1[[#This Row],[UnitPrice]]&lt;=0,"Check","OK")</f>
        <v>OK</v>
      </c>
      <c r="Q391" s="29">
        <f t="shared" si="92"/>
        <v>42.56</v>
      </c>
      <c r="R391">
        <v>42.56</v>
      </c>
      <c r="S391" s="5">
        <f>IF(Table1[[#This Row],[Discount_Flag]]="Check", MIN(MAX(Table1[[#This Row],[DiscountPct]],0),0.3), Table1[[#This Row],[DiscountPct]])</f>
        <v>7.1999999999999995E-2</v>
      </c>
      <c r="T391" t="str">
        <f>IF(OR(Table1[[#This Row],[DiscountPct]]&lt;0,Table1[[#This Row],[DiscountPct]]&gt;0.3),"Check","OK")</f>
        <v>OK</v>
      </c>
      <c r="U391" s="11">
        <v>7.1999999999999995E-2</v>
      </c>
      <c r="V391" s="15">
        <f t="shared" si="93"/>
        <v>0</v>
      </c>
      <c r="W391" s="11">
        <f t="shared" si="94"/>
        <v>0.48399419885921713</v>
      </c>
      <c r="X391" s="17">
        <f t="shared" si="95"/>
        <v>224.17999999999998</v>
      </c>
      <c r="Y391" s="17">
        <f t="shared" si="96"/>
        <v>210.27248000000006</v>
      </c>
      <c r="Z391" s="17">
        <f t="shared" si="97"/>
        <v>434.45248000000004</v>
      </c>
      <c r="AA391" s="17" t="str">
        <f t="shared" si="98"/>
        <v>Q4-2023</v>
      </c>
      <c r="AB391" s="12" t="str">
        <f t="shared" si="99"/>
        <v>Oct-2023</v>
      </c>
      <c r="AC391" s="12" t="str">
        <f t="shared" si="100"/>
        <v>Low</v>
      </c>
      <c r="AD391">
        <v>11</v>
      </c>
      <c r="AE391" s="12">
        <f>_xlfn.MINIFS(Table1[MonthDate], Table1[Country], Table1[[#This Row],[Country]])</f>
        <v>44927</v>
      </c>
      <c r="AF391" s="12">
        <f t="shared" si="101"/>
        <v>45200</v>
      </c>
      <c r="AG391">
        <f>AD391*(1 + Scenario_Control!$B$4)</f>
        <v>12.100000000000001</v>
      </c>
      <c r="AH391">
        <f>O391*(1 + Scenario_Control!$B$3)</f>
        <v>21.399000000000001</v>
      </c>
      <c r="AI391">
        <f t="shared" si="102"/>
        <v>95.579545600000017</v>
      </c>
      <c r="AJ391">
        <f t="shared" si="103"/>
        <v>-163.34835440000001</v>
      </c>
      <c r="AK391" s="29">
        <f>MIN(Q391*(1-U391), Scenario_Control!$B$2*Q391)</f>
        <v>8.5120000000000005</v>
      </c>
      <c r="AL391" s="15">
        <f t="shared" si="104"/>
        <v>0</v>
      </c>
      <c r="AM391" s="8">
        <f>DATEDIF(Table1[[#This Row],[Country_FirstMonth]], Table1[[#This Row],[MonthDate]], "m")</f>
        <v>9</v>
      </c>
    </row>
    <row r="392" spans="1:39" x14ac:dyDescent="0.25">
      <c r="A392" t="s">
        <v>404</v>
      </c>
      <c r="B392" s="12">
        <v>45823</v>
      </c>
      <c r="C392" s="12">
        <f t="shared" si="90"/>
        <v>45838</v>
      </c>
      <c r="D392" s="2" t="str">
        <f>IF(Table1[[#This Row],[RequiredDate]]&lt;Table1[[#This Row],[OrderDate]],"Check","OK")</f>
        <v>OK</v>
      </c>
      <c r="E392" s="2">
        <v>45838</v>
      </c>
      <c r="F392" s="15">
        <f t="shared" si="91"/>
        <v>15</v>
      </c>
      <c r="G392" t="s">
        <v>646</v>
      </c>
      <c r="H392" t="s">
        <v>661</v>
      </c>
      <c r="I392" t="s">
        <v>682</v>
      </c>
      <c r="J392" t="s">
        <v>705</v>
      </c>
      <c r="K392" t="s">
        <v>711</v>
      </c>
      <c r="L392" t="s">
        <v>712</v>
      </c>
      <c r="M392" t="s">
        <v>732</v>
      </c>
      <c r="N392" t="s">
        <v>1123</v>
      </c>
      <c r="O392" s="29">
        <v>1487.59</v>
      </c>
      <c r="P392" t="str">
        <f>IF(Table1[[#This Row],[UnitPrice]]&lt;=0,"Check","OK")</f>
        <v>OK</v>
      </c>
      <c r="Q392" s="29">
        <f t="shared" si="92"/>
        <v>1480.83</v>
      </c>
      <c r="R392">
        <v>1480.83</v>
      </c>
      <c r="S392" s="5">
        <f>IF(Table1[[#This Row],[Discount_Flag]]="Check", MIN(MAX(Table1[[#This Row],[DiscountPct]],0),0.3), Table1[[#This Row],[DiscountPct]])</f>
        <v>8.9999999999999993E-3</v>
      </c>
      <c r="T392" t="str">
        <f>IF(OR(Table1[[#This Row],[DiscountPct]]&lt;0,Table1[[#This Row],[DiscountPct]]&gt;0.3),"Check","OK")</f>
        <v>OK</v>
      </c>
      <c r="U392" s="11">
        <v>8.9999999999999993E-3</v>
      </c>
      <c r="V392" s="15">
        <f t="shared" si="93"/>
        <v>0</v>
      </c>
      <c r="W392" s="11">
        <f t="shared" si="94"/>
        <v>-1.3688201273492908E-2</v>
      </c>
      <c r="X392" s="17">
        <f t="shared" si="95"/>
        <v>16363.49</v>
      </c>
      <c r="Y392" s="17">
        <f t="shared" si="96"/>
        <v>-220.9621700000007</v>
      </c>
      <c r="Z392" s="17">
        <f t="shared" si="97"/>
        <v>16142.527829999999</v>
      </c>
      <c r="AA392" s="17" t="str">
        <f t="shared" si="98"/>
        <v>Q2-2025</v>
      </c>
      <c r="AB392" s="12" t="str">
        <f t="shared" si="99"/>
        <v>Jun-2025</v>
      </c>
      <c r="AC392" s="12" t="str">
        <f t="shared" si="100"/>
        <v>Medium</v>
      </c>
      <c r="AD392">
        <v>11</v>
      </c>
      <c r="AE392" s="12">
        <f>_xlfn.MINIFS(Table1[MonthDate], Table1[Country], Table1[[#This Row],[Country]])</f>
        <v>44927</v>
      </c>
      <c r="AF392" s="12">
        <f t="shared" si="101"/>
        <v>45809</v>
      </c>
      <c r="AG392">
        <f>AD392*(1 + Scenario_Control!$B$4)</f>
        <v>12.100000000000001</v>
      </c>
      <c r="AH392">
        <f>O392*(1 + Scenario_Control!$B$3)</f>
        <v>1561.9694999999999</v>
      </c>
      <c r="AI392">
        <f t="shared" si="102"/>
        <v>3551.3561226000006</v>
      </c>
      <c r="AJ392">
        <f t="shared" si="103"/>
        <v>-15348.474827399999</v>
      </c>
      <c r="AK392" s="29">
        <f>MIN(Q392*(1-U392), Scenario_Control!$B$2*Q392)</f>
        <v>296.166</v>
      </c>
      <c r="AL392" s="15">
        <f t="shared" si="104"/>
        <v>0</v>
      </c>
      <c r="AM392" s="8">
        <f>DATEDIF(Table1[[#This Row],[Country_FirstMonth]], Table1[[#This Row],[MonthDate]], "m")</f>
        <v>29</v>
      </c>
    </row>
    <row r="393" spans="1:39" x14ac:dyDescent="0.25">
      <c r="A393" t="s">
        <v>405</v>
      </c>
      <c r="B393" s="12">
        <v>45514</v>
      </c>
      <c r="C393" s="12">
        <f t="shared" si="90"/>
        <v>45542</v>
      </c>
      <c r="D393" s="2" t="str">
        <f>IF(Table1[[#This Row],[RequiredDate]]&lt;Table1[[#This Row],[OrderDate]],"Check","OK")</f>
        <v>OK</v>
      </c>
      <c r="E393" s="2">
        <v>45542</v>
      </c>
      <c r="F393" s="15">
        <f t="shared" si="91"/>
        <v>28</v>
      </c>
      <c r="G393" t="s">
        <v>649</v>
      </c>
      <c r="H393" t="s">
        <v>657</v>
      </c>
      <c r="I393" t="s">
        <v>673</v>
      </c>
      <c r="J393" t="s">
        <v>703</v>
      </c>
      <c r="K393" t="s">
        <v>711</v>
      </c>
      <c r="L393" t="s">
        <v>721</v>
      </c>
      <c r="M393" t="s">
        <v>728</v>
      </c>
      <c r="N393" t="s">
        <v>1124</v>
      </c>
      <c r="O393" s="29">
        <v>229.96</v>
      </c>
      <c r="P393" t="str">
        <f>IF(Table1[[#This Row],[UnitPrice]]&lt;=0,"Check","OK")</f>
        <v>OK</v>
      </c>
      <c r="Q393" s="29">
        <f t="shared" si="92"/>
        <v>564.26</v>
      </c>
      <c r="R393">
        <v>564.26</v>
      </c>
      <c r="S393" s="5">
        <f>IF(Table1[[#This Row],[Discount_Flag]]="Check", MIN(MAX(Table1[[#This Row],[DiscountPct]],0),0.3), Table1[[#This Row],[DiscountPct]])</f>
        <v>0.105</v>
      </c>
      <c r="T393" t="str">
        <f>IF(OR(Table1[[#This Row],[DiscountPct]]&lt;0,Table1[[#This Row],[DiscountPct]]&gt;0.3),"Check","OK")</f>
        <v>OK</v>
      </c>
      <c r="U393" s="11">
        <v>0.105</v>
      </c>
      <c r="V393" s="15">
        <f t="shared" si="93"/>
        <v>0</v>
      </c>
      <c r="W393" s="11">
        <f t="shared" si="94"/>
        <v>0.54464511486542821</v>
      </c>
      <c r="X393" s="17">
        <f t="shared" si="95"/>
        <v>1149.8</v>
      </c>
      <c r="Y393" s="17">
        <f t="shared" si="96"/>
        <v>1375.2635000000002</v>
      </c>
      <c r="Z393" s="17">
        <f t="shared" si="97"/>
        <v>2525.0635000000002</v>
      </c>
      <c r="AA393" s="17" t="str">
        <f t="shared" si="98"/>
        <v>Q3-2024</v>
      </c>
      <c r="AB393" s="12" t="str">
        <f t="shared" si="99"/>
        <v>Aug-2024</v>
      </c>
      <c r="AC393" s="12" t="str">
        <f t="shared" si="100"/>
        <v>Low</v>
      </c>
      <c r="AD393">
        <v>5</v>
      </c>
      <c r="AE393" s="12">
        <f>_xlfn.MINIFS(Table1[MonthDate], Table1[Country], Table1[[#This Row],[Country]])</f>
        <v>44927</v>
      </c>
      <c r="AF393" s="12">
        <f t="shared" si="101"/>
        <v>45505</v>
      </c>
      <c r="AG393">
        <f>AD393*(1 + Scenario_Control!$B$4)</f>
        <v>5.5</v>
      </c>
      <c r="AH393">
        <f>O393*(1 + Scenario_Control!$B$3)</f>
        <v>241.45800000000003</v>
      </c>
      <c r="AI393">
        <f t="shared" si="102"/>
        <v>555.51397000000009</v>
      </c>
      <c r="AJ393">
        <f t="shared" si="103"/>
        <v>-772.50503000000015</v>
      </c>
      <c r="AK393" s="29">
        <f>MIN(Q393*(1-U393), Scenario_Control!$B$2*Q393)</f>
        <v>112.852</v>
      </c>
      <c r="AL393" s="15">
        <f t="shared" si="104"/>
        <v>0</v>
      </c>
      <c r="AM393" s="8">
        <f>DATEDIF(Table1[[#This Row],[Country_FirstMonth]], Table1[[#This Row],[MonthDate]], "m")</f>
        <v>19</v>
      </c>
    </row>
    <row r="394" spans="1:39" x14ac:dyDescent="0.25">
      <c r="A394" t="s">
        <v>406</v>
      </c>
      <c r="B394" s="12">
        <v>45208</v>
      </c>
      <c r="C394" s="12">
        <f t="shared" si="90"/>
        <v>45225</v>
      </c>
      <c r="D394" s="2" t="str">
        <f>IF(Table1[[#This Row],[RequiredDate]]&lt;Table1[[#This Row],[OrderDate]],"Check","OK")</f>
        <v>OK</v>
      </c>
      <c r="E394" s="2">
        <v>45225</v>
      </c>
      <c r="F394" s="15">
        <f t="shared" si="91"/>
        <v>17</v>
      </c>
      <c r="G394" t="s">
        <v>647</v>
      </c>
      <c r="H394" t="s">
        <v>659</v>
      </c>
      <c r="I394" t="s">
        <v>685</v>
      </c>
      <c r="J394" t="s">
        <v>704</v>
      </c>
      <c r="K394" t="s">
        <v>709</v>
      </c>
      <c r="L394" t="s">
        <v>712</v>
      </c>
      <c r="M394" t="s">
        <v>727</v>
      </c>
      <c r="N394" t="s">
        <v>1125</v>
      </c>
      <c r="O394" s="29">
        <v>1132.03</v>
      </c>
      <c r="P394" t="str">
        <f>IF(Table1[[#This Row],[UnitPrice]]&lt;=0,"Check","OK")</f>
        <v>OK</v>
      </c>
      <c r="Q394" s="29">
        <f t="shared" si="92"/>
        <v>2137.21</v>
      </c>
      <c r="R394">
        <v>2137.21</v>
      </c>
      <c r="S394" s="5">
        <f>IF(Table1[[#This Row],[Discount_Flag]]="Check", MIN(MAX(Table1[[#This Row],[DiscountPct]],0),0.3), Table1[[#This Row],[DiscountPct]])</f>
        <v>0.3</v>
      </c>
      <c r="T394" t="str">
        <f>IF(OR(Table1[[#This Row],[DiscountPct]]&lt;0,Table1[[#This Row],[DiscountPct]]&gt;0.3),"Check","OK")</f>
        <v>Check</v>
      </c>
      <c r="U394" s="11">
        <v>0.35699999999999998</v>
      </c>
      <c r="V394" s="15">
        <f t="shared" si="93"/>
        <v>1</v>
      </c>
      <c r="W394" s="11">
        <f t="shared" si="94"/>
        <v>0.24331922727026639</v>
      </c>
      <c r="X394" s="17">
        <f t="shared" si="95"/>
        <v>39621.049999999996</v>
      </c>
      <c r="Y394" s="17">
        <f t="shared" si="96"/>
        <v>12740.595000000008</v>
      </c>
      <c r="Z394" s="17">
        <f t="shared" si="97"/>
        <v>52361.645000000004</v>
      </c>
      <c r="AA394" s="17" t="str">
        <f t="shared" si="98"/>
        <v>Q4-2023</v>
      </c>
      <c r="AB394" s="12" t="str">
        <f t="shared" si="99"/>
        <v>Oct-2023</v>
      </c>
      <c r="AC394" s="12" t="str">
        <f t="shared" si="100"/>
        <v>High</v>
      </c>
      <c r="AD394">
        <v>35</v>
      </c>
      <c r="AE394" s="12">
        <f>_xlfn.MINIFS(Table1[MonthDate], Table1[Country], Table1[[#This Row],[Country]])</f>
        <v>44927</v>
      </c>
      <c r="AF394" s="12">
        <f t="shared" si="101"/>
        <v>45200</v>
      </c>
      <c r="AG394">
        <f>AD394*(1 + Scenario_Control!$B$4)</f>
        <v>38.5</v>
      </c>
      <c r="AH394">
        <f>O394*(1 + Scenario_Control!$B$3)</f>
        <v>1188.6315</v>
      </c>
      <c r="AI394">
        <f t="shared" si="102"/>
        <v>10581.540430999999</v>
      </c>
      <c r="AJ394">
        <f t="shared" si="103"/>
        <v>-35180.772318999996</v>
      </c>
      <c r="AK394" s="29">
        <f>MIN(Q394*(1-U394), Scenario_Control!$B$2*Q394)</f>
        <v>427.44200000000001</v>
      </c>
      <c r="AL394" s="15">
        <f t="shared" si="104"/>
        <v>0</v>
      </c>
      <c r="AM394" s="8">
        <f>DATEDIF(Table1[[#This Row],[Country_FirstMonth]], Table1[[#This Row],[MonthDate]], "m")</f>
        <v>9</v>
      </c>
    </row>
    <row r="395" spans="1:39" x14ac:dyDescent="0.25">
      <c r="A395" t="s">
        <v>407</v>
      </c>
      <c r="B395" s="12">
        <v>45360</v>
      </c>
      <c r="C395" s="12">
        <f t="shared" si="90"/>
        <v>45377</v>
      </c>
      <c r="D395" s="2" t="str">
        <f>IF(Table1[[#This Row],[RequiredDate]]&lt;Table1[[#This Row],[OrderDate]],"Check","OK")</f>
        <v>OK</v>
      </c>
      <c r="E395" s="2">
        <v>45377</v>
      </c>
      <c r="F395" s="15">
        <f t="shared" si="91"/>
        <v>17</v>
      </c>
      <c r="G395" t="s">
        <v>648</v>
      </c>
      <c r="H395" t="s">
        <v>660</v>
      </c>
      <c r="I395" t="s">
        <v>686</v>
      </c>
      <c r="J395" t="s">
        <v>702</v>
      </c>
      <c r="K395" t="s">
        <v>711</v>
      </c>
      <c r="L395" t="s">
        <v>714</v>
      </c>
      <c r="M395" t="s">
        <v>730</v>
      </c>
      <c r="N395" t="s">
        <v>1126</v>
      </c>
      <c r="O395" s="29">
        <v>1137.4100000000001</v>
      </c>
      <c r="P395" t="str">
        <f>IF(Table1[[#This Row],[UnitPrice]]&lt;=0,"Check","OK")</f>
        <v>OK</v>
      </c>
      <c r="Q395" s="29">
        <f t="shared" si="92"/>
        <v>1680.93</v>
      </c>
      <c r="R395">
        <v>1680.93</v>
      </c>
      <c r="S395" s="5">
        <f>IF(Table1[[#This Row],[Discount_Flag]]="Check", MIN(MAX(Table1[[#This Row],[DiscountPct]],0),0.3), Table1[[#This Row],[DiscountPct]])</f>
        <v>0.254</v>
      </c>
      <c r="T395" t="str">
        <f>IF(OR(Table1[[#This Row],[DiscountPct]]&lt;0,Table1[[#This Row],[DiscountPct]]&gt;0.3),"Check","OK")</f>
        <v>OK</v>
      </c>
      <c r="U395" s="11">
        <v>0.254</v>
      </c>
      <c r="V395" s="15">
        <f t="shared" si="93"/>
        <v>1</v>
      </c>
      <c r="W395" s="11">
        <f t="shared" si="94"/>
        <v>9.2955516183121464E-2</v>
      </c>
      <c r="X395" s="17">
        <f t="shared" si="95"/>
        <v>10236.69</v>
      </c>
      <c r="Y395" s="17">
        <f t="shared" si="96"/>
        <v>1049.07402</v>
      </c>
      <c r="Z395" s="17">
        <f t="shared" si="97"/>
        <v>11285.764020000001</v>
      </c>
      <c r="AA395" s="17" t="str">
        <f t="shared" si="98"/>
        <v>Q1-2024</v>
      </c>
      <c r="AB395" s="12" t="str">
        <f t="shared" si="99"/>
        <v>Mar-2024</v>
      </c>
      <c r="AC395" s="12" t="str">
        <f t="shared" si="100"/>
        <v>Medium</v>
      </c>
      <c r="AD395">
        <v>9</v>
      </c>
      <c r="AE395" s="12">
        <f>_xlfn.MINIFS(Table1[MonthDate], Table1[Country], Table1[[#This Row],[Country]])</f>
        <v>44927</v>
      </c>
      <c r="AF395" s="12">
        <f t="shared" si="101"/>
        <v>45352</v>
      </c>
      <c r="AG395">
        <f>AD395*(1 + Scenario_Control!$B$4)</f>
        <v>9.9</v>
      </c>
      <c r="AH395">
        <f>O395*(1 + Scenario_Control!$B$3)</f>
        <v>1194.2805000000001</v>
      </c>
      <c r="AI395">
        <f t="shared" si="102"/>
        <v>2482.8680844</v>
      </c>
      <c r="AJ395">
        <f t="shared" si="103"/>
        <v>-9340.5088656000007</v>
      </c>
      <c r="AK395" s="29">
        <f>MIN(Q395*(1-U395), Scenario_Control!$B$2*Q395)</f>
        <v>336.18600000000004</v>
      </c>
      <c r="AL395" s="15">
        <f t="shared" si="104"/>
        <v>0</v>
      </c>
      <c r="AM395" s="8">
        <f>DATEDIF(Table1[[#This Row],[Country_FirstMonth]], Table1[[#This Row],[MonthDate]], "m")</f>
        <v>14</v>
      </c>
    </row>
    <row r="396" spans="1:39" x14ac:dyDescent="0.25">
      <c r="A396" t="s">
        <v>408</v>
      </c>
      <c r="B396" s="12">
        <v>45075</v>
      </c>
      <c r="C396" s="12">
        <f t="shared" si="90"/>
        <v>45097</v>
      </c>
      <c r="D396" s="2" t="str">
        <f>IF(Table1[[#This Row],[RequiredDate]]&lt;Table1[[#This Row],[OrderDate]],"Check","OK")</f>
        <v>OK</v>
      </c>
      <c r="E396" s="2">
        <v>45097</v>
      </c>
      <c r="F396" s="15">
        <f t="shared" si="91"/>
        <v>22</v>
      </c>
      <c r="G396" t="s">
        <v>649</v>
      </c>
      <c r="H396" t="s">
        <v>658</v>
      </c>
      <c r="I396" t="s">
        <v>683</v>
      </c>
      <c r="J396" t="s">
        <v>705</v>
      </c>
      <c r="K396" t="s">
        <v>711</v>
      </c>
      <c r="L396" t="s">
        <v>723</v>
      </c>
      <c r="M396" t="s">
        <v>727</v>
      </c>
      <c r="N396" t="s">
        <v>1127</v>
      </c>
      <c r="O396" s="29">
        <v>1295.3900000000001</v>
      </c>
      <c r="P396" t="str">
        <f>IF(Table1[[#This Row],[UnitPrice]]&lt;=0,"Check","OK")</f>
        <v>OK</v>
      </c>
      <c r="Q396" s="29">
        <f t="shared" si="92"/>
        <v>2905.06</v>
      </c>
      <c r="R396">
        <v>2905.06</v>
      </c>
      <c r="S396" s="5">
        <f>IF(Table1[[#This Row],[Discount_Flag]]="Check", MIN(MAX(Table1[[#This Row],[DiscountPct]],0),0.3), Table1[[#This Row],[DiscountPct]])</f>
        <v>0.14799999999999999</v>
      </c>
      <c r="T396" t="str">
        <f>IF(OR(Table1[[#This Row],[DiscountPct]]&lt;0,Table1[[#This Row],[DiscountPct]]&gt;0.3),"Check","OK")</f>
        <v>OK</v>
      </c>
      <c r="U396" s="11">
        <v>0.14799999999999999</v>
      </c>
      <c r="V396" s="15">
        <f t="shared" si="93"/>
        <v>0</v>
      </c>
      <c r="W396" s="11">
        <f t="shared" si="94"/>
        <v>0.47663359857556614</v>
      </c>
      <c r="X396" s="17">
        <f t="shared" si="95"/>
        <v>10363.120000000001</v>
      </c>
      <c r="Y396" s="17">
        <f t="shared" si="96"/>
        <v>9437.7689599999994</v>
      </c>
      <c r="Z396" s="17">
        <f t="shared" si="97"/>
        <v>19800.88896</v>
      </c>
      <c r="AA396" s="17" t="str">
        <f t="shared" si="98"/>
        <v>Q2-2023</v>
      </c>
      <c r="AB396" s="12" t="str">
        <f t="shared" si="99"/>
        <v>May-2023</v>
      </c>
      <c r="AC396" s="12" t="str">
        <f t="shared" si="100"/>
        <v>High</v>
      </c>
      <c r="AD396">
        <v>8</v>
      </c>
      <c r="AE396" s="12">
        <f>_xlfn.MINIFS(Table1[MonthDate], Table1[Country], Table1[[#This Row],[Country]])</f>
        <v>44927</v>
      </c>
      <c r="AF396" s="12">
        <f t="shared" si="101"/>
        <v>45047</v>
      </c>
      <c r="AG396">
        <f>AD396*(1 + Scenario_Control!$B$4)</f>
        <v>8.8000000000000007</v>
      </c>
      <c r="AH396">
        <f>O396*(1 + Scenario_Control!$B$3)</f>
        <v>1360.1595000000002</v>
      </c>
      <c r="AI396">
        <f t="shared" si="102"/>
        <v>4356.1955712000008</v>
      </c>
      <c r="AJ396">
        <f t="shared" si="103"/>
        <v>-7613.2080288000025</v>
      </c>
      <c r="AK396" s="29">
        <f>MIN(Q396*(1-U396), Scenario_Control!$B$2*Q396)</f>
        <v>581.01200000000006</v>
      </c>
      <c r="AL396" s="15">
        <f t="shared" si="104"/>
        <v>0</v>
      </c>
      <c r="AM396" s="8">
        <f>DATEDIF(Table1[[#This Row],[Country_FirstMonth]], Table1[[#This Row],[MonthDate]], "m")</f>
        <v>4</v>
      </c>
    </row>
    <row r="397" spans="1:39" x14ac:dyDescent="0.25">
      <c r="A397" t="s">
        <v>409</v>
      </c>
      <c r="B397" s="12">
        <v>45804</v>
      </c>
      <c r="C397" s="12">
        <f t="shared" si="90"/>
        <v>45816</v>
      </c>
      <c r="D397" s="2" t="str">
        <f>IF(Table1[[#This Row],[RequiredDate]]&lt;Table1[[#This Row],[OrderDate]],"Check","OK")</f>
        <v>OK</v>
      </c>
      <c r="E397" s="2">
        <v>45816</v>
      </c>
      <c r="F397" s="15">
        <f t="shared" si="91"/>
        <v>12</v>
      </c>
      <c r="G397" t="s">
        <v>647</v>
      </c>
      <c r="H397" t="s">
        <v>652</v>
      </c>
      <c r="I397" t="s">
        <v>666</v>
      </c>
      <c r="J397" t="s">
        <v>701</v>
      </c>
      <c r="K397" t="s">
        <v>707</v>
      </c>
      <c r="L397" t="s">
        <v>722</v>
      </c>
      <c r="M397" t="s">
        <v>733</v>
      </c>
      <c r="N397" t="s">
        <v>1128</v>
      </c>
      <c r="O397" s="29">
        <v>653.6</v>
      </c>
      <c r="P397" t="str">
        <f>IF(Table1[[#This Row],[UnitPrice]]&lt;=0,"Check","OK")</f>
        <v>OK</v>
      </c>
      <c r="Q397" s="29">
        <f t="shared" si="92"/>
        <v>842.09</v>
      </c>
      <c r="R397">
        <v>842.09</v>
      </c>
      <c r="S397" s="5">
        <f>IF(Table1[[#This Row],[Discount_Flag]]="Check", MIN(MAX(Table1[[#This Row],[DiscountPct]],0),0.3), Table1[[#This Row],[DiscountPct]])</f>
        <v>9.8000000000000004E-2</v>
      </c>
      <c r="T397" t="str">
        <f>IF(OR(Table1[[#This Row],[DiscountPct]]&lt;0,Table1[[#This Row],[DiscountPct]]&gt;0.3),"Check","OK")</f>
        <v>OK</v>
      </c>
      <c r="U397" s="11">
        <v>9.8000000000000004E-2</v>
      </c>
      <c r="V397" s="15">
        <f t="shared" si="93"/>
        <v>0</v>
      </c>
      <c r="W397" s="11">
        <f t="shared" si="94"/>
        <v>0.13950768517324622</v>
      </c>
      <c r="X397" s="17">
        <f t="shared" si="95"/>
        <v>12418.4</v>
      </c>
      <c r="Y397" s="17">
        <f t="shared" si="96"/>
        <v>2013.3384200000019</v>
      </c>
      <c r="Z397" s="17">
        <f t="shared" si="97"/>
        <v>14431.738420000001</v>
      </c>
      <c r="AA397" s="17" t="str">
        <f t="shared" si="98"/>
        <v>Q2-2025</v>
      </c>
      <c r="AB397" s="12" t="str">
        <f t="shared" si="99"/>
        <v>May-2025</v>
      </c>
      <c r="AC397" s="12" t="str">
        <f t="shared" si="100"/>
        <v>Medium</v>
      </c>
      <c r="AD397">
        <v>19</v>
      </c>
      <c r="AE397" s="12">
        <f>_xlfn.MINIFS(Table1[MonthDate], Table1[Country], Table1[[#This Row],[Country]])</f>
        <v>44986</v>
      </c>
      <c r="AF397" s="12">
        <f t="shared" si="101"/>
        <v>45778</v>
      </c>
      <c r="AG397">
        <f>AD397*(1 + Scenario_Control!$B$4)</f>
        <v>20.900000000000002</v>
      </c>
      <c r="AH397">
        <f>O397*(1 + Scenario_Control!$B$3)</f>
        <v>686.28000000000009</v>
      </c>
      <c r="AI397">
        <f t="shared" si="102"/>
        <v>3174.9824524000005</v>
      </c>
      <c r="AJ397">
        <f t="shared" si="103"/>
        <v>-11168.269547600004</v>
      </c>
      <c r="AK397" s="29">
        <f>MIN(Q397*(1-U397), Scenario_Control!$B$2*Q397)</f>
        <v>168.41800000000001</v>
      </c>
      <c r="AL397" s="15">
        <f t="shared" si="104"/>
        <v>0</v>
      </c>
      <c r="AM397" s="8">
        <f>DATEDIF(Table1[[#This Row],[Country_FirstMonth]], Table1[[#This Row],[MonthDate]], "m")</f>
        <v>26</v>
      </c>
    </row>
    <row r="398" spans="1:39" x14ac:dyDescent="0.25">
      <c r="A398" t="s">
        <v>410</v>
      </c>
      <c r="B398" s="12">
        <v>45890</v>
      </c>
      <c r="C398" s="12">
        <f t="shared" si="90"/>
        <v>45914</v>
      </c>
      <c r="D398" s="2" t="str">
        <f>IF(Table1[[#This Row],[RequiredDate]]&lt;Table1[[#This Row],[OrderDate]],"Check","OK")</f>
        <v>OK</v>
      </c>
      <c r="E398" s="2">
        <v>45914</v>
      </c>
      <c r="F398" s="15">
        <f t="shared" si="91"/>
        <v>24</v>
      </c>
      <c r="G398" t="s">
        <v>649</v>
      </c>
      <c r="H398" t="s">
        <v>656</v>
      </c>
      <c r="I398" t="s">
        <v>671</v>
      </c>
      <c r="J398" t="s">
        <v>703</v>
      </c>
      <c r="K398" t="s">
        <v>708</v>
      </c>
      <c r="L398" t="s">
        <v>720</v>
      </c>
      <c r="M398" t="s">
        <v>732</v>
      </c>
      <c r="N398" t="s">
        <v>1129</v>
      </c>
      <c r="O398" s="29">
        <v>1397.67</v>
      </c>
      <c r="P398" t="str">
        <f>IF(Table1[[#This Row],[UnitPrice]]&lt;=0,"Check","OK")</f>
        <v>OK</v>
      </c>
      <c r="Q398" s="29">
        <f t="shared" si="92"/>
        <v>3131.37</v>
      </c>
      <c r="R398">
        <v>3131.37</v>
      </c>
      <c r="S398" s="5">
        <f>IF(Table1[[#This Row],[Discount_Flag]]="Check", MIN(MAX(Table1[[#This Row],[DiscountPct]],0),0.3), Table1[[#This Row],[DiscountPct]])</f>
        <v>0.10299999999999999</v>
      </c>
      <c r="T398" t="str">
        <f>IF(OR(Table1[[#This Row],[DiscountPct]]&lt;0,Table1[[#This Row],[DiscountPct]]&gt;0.3),"Check","OK")</f>
        <v>OK</v>
      </c>
      <c r="U398" s="11">
        <v>0.10299999999999999</v>
      </c>
      <c r="V398" s="15">
        <f t="shared" si="93"/>
        <v>0</v>
      </c>
      <c r="W398" s="11">
        <f t="shared" si="94"/>
        <v>0.50240293062874808</v>
      </c>
      <c r="X398" s="17">
        <f t="shared" si="95"/>
        <v>27953.4</v>
      </c>
      <c r="Y398" s="17">
        <f t="shared" si="96"/>
        <v>28223.377799999995</v>
      </c>
      <c r="Z398" s="17">
        <f t="shared" si="97"/>
        <v>56176.777799999996</v>
      </c>
      <c r="AA398" s="17" t="str">
        <f t="shared" si="98"/>
        <v>Q3-2025</v>
      </c>
      <c r="AB398" s="12" t="str">
        <f t="shared" si="99"/>
        <v>Aug-2025</v>
      </c>
      <c r="AC398" s="12" t="str">
        <f t="shared" si="100"/>
        <v>High</v>
      </c>
      <c r="AD398">
        <v>20</v>
      </c>
      <c r="AE398" s="12">
        <f>_xlfn.MINIFS(Table1[MonthDate], Table1[Country], Table1[[#This Row],[Country]])</f>
        <v>44927</v>
      </c>
      <c r="AF398" s="12">
        <f t="shared" si="101"/>
        <v>45870</v>
      </c>
      <c r="AG398">
        <f>AD398*(1 + Scenario_Control!$B$4)</f>
        <v>22</v>
      </c>
      <c r="AH398">
        <f>O398*(1 + Scenario_Control!$B$3)</f>
        <v>1467.5535000000002</v>
      </c>
      <c r="AI398">
        <f t="shared" si="102"/>
        <v>12358.891116000001</v>
      </c>
      <c r="AJ398">
        <f t="shared" si="103"/>
        <v>-19927.285884000004</v>
      </c>
      <c r="AK398" s="29">
        <f>MIN(Q398*(1-U398), Scenario_Control!$B$2*Q398)</f>
        <v>626.274</v>
      </c>
      <c r="AL398" s="15">
        <f t="shared" si="104"/>
        <v>0</v>
      </c>
      <c r="AM398" s="8">
        <f>DATEDIF(Table1[[#This Row],[Country_FirstMonth]], Table1[[#This Row],[MonthDate]], "m")</f>
        <v>31</v>
      </c>
    </row>
    <row r="399" spans="1:39" x14ac:dyDescent="0.25">
      <c r="A399" t="s">
        <v>411</v>
      </c>
      <c r="B399" s="12">
        <v>45638</v>
      </c>
      <c r="C399" s="12">
        <f t="shared" si="90"/>
        <v>45646</v>
      </c>
      <c r="D399" s="2" t="str">
        <f>IF(Table1[[#This Row],[RequiredDate]]&lt;Table1[[#This Row],[OrderDate]],"Check","OK")</f>
        <v>OK</v>
      </c>
      <c r="E399" s="2">
        <v>45646</v>
      </c>
      <c r="F399" s="15">
        <f t="shared" si="91"/>
        <v>8</v>
      </c>
      <c r="G399" t="s">
        <v>647</v>
      </c>
      <c r="H399" t="s">
        <v>652</v>
      </c>
      <c r="I399" t="s">
        <v>689</v>
      </c>
      <c r="J399" t="s">
        <v>701</v>
      </c>
      <c r="K399" t="s">
        <v>707</v>
      </c>
      <c r="L399" t="s">
        <v>717</v>
      </c>
      <c r="M399" t="s">
        <v>731</v>
      </c>
      <c r="N399" t="s">
        <v>1130</v>
      </c>
      <c r="O399" s="29">
        <v>1202.47</v>
      </c>
      <c r="P399" t="str">
        <f>IF(Table1[[#This Row],[UnitPrice]]&lt;=0,"Check","OK")</f>
        <v>OK</v>
      </c>
      <c r="Q399" s="29">
        <f t="shared" si="92"/>
        <v>1444.72</v>
      </c>
      <c r="R399">
        <v>1444.72</v>
      </c>
      <c r="S399" s="5">
        <f>IF(Table1[[#This Row],[Discount_Flag]]="Check", MIN(MAX(Table1[[#This Row],[DiscountPct]],0),0.3), Table1[[#This Row],[DiscountPct]])</f>
        <v>0.24099999999999999</v>
      </c>
      <c r="T399" t="str">
        <f>IF(OR(Table1[[#This Row],[DiscountPct]]&lt;0,Table1[[#This Row],[DiscountPct]]&gt;0.3),"Check","OK")</f>
        <v>OK</v>
      </c>
      <c r="U399" s="11">
        <v>0.24099999999999999</v>
      </c>
      <c r="V399" s="15">
        <f t="shared" si="93"/>
        <v>1</v>
      </c>
      <c r="W399" s="11">
        <f t="shared" si="94"/>
        <v>-9.6601382921343834E-2</v>
      </c>
      <c r="X399" s="17">
        <f t="shared" si="95"/>
        <v>20441.990000000002</v>
      </c>
      <c r="Y399" s="17">
        <f t="shared" si="96"/>
        <v>-1800.7678400000004</v>
      </c>
      <c r="Z399" s="17">
        <f t="shared" si="97"/>
        <v>18641.222160000001</v>
      </c>
      <c r="AA399" s="17" t="str">
        <f t="shared" si="98"/>
        <v>Q4-2024</v>
      </c>
      <c r="AB399" s="12" t="str">
        <f t="shared" si="99"/>
        <v>Dec-2024</v>
      </c>
      <c r="AC399" s="12" t="str">
        <f t="shared" si="100"/>
        <v>Medium</v>
      </c>
      <c r="AD399">
        <v>17</v>
      </c>
      <c r="AE399" s="12">
        <f>_xlfn.MINIFS(Table1[MonthDate], Table1[Country], Table1[[#This Row],[Country]])</f>
        <v>44986</v>
      </c>
      <c r="AF399" s="12">
        <f t="shared" si="101"/>
        <v>45627</v>
      </c>
      <c r="AG399">
        <f>AD399*(1 + Scenario_Control!$B$4)</f>
        <v>18.700000000000003</v>
      </c>
      <c r="AH399">
        <f>O399*(1 + Scenario_Control!$B$3)</f>
        <v>1262.5935000000002</v>
      </c>
      <c r="AI399">
        <f t="shared" si="102"/>
        <v>4101.0688752000005</v>
      </c>
      <c r="AJ399">
        <f t="shared" si="103"/>
        <v>-19509.429574800008</v>
      </c>
      <c r="AK399" s="29">
        <f>MIN(Q399*(1-U399), Scenario_Control!$B$2*Q399)</f>
        <v>288.94400000000002</v>
      </c>
      <c r="AL399" s="15">
        <f t="shared" si="104"/>
        <v>0</v>
      </c>
      <c r="AM399" s="8">
        <f>DATEDIF(Table1[[#This Row],[Country_FirstMonth]], Table1[[#This Row],[MonthDate]], "m")</f>
        <v>21</v>
      </c>
    </row>
    <row r="400" spans="1:39" x14ac:dyDescent="0.25">
      <c r="A400" t="s">
        <v>412</v>
      </c>
      <c r="B400" s="12">
        <v>45914</v>
      </c>
      <c r="C400" s="12">
        <f t="shared" si="90"/>
        <v>45923</v>
      </c>
      <c r="D400" s="2" t="str">
        <f>IF(Table1[[#This Row],[RequiredDate]]&lt;Table1[[#This Row],[OrderDate]],"Check","OK")</f>
        <v>OK</v>
      </c>
      <c r="E400" s="2">
        <v>45923</v>
      </c>
      <c r="F400" s="15">
        <f t="shared" si="91"/>
        <v>9</v>
      </c>
      <c r="G400" t="s">
        <v>646</v>
      </c>
      <c r="H400" t="s">
        <v>661</v>
      </c>
      <c r="I400" t="s">
        <v>687</v>
      </c>
      <c r="J400" t="s">
        <v>703</v>
      </c>
      <c r="K400" t="s">
        <v>708</v>
      </c>
      <c r="L400" t="s">
        <v>726</v>
      </c>
      <c r="M400" t="s">
        <v>727</v>
      </c>
      <c r="N400" t="s">
        <v>1131</v>
      </c>
      <c r="O400" s="29">
        <v>1310.3</v>
      </c>
      <c r="P400" t="str">
        <f>IF(Table1[[#This Row],[UnitPrice]]&lt;=0,"Check","OK")</f>
        <v>OK</v>
      </c>
      <c r="Q400" s="29">
        <f t="shared" si="92"/>
        <v>2875.8</v>
      </c>
      <c r="R400">
        <v>2875.8</v>
      </c>
      <c r="S400" s="5">
        <f>IF(Table1[[#This Row],[Discount_Flag]]="Check", MIN(MAX(Table1[[#This Row],[DiscountPct]],0),0.3), Table1[[#This Row],[DiscountPct]])</f>
        <v>8.3000000000000004E-2</v>
      </c>
      <c r="T400" t="str">
        <f>IF(OR(Table1[[#This Row],[DiscountPct]]&lt;0,Table1[[#This Row],[DiscountPct]]&gt;0.3),"Check","OK")</f>
        <v>OK</v>
      </c>
      <c r="U400" s="11">
        <v>8.3000000000000004E-2</v>
      </c>
      <c r="V400" s="15">
        <f t="shared" si="93"/>
        <v>0</v>
      </c>
      <c r="W400" s="11">
        <f t="shared" si="94"/>
        <v>0.50313005691157353</v>
      </c>
      <c r="X400" s="17">
        <f t="shared" si="95"/>
        <v>6551.5</v>
      </c>
      <c r="Y400" s="17">
        <f t="shared" si="96"/>
        <v>6634.0429999999997</v>
      </c>
      <c r="Z400" s="17">
        <f t="shared" si="97"/>
        <v>13185.543</v>
      </c>
      <c r="AA400" s="17" t="str">
        <f t="shared" si="98"/>
        <v>Q3-2025</v>
      </c>
      <c r="AB400" s="12" t="str">
        <f t="shared" si="99"/>
        <v>Sept-2025</v>
      </c>
      <c r="AC400" s="12" t="str">
        <f t="shared" si="100"/>
        <v>High</v>
      </c>
      <c r="AD400">
        <v>5</v>
      </c>
      <c r="AE400" s="12">
        <f>_xlfn.MINIFS(Table1[MonthDate], Table1[Country], Table1[[#This Row],[Country]])</f>
        <v>44927</v>
      </c>
      <c r="AF400" s="12">
        <f t="shared" si="101"/>
        <v>45901</v>
      </c>
      <c r="AG400">
        <f>AD400*(1 + Scenario_Control!$B$4)</f>
        <v>5.5</v>
      </c>
      <c r="AH400">
        <f>O400*(1 + Scenario_Control!$B$3)</f>
        <v>1375.8150000000001</v>
      </c>
      <c r="AI400">
        <f t="shared" si="102"/>
        <v>2900.8194600000006</v>
      </c>
      <c r="AJ400">
        <f t="shared" si="103"/>
        <v>-4666.1630399999995</v>
      </c>
      <c r="AK400" s="29">
        <f>MIN(Q400*(1-U400), Scenario_Control!$B$2*Q400)</f>
        <v>575.16000000000008</v>
      </c>
      <c r="AL400" s="15">
        <f t="shared" si="104"/>
        <v>0</v>
      </c>
      <c r="AM400" s="8">
        <f>DATEDIF(Table1[[#This Row],[Country_FirstMonth]], Table1[[#This Row],[MonthDate]], "m")</f>
        <v>32</v>
      </c>
    </row>
    <row r="401" spans="1:39" x14ac:dyDescent="0.25">
      <c r="A401" t="s">
        <v>413</v>
      </c>
      <c r="B401" s="12">
        <v>45541</v>
      </c>
      <c r="C401" s="12">
        <f t="shared" si="90"/>
        <v>45569</v>
      </c>
      <c r="D401" s="2" t="str">
        <f>IF(Table1[[#This Row],[RequiredDate]]&lt;Table1[[#This Row],[OrderDate]],"Check","OK")</f>
        <v>OK</v>
      </c>
      <c r="E401" s="2">
        <v>45569</v>
      </c>
      <c r="F401" s="15">
        <f t="shared" si="91"/>
        <v>28</v>
      </c>
      <c r="G401" t="s">
        <v>646</v>
      </c>
      <c r="H401" t="s">
        <v>661</v>
      </c>
      <c r="I401" t="s">
        <v>695</v>
      </c>
      <c r="J401" t="s">
        <v>701</v>
      </c>
      <c r="K401" t="s">
        <v>709</v>
      </c>
      <c r="L401" t="s">
        <v>726</v>
      </c>
      <c r="M401" t="s">
        <v>732</v>
      </c>
      <c r="N401" t="s">
        <v>1132</v>
      </c>
      <c r="O401" s="29">
        <v>1174.17</v>
      </c>
      <c r="P401" t="str">
        <f>IF(Table1[[#This Row],[UnitPrice]]&lt;=0,"Check","OK")</f>
        <v>OK</v>
      </c>
      <c r="Q401" s="29">
        <f t="shared" si="92"/>
        <v>1641.61</v>
      </c>
      <c r="R401">
        <v>1641.61</v>
      </c>
      <c r="S401" s="5">
        <f>IF(Table1[[#This Row],[Discount_Flag]]="Check", MIN(MAX(Table1[[#This Row],[DiscountPct]],0),0.3), Table1[[#This Row],[DiscountPct]])</f>
        <v>0.122</v>
      </c>
      <c r="T401" t="str">
        <f>IF(OR(Table1[[#This Row],[DiscountPct]]&lt;0,Table1[[#This Row],[DiscountPct]]&gt;0.3),"Check","OK")</f>
        <v>OK</v>
      </c>
      <c r="U401" s="11">
        <v>0.122</v>
      </c>
      <c r="V401" s="15">
        <f t="shared" si="93"/>
        <v>0</v>
      </c>
      <c r="W401" s="11">
        <f t="shared" si="94"/>
        <v>0.18535860380079394</v>
      </c>
      <c r="X401" s="17">
        <f t="shared" si="95"/>
        <v>10567.53</v>
      </c>
      <c r="Y401" s="17">
        <f t="shared" si="96"/>
        <v>2404.4722199999997</v>
      </c>
      <c r="Z401" s="17">
        <f t="shared" si="97"/>
        <v>12972.00222</v>
      </c>
      <c r="AA401" s="17" t="str">
        <f t="shared" si="98"/>
        <v>Q3-2024</v>
      </c>
      <c r="AB401" s="12" t="str">
        <f t="shared" si="99"/>
        <v>Sept-2024</v>
      </c>
      <c r="AC401" s="12" t="str">
        <f t="shared" si="100"/>
        <v>Medium</v>
      </c>
      <c r="AD401">
        <v>9</v>
      </c>
      <c r="AE401" s="12">
        <f>_xlfn.MINIFS(Table1[MonthDate], Table1[Country], Table1[[#This Row],[Country]])</f>
        <v>44927</v>
      </c>
      <c r="AF401" s="12">
        <f t="shared" si="101"/>
        <v>45536</v>
      </c>
      <c r="AG401">
        <f>AD401*(1 + Scenario_Control!$B$4)</f>
        <v>9.9</v>
      </c>
      <c r="AH401">
        <f>O401*(1 + Scenario_Control!$B$3)</f>
        <v>1232.8785</v>
      </c>
      <c r="AI401">
        <f t="shared" si="102"/>
        <v>2853.8404884000001</v>
      </c>
      <c r="AJ401">
        <f t="shared" si="103"/>
        <v>-9351.6566616000018</v>
      </c>
      <c r="AK401" s="29">
        <f>MIN(Q401*(1-U401), Scenario_Control!$B$2*Q401)</f>
        <v>328.322</v>
      </c>
      <c r="AL401" s="15">
        <f t="shared" si="104"/>
        <v>0</v>
      </c>
      <c r="AM401" s="8">
        <f>DATEDIF(Table1[[#This Row],[Country_FirstMonth]], Table1[[#This Row],[MonthDate]], "m")</f>
        <v>20</v>
      </c>
    </row>
    <row r="402" spans="1:39" x14ac:dyDescent="0.25">
      <c r="A402" t="s">
        <v>414</v>
      </c>
      <c r="B402" s="12">
        <v>45759</v>
      </c>
      <c r="C402" s="12">
        <f t="shared" si="90"/>
        <v>45777</v>
      </c>
      <c r="D402" s="2" t="str">
        <f>IF(Table1[[#This Row],[RequiredDate]]&lt;Table1[[#This Row],[OrderDate]],"Check","OK")</f>
        <v>OK</v>
      </c>
      <c r="E402" s="2">
        <v>45777</v>
      </c>
      <c r="F402" s="15">
        <f t="shared" si="91"/>
        <v>18</v>
      </c>
      <c r="G402" t="s">
        <v>646</v>
      </c>
      <c r="H402" t="s">
        <v>650</v>
      </c>
      <c r="I402" t="s">
        <v>662</v>
      </c>
      <c r="J402" t="s">
        <v>701</v>
      </c>
      <c r="K402" t="s">
        <v>709</v>
      </c>
      <c r="L402" t="s">
        <v>721</v>
      </c>
      <c r="M402" t="s">
        <v>729</v>
      </c>
      <c r="N402" t="s">
        <v>1133</v>
      </c>
      <c r="O402" s="29">
        <v>1119.04</v>
      </c>
      <c r="P402" t="str">
        <f>IF(Table1[[#This Row],[UnitPrice]]&lt;=0,"Check","OK")</f>
        <v>OK</v>
      </c>
      <c r="Q402" s="29">
        <f t="shared" si="92"/>
        <v>1299.02</v>
      </c>
      <c r="R402">
        <v>1299.02</v>
      </c>
      <c r="S402" s="5">
        <f>IF(Table1[[#This Row],[Discount_Flag]]="Check", MIN(MAX(Table1[[#This Row],[DiscountPct]],0),0.3), Table1[[#This Row],[DiscountPct]])</f>
        <v>2.5000000000000001E-2</v>
      </c>
      <c r="T402" t="str">
        <f>IF(OR(Table1[[#This Row],[DiscountPct]]&lt;0,Table1[[#This Row],[DiscountPct]]&gt;0.3),"Check","OK")</f>
        <v>OK</v>
      </c>
      <c r="U402" s="11">
        <v>2.5000000000000001E-2</v>
      </c>
      <c r="V402" s="15">
        <f t="shared" si="93"/>
        <v>0</v>
      </c>
      <c r="W402" s="11">
        <f t="shared" si="94"/>
        <v>0.11646215352085933</v>
      </c>
      <c r="X402" s="17">
        <f t="shared" si="95"/>
        <v>15666.56</v>
      </c>
      <c r="Y402" s="17">
        <f t="shared" si="96"/>
        <v>2065.0630000000001</v>
      </c>
      <c r="Z402" s="17">
        <f t="shared" si="97"/>
        <v>17731.623</v>
      </c>
      <c r="AA402" s="17" t="str">
        <f t="shared" si="98"/>
        <v>Q2-2025</v>
      </c>
      <c r="AB402" s="12" t="str">
        <f t="shared" si="99"/>
        <v>Apr-2025</v>
      </c>
      <c r="AC402" s="12" t="str">
        <f t="shared" si="100"/>
        <v>Medium</v>
      </c>
      <c r="AD402">
        <v>14</v>
      </c>
      <c r="AE402" s="12">
        <f>_xlfn.MINIFS(Table1[MonthDate], Table1[Country], Table1[[#This Row],[Country]])</f>
        <v>44927</v>
      </c>
      <c r="AF402" s="12">
        <f t="shared" si="101"/>
        <v>45748</v>
      </c>
      <c r="AG402">
        <f>AD402*(1 + Scenario_Control!$B$4)</f>
        <v>15.400000000000002</v>
      </c>
      <c r="AH402">
        <f>O402*(1 + Scenario_Control!$B$3)</f>
        <v>1174.992</v>
      </c>
      <c r="AI402">
        <f t="shared" si="102"/>
        <v>3900.9570600000011</v>
      </c>
      <c r="AJ402">
        <f t="shared" si="103"/>
        <v>-14193.919740000001</v>
      </c>
      <c r="AK402" s="29">
        <f>MIN(Q402*(1-U402), Scenario_Control!$B$2*Q402)</f>
        <v>259.80400000000003</v>
      </c>
      <c r="AL402" s="15">
        <f t="shared" si="104"/>
        <v>0</v>
      </c>
      <c r="AM402" s="8">
        <f>DATEDIF(Table1[[#This Row],[Country_FirstMonth]], Table1[[#This Row],[MonthDate]], "m")</f>
        <v>27</v>
      </c>
    </row>
    <row r="403" spans="1:39" x14ac:dyDescent="0.25">
      <c r="A403" t="s">
        <v>415</v>
      </c>
      <c r="B403" s="12">
        <v>45516</v>
      </c>
      <c r="C403" s="12">
        <f t="shared" si="90"/>
        <v>45519</v>
      </c>
      <c r="D403" s="2" t="str">
        <f>IF(Table1[[#This Row],[RequiredDate]]&lt;Table1[[#This Row],[OrderDate]],"Check","OK")</f>
        <v>OK</v>
      </c>
      <c r="E403" s="2">
        <v>45519</v>
      </c>
      <c r="F403" s="15">
        <f t="shared" si="91"/>
        <v>3</v>
      </c>
      <c r="G403" t="s">
        <v>648</v>
      </c>
      <c r="H403" t="s">
        <v>660</v>
      </c>
      <c r="I403" t="s">
        <v>677</v>
      </c>
      <c r="J403" t="s">
        <v>701</v>
      </c>
      <c r="K403" t="s">
        <v>709</v>
      </c>
      <c r="L403" t="s">
        <v>726</v>
      </c>
      <c r="M403" t="s">
        <v>728</v>
      </c>
      <c r="N403" t="s">
        <v>1134</v>
      </c>
      <c r="O403" s="29">
        <v>850.7</v>
      </c>
      <c r="P403" t="str">
        <f>IF(Table1[[#This Row],[UnitPrice]]&lt;=0,"Check","OK")</f>
        <v>OK</v>
      </c>
      <c r="Q403" s="29">
        <f t="shared" si="92"/>
        <v>1118.56</v>
      </c>
      <c r="R403">
        <v>1118.56</v>
      </c>
      <c r="S403" s="5">
        <f>IF(Table1[[#This Row],[Discount_Flag]]="Check", MIN(MAX(Table1[[#This Row],[DiscountPct]],0),0.3), Table1[[#This Row],[DiscountPct]])</f>
        <v>0.18</v>
      </c>
      <c r="T403" t="str">
        <f>IF(OR(Table1[[#This Row],[DiscountPct]]&lt;0,Table1[[#This Row],[DiscountPct]]&gt;0.3),"Check","OK")</f>
        <v>OK</v>
      </c>
      <c r="U403" s="11">
        <v>0.18</v>
      </c>
      <c r="V403" s="15">
        <f t="shared" si="93"/>
        <v>0</v>
      </c>
      <c r="W403" s="11">
        <f t="shared" si="94"/>
        <v>7.2522685962090688E-2</v>
      </c>
      <c r="X403" s="17">
        <f t="shared" si="95"/>
        <v>16163.300000000001</v>
      </c>
      <c r="Y403" s="17">
        <f t="shared" si="96"/>
        <v>1263.8648000000012</v>
      </c>
      <c r="Z403" s="17">
        <f t="shared" si="97"/>
        <v>17427.164800000002</v>
      </c>
      <c r="AA403" s="17" t="str">
        <f t="shared" si="98"/>
        <v>Q3-2024</v>
      </c>
      <c r="AB403" s="12" t="str">
        <f t="shared" si="99"/>
        <v>Aug-2024</v>
      </c>
      <c r="AC403" s="12" t="str">
        <f t="shared" si="100"/>
        <v>Medium</v>
      </c>
      <c r="AD403">
        <v>19</v>
      </c>
      <c r="AE403" s="12">
        <f>_xlfn.MINIFS(Table1[MonthDate], Table1[Country], Table1[[#This Row],[Country]])</f>
        <v>44927</v>
      </c>
      <c r="AF403" s="12">
        <f t="shared" si="101"/>
        <v>45505</v>
      </c>
      <c r="AG403">
        <f>AD403*(1 + Scenario_Control!$B$4)</f>
        <v>20.900000000000002</v>
      </c>
      <c r="AH403">
        <f>O403*(1 + Scenario_Control!$B$3)</f>
        <v>893.23500000000013</v>
      </c>
      <c r="AI403">
        <f t="shared" si="102"/>
        <v>3833.9762560000008</v>
      </c>
      <c r="AJ403">
        <f t="shared" si="103"/>
        <v>-14834.635244000005</v>
      </c>
      <c r="AK403" s="29">
        <f>MIN(Q403*(1-U403), Scenario_Control!$B$2*Q403)</f>
        <v>223.71199999999999</v>
      </c>
      <c r="AL403" s="15">
        <f t="shared" si="104"/>
        <v>1</v>
      </c>
      <c r="AM403" s="8">
        <f>DATEDIF(Table1[[#This Row],[Country_FirstMonth]], Table1[[#This Row],[MonthDate]], "m")</f>
        <v>19</v>
      </c>
    </row>
    <row r="404" spans="1:39" x14ac:dyDescent="0.25">
      <c r="A404" t="s">
        <v>416</v>
      </c>
      <c r="B404" s="12">
        <v>45601</v>
      </c>
      <c r="C404" s="12">
        <f t="shared" si="90"/>
        <v>45604</v>
      </c>
      <c r="D404" s="2" t="str">
        <f>IF(Table1[[#This Row],[RequiredDate]]&lt;Table1[[#This Row],[OrderDate]],"Check","OK")</f>
        <v>OK</v>
      </c>
      <c r="E404" s="2">
        <v>45604</v>
      </c>
      <c r="F404" s="15">
        <f t="shared" si="91"/>
        <v>3</v>
      </c>
      <c r="G404" t="s">
        <v>648</v>
      </c>
      <c r="H404" t="s">
        <v>653</v>
      </c>
      <c r="I404" t="s">
        <v>667</v>
      </c>
      <c r="J404" t="s">
        <v>702</v>
      </c>
      <c r="K404" t="s">
        <v>709</v>
      </c>
      <c r="L404" t="s">
        <v>719</v>
      </c>
      <c r="M404" t="s">
        <v>727</v>
      </c>
      <c r="N404" t="s">
        <v>1135</v>
      </c>
      <c r="O404" s="29">
        <v>1020.4</v>
      </c>
      <c r="P404" t="str">
        <f>IF(Table1[[#This Row],[UnitPrice]]&lt;=0,"Check","OK")</f>
        <v>OK</v>
      </c>
      <c r="Q404" s="29">
        <f t="shared" si="92"/>
        <v>1184.71</v>
      </c>
      <c r="R404">
        <v>1184.71</v>
      </c>
      <c r="S404" s="5">
        <f>IF(Table1[[#This Row],[Discount_Flag]]="Check", MIN(MAX(Table1[[#This Row],[DiscountPct]],0),0.3), Table1[[#This Row],[DiscountPct]])</f>
        <v>0.106</v>
      </c>
      <c r="T404" t="str">
        <f>IF(OR(Table1[[#This Row],[DiscountPct]]&lt;0,Table1[[#This Row],[DiscountPct]]&gt;0.3),"Check","OK")</f>
        <v>OK</v>
      </c>
      <c r="U404" s="11">
        <v>0.106</v>
      </c>
      <c r="V404" s="15">
        <f t="shared" si="93"/>
        <v>0</v>
      </c>
      <c r="W404" s="11">
        <f t="shared" si="94"/>
        <v>3.6568422138328345E-2</v>
      </c>
      <c r="X404" s="17">
        <f t="shared" si="95"/>
        <v>16326.4</v>
      </c>
      <c r="Y404" s="17">
        <f t="shared" si="96"/>
        <v>619.69184000000132</v>
      </c>
      <c r="Z404" s="17">
        <f t="shared" si="97"/>
        <v>16946.091840000001</v>
      </c>
      <c r="AA404" s="17" t="str">
        <f t="shared" si="98"/>
        <v>Q4-2024</v>
      </c>
      <c r="AB404" s="12" t="str">
        <f t="shared" si="99"/>
        <v>Nov-2024</v>
      </c>
      <c r="AC404" s="12" t="str">
        <f t="shared" si="100"/>
        <v>Medium</v>
      </c>
      <c r="AD404">
        <v>16</v>
      </c>
      <c r="AE404" s="12">
        <f>_xlfn.MINIFS(Table1[MonthDate], Table1[Country], Table1[[#This Row],[Country]])</f>
        <v>44927</v>
      </c>
      <c r="AF404" s="12">
        <f t="shared" si="101"/>
        <v>45597</v>
      </c>
      <c r="AG404">
        <f>AD404*(1 + Scenario_Control!$B$4)</f>
        <v>17.600000000000001</v>
      </c>
      <c r="AH404">
        <f>O404*(1 + Scenario_Control!$B$3)</f>
        <v>1071.42</v>
      </c>
      <c r="AI404">
        <f t="shared" si="102"/>
        <v>3728.1402048000004</v>
      </c>
      <c r="AJ404">
        <f t="shared" si="103"/>
        <v>-15128.851795200002</v>
      </c>
      <c r="AK404" s="29">
        <f>MIN(Q404*(1-U404), Scenario_Control!$B$2*Q404)</f>
        <v>236.94200000000001</v>
      </c>
      <c r="AL404" s="15">
        <f t="shared" si="104"/>
        <v>1</v>
      </c>
      <c r="AM404" s="8">
        <f>DATEDIF(Table1[[#This Row],[Country_FirstMonth]], Table1[[#This Row],[MonthDate]], "m")</f>
        <v>22</v>
      </c>
    </row>
    <row r="405" spans="1:39" x14ac:dyDescent="0.25">
      <c r="A405" t="s">
        <v>417</v>
      </c>
      <c r="B405" s="12">
        <v>45497</v>
      </c>
      <c r="C405" s="12">
        <f t="shared" si="90"/>
        <v>45512</v>
      </c>
      <c r="D405" s="2" t="str">
        <f>IF(Table1[[#This Row],[RequiredDate]]&lt;Table1[[#This Row],[OrderDate]],"Check","OK")</f>
        <v>OK</v>
      </c>
      <c r="E405" s="2">
        <v>45512</v>
      </c>
      <c r="F405" s="15">
        <f t="shared" si="91"/>
        <v>15</v>
      </c>
      <c r="G405" t="s">
        <v>649</v>
      </c>
      <c r="H405" t="s">
        <v>657</v>
      </c>
      <c r="I405" t="s">
        <v>673</v>
      </c>
      <c r="J405" t="s">
        <v>706</v>
      </c>
      <c r="K405" t="s">
        <v>709</v>
      </c>
      <c r="L405" t="s">
        <v>722</v>
      </c>
      <c r="M405" t="s">
        <v>731</v>
      </c>
      <c r="N405" t="s">
        <v>1136</v>
      </c>
      <c r="O405" s="29">
        <v>501.5</v>
      </c>
      <c r="P405" t="str">
        <f>IF(Table1[[#This Row],[UnitPrice]]&lt;=0,"Check","OK")</f>
        <v>OK</v>
      </c>
      <c r="Q405" s="29">
        <f t="shared" si="92"/>
        <v>1201.47</v>
      </c>
      <c r="R405">
        <v>1201.47</v>
      </c>
      <c r="S405" s="5">
        <f>IF(Table1[[#This Row],[Discount_Flag]]="Check", MIN(MAX(Table1[[#This Row],[DiscountPct]],0),0.3), Table1[[#This Row],[DiscountPct]])</f>
        <v>0.126</v>
      </c>
      <c r="T405" t="str">
        <f>IF(OR(Table1[[#This Row],[DiscountPct]]&lt;0,Table1[[#This Row],[DiscountPct]]&gt;0.3),"Check","OK")</f>
        <v>OK</v>
      </c>
      <c r="U405" s="11">
        <v>0.126</v>
      </c>
      <c r="V405" s="15">
        <f t="shared" si="93"/>
        <v>0</v>
      </c>
      <c r="W405" s="11">
        <f t="shared" si="94"/>
        <v>0.52241951359394057</v>
      </c>
      <c r="X405" s="17">
        <f t="shared" si="95"/>
        <v>2507.5</v>
      </c>
      <c r="Y405" s="17">
        <f t="shared" si="96"/>
        <v>2742.9239000000007</v>
      </c>
      <c r="Z405" s="17">
        <f t="shared" si="97"/>
        <v>5250.4239000000007</v>
      </c>
      <c r="AA405" s="17" t="str">
        <f t="shared" si="98"/>
        <v>Q3-2024</v>
      </c>
      <c r="AB405" s="12" t="str">
        <f t="shared" si="99"/>
        <v>Jul-2024</v>
      </c>
      <c r="AC405" s="12" t="str">
        <f t="shared" si="100"/>
        <v>Medium</v>
      </c>
      <c r="AD405">
        <v>5</v>
      </c>
      <c r="AE405" s="12">
        <f>_xlfn.MINIFS(Table1[MonthDate], Table1[Country], Table1[[#This Row],[Country]])</f>
        <v>44927</v>
      </c>
      <c r="AF405" s="12">
        <f t="shared" si="101"/>
        <v>45474</v>
      </c>
      <c r="AG405">
        <f>AD405*(1 + Scenario_Control!$B$4)</f>
        <v>5.5</v>
      </c>
      <c r="AH405">
        <f>O405*(1 + Scenario_Control!$B$3)</f>
        <v>526.57500000000005</v>
      </c>
      <c r="AI405">
        <f t="shared" si="102"/>
        <v>1155.0932579999999</v>
      </c>
      <c r="AJ405">
        <f t="shared" si="103"/>
        <v>-1741.0692420000005</v>
      </c>
      <c r="AK405" s="29">
        <f>MIN(Q405*(1-U405), Scenario_Control!$B$2*Q405)</f>
        <v>240.29400000000001</v>
      </c>
      <c r="AL405" s="15">
        <f t="shared" si="104"/>
        <v>0</v>
      </c>
      <c r="AM405" s="8">
        <f>DATEDIF(Table1[[#This Row],[Country_FirstMonth]], Table1[[#This Row],[MonthDate]], "m")</f>
        <v>18</v>
      </c>
    </row>
    <row r="406" spans="1:39" x14ac:dyDescent="0.25">
      <c r="A406" t="s">
        <v>418</v>
      </c>
      <c r="B406" s="12">
        <v>45677</v>
      </c>
      <c r="C406" s="12">
        <f t="shared" si="90"/>
        <v>45691</v>
      </c>
      <c r="D406" s="2" t="str">
        <f>IF(Table1[[#This Row],[RequiredDate]]&lt;Table1[[#This Row],[OrderDate]],"Check","OK")</f>
        <v>OK</v>
      </c>
      <c r="E406" s="2">
        <v>45691</v>
      </c>
      <c r="F406" s="15">
        <f t="shared" si="91"/>
        <v>14</v>
      </c>
      <c r="G406" t="s">
        <v>648</v>
      </c>
      <c r="H406" t="s">
        <v>655</v>
      </c>
      <c r="I406" t="s">
        <v>672</v>
      </c>
      <c r="J406" t="s">
        <v>706</v>
      </c>
      <c r="K406" t="s">
        <v>709</v>
      </c>
      <c r="L406" t="s">
        <v>721</v>
      </c>
      <c r="M406" t="s">
        <v>727</v>
      </c>
      <c r="N406" t="s">
        <v>1137</v>
      </c>
      <c r="O406" s="29">
        <v>974.11</v>
      </c>
      <c r="P406" t="str">
        <f>IF(Table1[[#This Row],[UnitPrice]]&lt;=0,"Check","OK")</f>
        <v>OK</v>
      </c>
      <c r="Q406" s="29">
        <f t="shared" si="92"/>
        <v>880.99</v>
      </c>
      <c r="R406">
        <v>880.99</v>
      </c>
      <c r="S406" s="5">
        <f>IF(Table1[[#This Row],[Discount_Flag]]="Check", MIN(MAX(Table1[[#This Row],[DiscountPct]],0),0.3), Table1[[#This Row],[DiscountPct]])</f>
        <v>0.111</v>
      </c>
      <c r="T406" t="str">
        <f>IF(OR(Table1[[#This Row],[DiscountPct]]&lt;0,Table1[[#This Row],[DiscountPct]]&gt;0.3),"Check","OK")</f>
        <v>OK</v>
      </c>
      <c r="U406" s="11">
        <v>0.111</v>
      </c>
      <c r="V406" s="15">
        <f t="shared" si="93"/>
        <v>0</v>
      </c>
      <c r="W406" s="11">
        <f t="shared" si="94"/>
        <v>-0.2437562093805121</v>
      </c>
      <c r="X406" s="17">
        <f t="shared" si="95"/>
        <v>9741.1</v>
      </c>
      <c r="Y406" s="17">
        <f t="shared" si="96"/>
        <v>-1909.0989000000009</v>
      </c>
      <c r="Z406" s="17">
        <f t="shared" si="97"/>
        <v>7832.0010999999995</v>
      </c>
      <c r="AA406" s="17" t="str">
        <f t="shared" si="98"/>
        <v>Q1-2025</v>
      </c>
      <c r="AB406" s="12" t="str">
        <f t="shared" si="99"/>
        <v>Jan-2025</v>
      </c>
      <c r="AC406" s="12" t="str">
        <f t="shared" si="100"/>
        <v>Medium</v>
      </c>
      <c r="AD406">
        <v>10</v>
      </c>
      <c r="AE406" s="12">
        <f>_xlfn.MINIFS(Table1[MonthDate], Table1[Country], Table1[[#This Row],[Country]])</f>
        <v>44927</v>
      </c>
      <c r="AF406" s="12">
        <f t="shared" si="101"/>
        <v>45658</v>
      </c>
      <c r="AG406">
        <f>AD406*(1 + Scenario_Control!$B$4)</f>
        <v>11</v>
      </c>
      <c r="AH406">
        <f>O406*(1 + Scenario_Control!$B$3)</f>
        <v>1022.8155</v>
      </c>
      <c r="AI406">
        <f t="shared" si="102"/>
        <v>1723.040242</v>
      </c>
      <c r="AJ406">
        <f t="shared" si="103"/>
        <v>-9527.9302580000003</v>
      </c>
      <c r="AK406" s="29">
        <f>MIN(Q406*(1-U406), Scenario_Control!$B$2*Q406)</f>
        <v>176.19800000000001</v>
      </c>
      <c r="AL406" s="15">
        <f t="shared" si="104"/>
        <v>0</v>
      </c>
      <c r="AM406" s="8">
        <f>DATEDIF(Table1[[#This Row],[Country_FirstMonth]], Table1[[#This Row],[MonthDate]], "m")</f>
        <v>24</v>
      </c>
    </row>
    <row r="407" spans="1:39" x14ac:dyDescent="0.25">
      <c r="A407" t="s">
        <v>419</v>
      </c>
      <c r="B407" s="12">
        <v>44991</v>
      </c>
      <c r="C407" s="12">
        <f t="shared" si="90"/>
        <v>45020</v>
      </c>
      <c r="D407" s="2" t="str">
        <f>IF(Table1[[#This Row],[RequiredDate]]&lt;Table1[[#This Row],[OrderDate]],"Check","OK")</f>
        <v>OK</v>
      </c>
      <c r="E407" s="2">
        <v>45020</v>
      </c>
      <c r="F407" s="15">
        <f t="shared" si="91"/>
        <v>29</v>
      </c>
      <c r="G407" t="s">
        <v>647</v>
      </c>
      <c r="H407" t="s">
        <v>659</v>
      </c>
      <c r="I407" t="s">
        <v>699</v>
      </c>
      <c r="J407" t="s">
        <v>705</v>
      </c>
      <c r="K407" t="s">
        <v>711</v>
      </c>
      <c r="L407" t="s">
        <v>712</v>
      </c>
      <c r="M407" t="s">
        <v>732</v>
      </c>
      <c r="N407" t="s">
        <v>1138</v>
      </c>
      <c r="O407" s="29">
        <v>1126.29</v>
      </c>
      <c r="P407" t="str">
        <f>IF(Table1[[#This Row],[UnitPrice]]&lt;=0,"Check","OK")</f>
        <v>OK</v>
      </c>
      <c r="Q407" s="29">
        <f t="shared" si="92"/>
        <v>2050.87</v>
      </c>
      <c r="R407">
        <v>2050.87</v>
      </c>
      <c r="S407" s="5">
        <f>IF(Table1[[#This Row],[Discount_Flag]]="Check", MIN(MAX(Table1[[#This Row],[DiscountPct]],0),0.3), Table1[[#This Row],[DiscountPct]])</f>
        <v>6.4000000000000001E-2</v>
      </c>
      <c r="T407" t="str">
        <f>IF(OR(Table1[[#This Row],[DiscountPct]]&lt;0,Table1[[#This Row],[DiscountPct]]&gt;0.3),"Check","OK")</f>
        <v>OK</v>
      </c>
      <c r="U407" s="11">
        <v>6.4000000000000001E-2</v>
      </c>
      <c r="V407" s="15">
        <f t="shared" si="93"/>
        <v>0</v>
      </c>
      <c r="W407" s="11">
        <f t="shared" si="94"/>
        <v>0.41327276616690373</v>
      </c>
      <c r="X407" s="17">
        <f t="shared" si="95"/>
        <v>7884.03</v>
      </c>
      <c r="Y407" s="17">
        <f t="shared" si="96"/>
        <v>5553.2702399999989</v>
      </c>
      <c r="Z407" s="17">
        <f t="shared" si="97"/>
        <v>13437.300239999999</v>
      </c>
      <c r="AA407" s="17" t="str">
        <f t="shared" si="98"/>
        <v>Q1-2023</v>
      </c>
      <c r="AB407" s="12" t="str">
        <f t="shared" si="99"/>
        <v>Mar-2023</v>
      </c>
      <c r="AC407" s="12" t="str">
        <f t="shared" si="100"/>
        <v>High</v>
      </c>
      <c r="AD407">
        <v>7</v>
      </c>
      <c r="AE407" s="12">
        <f>_xlfn.MINIFS(Table1[MonthDate], Table1[Country], Table1[[#This Row],[Country]])</f>
        <v>44927</v>
      </c>
      <c r="AF407" s="12">
        <f t="shared" si="101"/>
        <v>44986</v>
      </c>
      <c r="AG407">
        <f>AD407*(1 + Scenario_Control!$B$4)</f>
        <v>7.7000000000000011</v>
      </c>
      <c r="AH407">
        <f>O407*(1 + Scenario_Control!$B$3)</f>
        <v>1182.6044999999999</v>
      </c>
      <c r="AI407">
        <f t="shared" si="102"/>
        <v>2956.2060528000002</v>
      </c>
      <c r="AJ407">
        <f t="shared" si="103"/>
        <v>-6149.8485971999999</v>
      </c>
      <c r="AK407" s="29">
        <f>MIN(Q407*(1-U407), Scenario_Control!$B$2*Q407)</f>
        <v>410.17399999999998</v>
      </c>
      <c r="AL407" s="15">
        <f t="shared" si="104"/>
        <v>0</v>
      </c>
      <c r="AM407" s="8">
        <f>DATEDIF(Table1[[#This Row],[Country_FirstMonth]], Table1[[#This Row],[MonthDate]], "m")</f>
        <v>2</v>
      </c>
    </row>
    <row r="408" spans="1:39" x14ac:dyDescent="0.25">
      <c r="A408" t="s">
        <v>420</v>
      </c>
      <c r="B408" s="12">
        <v>45646</v>
      </c>
      <c r="C408" s="12">
        <f t="shared" si="90"/>
        <v>45671</v>
      </c>
      <c r="D408" s="2" t="str">
        <f>IF(Table1[[#This Row],[RequiredDate]]&lt;Table1[[#This Row],[OrderDate]],"Check","OK")</f>
        <v>OK</v>
      </c>
      <c r="E408" s="2">
        <v>45671</v>
      </c>
      <c r="F408" s="15">
        <f t="shared" si="91"/>
        <v>25</v>
      </c>
      <c r="G408" t="s">
        <v>647</v>
      </c>
      <c r="H408" t="s">
        <v>654</v>
      </c>
      <c r="I408" t="s">
        <v>680</v>
      </c>
      <c r="J408" t="s">
        <v>705</v>
      </c>
      <c r="K408" t="s">
        <v>707</v>
      </c>
      <c r="L408" t="s">
        <v>724</v>
      </c>
      <c r="M408" t="s">
        <v>728</v>
      </c>
      <c r="N408" t="s">
        <v>1139</v>
      </c>
      <c r="O408" s="29">
        <v>1361.34</v>
      </c>
      <c r="P408" t="str">
        <f>IF(Table1[[#This Row],[UnitPrice]]&lt;=0,"Check","OK")</f>
        <v>OK</v>
      </c>
      <c r="Q408" s="29">
        <f t="shared" si="92"/>
        <v>1737.9</v>
      </c>
      <c r="R408">
        <v>1737.9</v>
      </c>
      <c r="S408" s="5">
        <f>IF(Table1[[#This Row],[Discount_Flag]]="Check", MIN(MAX(Table1[[#This Row],[DiscountPct]],0),0.3), Table1[[#This Row],[DiscountPct]])</f>
        <v>7.6999999999999999E-2</v>
      </c>
      <c r="T408" t="str">
        <f>IF(OR(Table1[[#This Row],[DiscountPct]]&lt;0,Table1[[#This Row],[DiscountPct]]&gt;0.3),"Check","OK")</f>
        <v>OK</v>
      </c>
      <c r="U408" s="11">
        <v>7.6999999999999999E-2</v>
      </c>
      <c r="V408" s="15">
        <f t="shared" si="93"/>
        <v>0</v>
      </c>
      <c r="W408" s="11">
        <f t="shared" si="94"/>
        <v>0.15132751654731813</v>
      </c>
      <c r="X408" s="17">
        <f t="shared" si="95"/>
        <v>19058.759999999998</v>
      </c>
      <c r="Y408" s="17">
        <f t="shared" si="96"/>
        <v>3398.3838000000032</v>
      </c>
      <c r="Z408" s="17">
        <f t="shared" si="97"/>
        <v>22457.143800000002</v>
      </c>
      <c r="AA408" s="17" t="str">
        <f t="shared" si="98"/>
        <v>Q4-2024</v>
      </c>
      <c r="AB408" s="12" t="str">
        <f t="shared" si="99"/>
        <v>Dec-2024</v>
      </c>
      <c r="AC408" s="12" t="str">
        <f t="shared" si="100"/>
        <v>Medium</v>
      </c>
      <c r="AD408">
        <v>14</v>
      </c>
      <c r="AE408" s="12">
        <f>_xlfn.MINIFS(Table1[MonthDate], Table1[Country], Table1[[#This Row],[Country]])</f>
        <v>44927</v>
      </c>
      <c r="AF408" s="12">
        <f t="shared" si="101"/>
        <v>45627</v>
      </c>
      <c r="AG408">
        <f>AD408*(1 + Scenario_Control!$B$4)</f>
        <v>15.400000000000002</v>
      </c>
      <c r="AH408">
        <f>O408*(1 + Scenario_Control!$B$3)</f>
        <v>1429.4069999999999</v>
      </c>
      <c r="AI408">
        <f t="shared" si="102"/>
        <v>4940.5716360000015</v>
      </c>
      <c r="AJ408">
        <f t="shared" si="103"/>
        <v>-17072.296164000003</v>
      </c>
      <c r="AK408" s="29">
        <f>MIN(Q408*(1-U408), Scenario_Control!$B$2*Q408)</f>
        <v>347.58000000000004</v>
      </c>
      <c r="AL408" s="15">
        <f t="shared" si="104"/>
        <v>0</v>
      </c>
      <c r="AM408" s="8">
        <f>DATEDIF(Table1[[#This Row],[Country_FirstMonth]], Table1[[#This Row],[MonthDate]], "m")</f>
        <v>23</v>
      </c>
    </row>
    <row r="409" spans="1:39" x14ac:dyDescent="0.25">
      <c r="A409" t="s">
        <v>421</v>
      </c>
      <c r="B409" s="12">
        <v>45709</v>
      </c>
      <c r="C409" s="12">
        <f t="shared" si="90"/>
        <v>45737</v>
      </c>
      <c r="D409" s="2" t="str">
        <f>IF(Table1[[#This Row],[RequiredDate]]&lt;Table1[[#This Row],[OrderDate]],"Check","OK")</f>
        <v>OK</v>
      </c>
      <c r="E409" s="2">
        <v>45737</v>
      </c>
      <c r="F409" s="15">
        <f t="shared" si="91"/>
        <v>28</v>
      </c>
      <c r="G409" t="s">
        <v>646</v>
      </c>
      <c r="H409" t="s">
        <v>651</v>
      </c>
      <c r="I409" t="s">
        <v>669</v>
      </c>
      <c r="J409" t="s">
        <v>706</v>
      </c>
      <c r="K409" t="s">
        <v>709</v>
      </c>
      <c r="L409" t="s">
        <v>714</v>
      </c>
      <c r="M409" t="s">
        <v>730</v>
      </c>
      <c r="N409" t="s">
        <v>1140</v>
      </c>
      <c r="O409" s="29">
        <v>1437.39</v>
      </c>
      <c r="P409" t="str">
        <f>IF(Table1[[#This Row],[UnitPrice]]&lt;=0,"Check","OK")</f>
        <v>OK</v>
      </c>
      <c r="Q409" s="29">
        <f t="shared" si="92"/>
        <v>1388.31</v>
      </c>
      <c r="R409">
        <v>1388.31</v>
      </c>
      <c r="S409" s="5">
        <f>IF(Table1[[#This Row],[Discount_Flag]]="Check", MIN(MAX(Table1[[#This Row],[DiscountPct]],0),0.3), Table1[[#This Row],[DiscountPct]])</f>
        <v>0.13800000000000001</v>
      </c>
      <c r="T409" t="str">
        <f>IF(OR(Table1[[#This Row],[DiscountPct]]&lt;0,Table1[[#This Row],[DiscountPct]]&gt;0.3),"Check","OK")</f>
        <v>OK</v>
      </c>
      <c r="U409" s="11">
        <v>0.13800000000000001</v>
      </c>
      <c r="V409" s="15">
        <f t="shared" si="93"/>
        <v>0</v>
      </c>
      <c r="W409" s="11">
        <f t="shared" si="94"/>
        <v>-0.20110479681341872</v>
      </c>
      <c r="X409" s="17">
        <f t="shared" si="95"/>
        <v>25873.02</v>
      </c>
      <c r="Y409" s="17">
        <f t="shared" si="96"/>
        <v>-4332.002040000003</v>
      </c>
      <c r="Z409" s="17">
        <f t="shared" si="97"/>
        <v>21541.017959999997</v>
      </c>
      <c r="AA409" s="17" t="str">
        <f t="shared" si="98"/>
        <v>Q1-2025</v>
      </c>
      <c r="AB409" s="12" t="str">
        <f t="shared" si="99"/>
        <v>Feb-2025</v>
      </c>
      <c r="AC409" s="12" t="str">
        <f t="shared" si="100"/>
        <v>Medium</v>
      </c>
      <c r="AD409">
        <v>18</v>
      </c>
      <c r="AE409" s="12">
        <f>_xlfn.MINIFS(Table1[MonthDate], Table1[Country], Table1[[#This Row],[Country]])</f>
        <v>44927</v>
      </c>
      <c r="AF409" s="12">
        <f t="shared" si="101"/>
        <v>45689</v>
      </c>
      <c r="AG409">
        <f>AD409*(1 + Scenario_Control!$B$4)</f>
        <v>19.8</v>
      </c>
      <c r="AH409">
        <f>O409*(1 + Scenario_Control!$B$3)</f>
        <v>1509.2595000000001</v>
      </c>
      <c r="AI409">
        <f t="shared" si="102"/>
        <v>4739.0239511999998</v>
      </c>
      <c r="AJ409">
        <f t="shared" si="103"/>
        <v>-25144.314148800004</v>
      </c>
      <c r="AK409" s="29">
        <f>MIN(Q409*(1-U409), Scenario_Control!$B$2*Q409)</f>
        <v>277.66199999999998</v>
      </c>
      <c r="AL409" s="15">
        <f t="shared" si="104"/>
        <v>0</v>
      </c>
      <c r="AM409" s="8">
        <f>DATEDIF(Table1[[#This Row],[Country_FirstMonth]], Table1[[#This Row],[MonthDate]], "m")</f>
        <v>25</v>
      </c>
    </row>
    <row r="410" spans="1:39" x14ac:dyDescent="0.25">
      <c r="A410" t="s">
        <v>422</v>
      </c>
      <c r="B410" s="12">
        <v>45724</v>
      </c>
      <c r="C410" s="12">
        <f t="shared" si="90"/>
        <v>45731</v>
      </c>
      <c r="D410" s="2" t="str">
        <f>IF(Table1[[#This Row],[RequiredDate]]&lt;Table1[[#This Row],[OrderDate]],"Check","OK")</f>
        <v>OK</v>
      </c>
      <c r="E410" s="2">
        <v>45731</v>
      </c>
      <c r="F410" s="15">
        <f t="shared" si="91"/>
        <v>7</v>
      </c>
      <c r="G410" t="s">
        <v>647</v>
      </c>
      <c r="H410" t="s">
        <v>654</v>
      </c>
      <c r="I410" t="s">
        <v>668</v>
      </c>
      <c r="J410" t="s">
        <v>701</v>
      </c>
      <c r="K410" t="s">
        <v>710</v>
      </c>
      <c r="L410" t="s">
        <v>723</v>
      </c>
      <c r="M410" t="s">
        <v>731</v>
      </c>
      <c r="N410" t="s">
        <v>1141</v>
      </c>
      <c r="O410" s="29">
        <v>475.66</v>
      </c>
      <c r="P410" t="str">
        <f>IF(Table1[[#This Row],[UnitPrice]]&lt;=0,"Check","OK")</f>
        <v>OK</v>
      </c>
      <c r="Q410" s="29">
        <f t="shared" si="92"/>
        <v>529.14</v>
      </c>
      <c r="R410">
        <v>529.14</v>
      </c>
      <c r="S410" s="5">
        <f>IF(Table1[[#This Row],[Discount_Flag]]="Check", MIN(MAX(Table1[[#This Row],[DiscountPct]],0),0.3), Table1[[#This Row],[DiscountPct]])</f>
        <v>0.19600000000000001</v>
      </c>
      <c r="T410" t="str">
        <f>IF(OR(Table1[[#This Row],[DiscountPct]]&lt;0,Table1[[#This Row],[DiscountPct]]&gt;0.3),"Check","OK")</f>
        <v>OK</v>
      </c>
      <c r="U410" s="11">
        <v>0.19600000000000001</v>
      </c>
      <c r="V410" s="15">
        <f t="shared" si="93"/>
        <v>0</v>
      </c>
      <c r="W410" s="11">
        <f t="shared" si="94"/>
        <v>-0.11807256193613323</v>
      </c>
      <c r="X410" s="17">
        <f t="shared" si="95"/>
        <v>5232.26</v>
      </c>
      <c r="Y410" s="17">
        <f t="shared" si="96"/>
        <v>-552.54583999999977</v>
      </c>
      <c r="Z410" s="17">
        <f t="shared" si="97"/>
        <v>4679.7141600000004</v>
      </c>
      <c r="AA410" s="17" t="str">
        <f t="shared" si="98"/>
        <v>Q1-2025</v>
      </c>
      <c r="AB410" s="12" t="str">
        <f t="shared" si="99"/>
        <v>Mar-2025</v>
      </c>
      <c r="AC410" s="12" t="str">
        <f t="shared" si="100"/>
        <v>Low</v>
      </c>
      <c r="AD410">
        <v>11</v>
      </c>
      <c r="AE410" s="12">
        <f>_xlfn.MINIFS(Table1[MonthDate], Table1[Country], Table1[[#This Row],[Country]])</f>
        <v>44927</v>
      </c>
      <c r="AF410" s="12">
        <f t="shared" si="101"/>
        <v>45717</v>
      </c>
      <c r="AG410">
        <f>AD410*(1 + Scenario_Control!$B$4)</f>
        <v>12.100000000000001</v>
      </c>
      <c r="AH410">
        <f>O410*(1 + Scenario_Control!$B$3)</f>
        <v>499.44300000000004</v>
      </c>
      <c r="AI410">
        <f t="shared" si="102"/>
        <v>1029.5371152000002</v>
      </c>
      <c r="AJ410">
        <f t="shared" si="103"/>
        <v>-5013.723184800001</v>
      </c>
      <c r="AK410" s="29">
        <f>MIN(Q410*(1-U410), Scenario_Control!$B$2*Q410)</f>
        <v>105.828</v>
      </c>
      <c r="AL410" s="15">
        <f t="shared" si="104"/>
        <v>1</v>
      </c>
      <c r="AM410" s="8">
        <f>DATEDIF(Table1[[#This Row],[Country_FirstMonth]], Table1[[#This Row],[MonthDate]], "m")</f>
        <v>26</v>
      </c>
    </row>
    <row r="411" spans="1:39" x14ac:dyDescent="0.25">
      <c r="A411" t="s">
        <v>423</v>
      </c>
      <c r="B411" s="12">
        <v>45276</v>
      </c>
      <c r="C411" s="12">
        <f t="shared" si="90"/>
        <v>45279</v>
      </c>
      <c r="D411" s="2" t="str">
        <f>IF(Table1[[#This Row],[RequiredDate]]&lt;Table1[[#This Row],[OrderDate]],"Check","OK")</f>
        <v>OK</v>
      </c>
      <c r="E411" s="2">
        <v>45279</v>
      </c>
      <c r="F411" s="15">
        <f t="shared" si="91"/>
        <v>3</v>
      </c>
      <c r="G411" t="s">
        <v>647</v>
      </c>
      <c r="H411" t="s">
        <v>659</v>
      </c>
      <c r="I411" t="s">
        <v>699</v>
      </c>
      <c r="J411" t="s">
        <v>702</v>
      </c>
      <c r="K411" t="s">
        <v>707</v>
      </c>
      <c r="L411" t="s">
        <v>720</v>
      </c>
      <c r="M411" t="s">
        <v>733</v>
      </c>
      <c r="N411" t="s">
        <v>1142</v>
      </c>
      <c r="O411" s="29">
        <v>1415.05</v>
      </c>
      <c r="P411" t="str">
        <f>IF(Table1[[#This Row],[UnitPrice]]&lt;=0,"Check","OK")</f>
        <v>OK</v>
      </c>
      <c r="Q411" s="29">
        <f t="shared" si="92"/>
        <v>1972.38</v>
      </c>
      <c r="R411">
        <v>1972.38</v>
      </c>
      <c r="S411" s="5">
        <f>IF(Table1[[#This Row],[Discount_Flag]]="Check", MIN(MAX(Table1[[#This Row],[DiscountPct]],0),0.3), Table1[[#This Row],[DiscountPct]])</f>
        <v>0</v>
      </c>
      <c r="T411" t="str">
        <f>IF(OR(Table1[[#This Row],[DiscountPct]]&lt;0,Table1[[#This Row],[DiscountPct]]&gt;0.3),"Check","OK")</f>
        <v>OK</v>
      </c>
      <c r="U411" s="11">
        <v>0</v>
      </c>
      <c r="V411" s="15">
        <f t="shared" si="93"/>
        <v>0</v>
      </c>
      <c r="W411" s="11">
        <f t="shared" si="94"/>
        <v>0.28256725377462771</v>
      </c>
      <c r="X411" s="17">
        <f t="shared" si="95"/>
        <v>16980.599999999999</v>
      </c>
      <c r="Y411" s="17">
        <f t="shared" si="96"/>
        <v>6687.9600000000028</v>
      </c>
      <c r="Z411" s="17">
        <f t="shared" si="97"/>
        <v>23668.560000000001</v>
      </c>
      <c r="AA411" s="17" t="str">
        <f t="shared" si="98"/>
        <v>Q4-2023</v>
      </c>
      <c r="AB411" s="12" t="str">
        <f t="shared" si="99"/>
        <v>Dec-2023</v>
      </c>
      <c r="AC411" s="12" t="str">
        <f t="shared" si="100"/>
        <v>High</v>
      </c>
      <c r="AD411">
        <v>12</v>
      </c>
      <c r="AE411" s="12">
        <f>_xlfn.MINIFS(Table1[MonthDate], Table1[Country], Table1[[#This Row],[Country]])</f>
        <v>44927</v>
      </c>
      <c r="AF411" s="12">
        <f t="shared" si="101"/>
        <v>45261</v>
      </c>
      <c r="AG411">
        <f>AD411*(1 + Scenario_Control!$B$4)</f>
        <v>13.200000000000001</v>
      </c>
      <c r="AH411">
        <f>O411*(1 + Scenario_Control!$B$3)</f>
        <v>1485.8025</v>
      </c>
      <c r="AI411">
        <f t="shared" si="102"/>
        <v>5207.0832000000009</v>
      </c>
      <c r="AJ411">
        <f t="shared" si="103"/>
        <v>-14405.5098</v>
      </c>
      <c r="AK411" s="29">
        <f>MIN(Q411*(1-U411), Scenario_Control!$B$2*Q411)</f>
        <v>394.47600000000006</v>
      </c>
      <c r="AL411" s="15">
        <f t="shared" si="104"/>
        <v>1</v>
      </c>
      <c r="AM411" s="8">
        <f>DATEDIF(Table1[[#This Row],[Country_FirstMonth]], Table1[[#This Row],[MonthDate]], "m")</f>
        <v>11</v>
      </c>
    </row>
    <row r="412" spans="1:39" x14ac:dyDescent="0.25">
      <c r="A412" t="s">
        <v>424</v>
      </c>
      <c r="B412" s="12">
        <v>45534</v>
      </c>
      <c r="C412" s="12">
        <f t="shared" si="90"/>
        <v>45540</v>
      </c>
      <c r="D412" s="2" t="str">
        <f>IF(Table1[[#This Row],[RequiredDate]]&lt;Table1[[#This Row],[OrderDate]],"Check","OK")</f>
        <v>OK</v>
      </c>
      <c r="E412" s="2">
        <v>45540</v>
      </c>
      <c r="F412" s="15">
        <f t="shared" si="91"/>
        <v>6</v>
      </c>
      <c r="G412" t="s">
        <v>647</v>
      </c>
      <c r="H412" t="s">
        <v>652</v>
      </c>
      <c r="I412" t="s">
        <v>694</v>
      </c>
      <c r="J412" t="s">
        <v>702</v>
      </c>
      <c r="K412" t="s">
        <v>708</v>
      </c>
      <c r="L412" t="s">
        <v>725</v>
      </c>
      <c r="M412" t="s">
        <v>731</v>
      </c>
      <c r="N412" t="s">
        <v>1143</v>
      </c>
      <c r="O412" s="29">
        <v>466.16</v>
      </c>
      <c r="P412" t="str">
        <f>IF(Table1[[#This Row],[UnitPrice]]&lt;=0,"Check","OK")</f>
        <v>OK</v>
      </c>
      <c r="Q412" s="29">
        <f t="shared" si="92"/>
        <v>876.81</v>
      </c>
      <c r="R412">
        <v>876.81</v>
      </c>
      <c r="S412" s="5">
        <f>IF(Table1[[#This Row],[Discount_Flag]]="Check", MIN(MAX(Table1[[#This Row],[DiscountPct]],0),0.3), Table1[[#This Row],[DiscountPct]])</f>
        <v>0.24099999999999999</v>
      </c>
      <c r="T412" t="str">
        <f>IF(OR(Table1[[#This Row],[DiscountPct]]&lt;0,Table1[[#This Row],[DiscountPct]]&gt;0.3),"Check","OK")</f>
        <v>OK</v>
      </c>
      <c r="U412" s="11">
        <v>0.24099999999999999</v>
      </c>
      <c r="V412" s="15">
        <f t="shared" si="93"/>
        <v>1</v>
      </c>
      <c r="W412" s="11">
        <f t="shared" si="94"/>
        <v>0.29953291124691594</v>
      </c>
      <c r="X412" s="17">
        <f t="shared" si="95"/>
        <v>3729.28</v>
      </c>
      <c r="Y412" s="17">
        <f t="shared" si="96"/>
        <v>1594.7103199999997</v>
      </c>
      <c r="Z412" s="17">
        <f t="shared" si="97"/>
        <v>5323.9903199999999</v>
      </c>
      <c r="AA412" s="17" t="str">
        <f t="shared" si="98"/>
        <v>Q3-2024</v>
      </c>
      <c r="AB412" s="12" t="str">
        <f t="shared" si="99"/>
        <v>Aug-2024</v>
      </c>
      <c r="AC412" s="12" t="str">
        <f t="shared" si="100"/>
        <v>Medium</v>
      </c>
      <c r="AD412">
        <v>8</v>
      </c>
      <c r="AE412" s="12">
        <f>_xlfn.MINIFS(Table1[MonthDate], Table1[Country], Table1[[#This Row],[Country]])</f>
        <v>44986</v>
      </c>
      <c r="AF412" s="12">
        <f t="shared" si="101"/>
        <v>45505</v>
      </c>
      <c r="AG412">
        <f>AD412*(1 + Scenario_Control!$B$4)</f>
        <v>8.8000000000000007</v>
      </c>
      <c r="AH412">
        <f>O412*(1 + Scenario_Control!$B$3)</f>
        <v>489.46800000000007</v>
      </c>
      <c r="AI412">
        <f t="shared" si="102"/>
        <v>1171.2778704</v>
      </c>
      <c r="AJ412">
        <f t="shared" si="103"/>
        <v>-3136.0405296000008</v>
      </c>
      <c r="AK412" s="29">
        <f>MIN(Q412*(1-U412), Scenario_Control!$B$2*Q412)</f>
        <v>175.36199999999999</v>
      </c>
      <c r="AL412" s="15">
        <f t="shared" si="104"/>
        <v>1</v>
      </c>
      <c r="AM412" s="8">
        <f>DATEDIF(Table1[[#This Row],[Country_FirstMonth]], Table1[[#This Row],[MonthDate]], "m")</f>
        <v>17</v>
      </c>
    </row>
    <row r="413" spans="1:39" x14ac:dyDescent="0.25">
      <c r="A413" t="s">
        <v>425</v>
      </c>
      <c r="B413" s="12">
        <v>45430</v>
      </c>
      <c r="C413" s="12">
        <f t="shared" si="90"/>
        <v>45433</v>
      </c>
      <c r="D413" s="2" t="str">
        <f>IF(Table1[[#This Row],[RequiredDate]]&lt;Table1[[#This Row],[OrderDate]],"Check","OK")</f>
        <v>OK</v>
      </c>
      <c r="E413" s="2">
        <v>45433</v>
      </c>
      <c r="F413" s="15">
        <f t="shared" si="91"/>
        <v>3</v>
      </c>
      <c r="G413" t="s">
        <v>649</v>
      </c>
      <c r="H413" t="s">
        <v>657</v>
      </c>
      <c r="I413" t="s">
        <v>673</v>
      </c>
      <c r="J413" t="s">
        <v>703</v>
      </c>
      <c r="K413" t="s">
        <v>709</v>
      </c>
      <c r="L413" t="s">
        <v>726</v>
      </c>
      <c r="M413" t="s">
        <v>728</v>
      </c>
      <c r="N413" t="s">
        <v>1144</v>
      </c>
      <c r="O413" s="29">
        <v>663.66</v>
      </c>
      <c r="P413" t="str">
        <f>IF(Table1[[#This Row],[UnitPrice]]&lt;=0,"Check","OK")</f>
        <v>OK</v>
      </c>
      <c r="Q413" s="29">
        <f t="shared" si="92"/>
        <v>824.26</v>
      </c>
      <c r="R413">
        <v>824.26</v>
      </c>
      <c r="S413" s="5">
        <f>IF(Table1[[#This Row],[Discount_Flag]]="Check", MIN(MAX(Table1[[#This Row],[DiscountPct]],0),0.3), Table1[[#This Row],[DiscountPct]])</f>
        <v>0.23899999999999999</v>
      </c>
      <c r="T413" t="str">
        <f>IF(OR(Table1[[#This Row],[DiscountPct]]&lt;0,Table1[[#This Row],[DiscountPct]]&gt;0.3),"Check","OK")</f>
        <v>OK</v>
      </c>
      <c r="U413" s="11">
        <v>0.23899999999999999</v>
      </c>
      <c r="V413" s="15">
        <f t="shared" si="93"/>
        <v>1</v>
      </c>
      <c r="W413" s="11">
        <f t="shared" si="94"/>
        <v>-5.8027025587048933E-2</v>
      </c>
      <c r="X413" s="17">
        <f t="shared" si="95"/>
        <v>7300.2599999999993</v>
      </c>
      <c r="Y413" s="17">
        <f t="shared" si="96"/>
        <v>-400.379539999999</v>
      </c>
      <c r="Z413" s="17">
        <f t="shared" si="97"/>
        <v>6899.8804600000003</v>
      </c>
      <c r="AA413" s="17" t="str">
        <f t="shared" si="98"/>
        <v>Q2-2024</v>
      </c>
      <c r="AB413" s="12" t="str">
        <f t="shared" si="99"/>
        <v>May-2024</v>
      </c>
      <c r="AC413" s="12" t="str">
        <f t="shared" si="100"/>
        <v>Medium</v>
      </c>
      <c r="AD413">
        <v>11</v>
      </c>
      <c r="AE413" s="12">
        <f>_xlfn.MINIFS(Table1[MonthDate], Table1[Country], Table1[[#This Row],[Country]])</f>
        <v>44927</v>
      </c>
      <c r="AF413" s="12">
        <f t="shared" si="101"/>
        <v>45413</v>
      </c>
      <c r="AG413">
        <f>AD413*(1 + Scenario_Control!$B$4)</f>
        <v>12.100000000000001</v>
      </c>
      <c r="AH413">
        <f>O413*(1 + Scenario_Control!$B$3)</f>
        <v>696.84299999999996</v>
      </c>
      <c r="AI413">
        <f t="shared" si="102"/>
        <v>1517.9737012000003</v>
      </c>
      <c r="AJ413">
        <f t="shared" si="103"/>
        <v>-6913.8265988000003</v>
      </c>
      <c r="AK413" s="29">
        <f>MIN(Q413*(1-U413), Scenario_Control!$B$2*Q413)</f>
        <v>164.852</v>
      </c>
      <c r="AL413" s="15">
        <f t="shared" si="104"/>
        <v>1</v>
      </c>
      <c r="AM413" s="8">
        <f>DATEDIF(Table1[[#This Row],[Country_FirstMonth]], Table1[[#This Row],[MonthDate]], "m")</f>
        <v>16</v>
      </c>
    </row>
    <row r="414" spans="1:39" x14ac:dyDescent="0.25">
      <c r="A414" t="s">
        <v>426</v>
      </c>
      <c r="B414" s="12">
        <v>45002</v>
      </c>
      <c r="C414" s="12">
        <f t="shared" si="90"/>
        <v>45022</v>
      </c>
      <c r="D414" s="2" t="str">
        <f>IF(Table1[[#This Row],[RequiredDate]]&lt;Table1[[#This Row],[OrderDate]],"Check","OK")</f>
        <v>OK</v>
      </c>
      <c r="E414" s="2">
        <v>45022</v>
      </c>
      <c r="F414" s="15">
        <f t="shared" si="91"/>
        <v>20</v>
      </c>
      <c r="G414" t="s">
        <v>649</v>
      </c>
      <c r="H414" t="s">
        <v>656</v>
      </c>
      <c r="I414" t="s">
        <v>684</v>
      </c>
      <c r="J414" t="s">
        <v>704</v>
      </c>
      <c r="K414" t="s">
        <v>707</v>
      </c>
      <c r="L414" t="s">
        <v>719</v>
      </c>
      <c r="M414" t="s">
        <v>730</v>
      </c>
      <c r="N414" t="s">
        <v>1145</v>
      </c>
      <c r="O414" s="29">
        <v>692.18</v>
      </c>
      <c r="P414" t="str">
        <f>IF(Table1[[#This Row],[UnitPrice]]&lt;=0,"Check","OK")</f>
        <v>OK</v>
      </c>
      <c r="Q414" s="29">
        <f t="shared" si="92"/>
        <v>1159.3499999999999</v>
      </c>
      <c r="R414">
        <v>1159.3499999999999</v>
      </c>
      <c r="S414" s="5">
        <f>IF(Table1[[#This Row],[Discount_Flag]]="Check", MIN(MAX(Table1[[#This Row],[DiscountPct]],0),0.3), Table1[[#This Row],[DiscountPct]])</f>
        <v>0.112</v>
      </c>
      <c r="T414" t="str">
        <f>IF(OR(Table1[[#This Row],[DiscountPct]]&lt;0,Table1[[#This Row],[DiscountPct]]&gt;0.3),"Check","OK")</f>
        <v>OK</v>
      </c>
      <c r="U414" s="11">
        <v>0.112</v>
      </c>
      <c r="V414" s="15">
        <f t="shared" si="93"/>
        <v>0</v>
      </c>
      <c r="W414" s="11">
        <f t="shared" si="94"/>
        <v>0.32765602968734037</v>
      </c>
      <c r="X414" s="17">
        <f t="shared" si="95"/>
        <v>1384.36</v>
      </c>
      <c r="Y414" s="17">
        <f t="shared" si="96"/>
        <v>674.64560000000006</v>
      </c>
      <c r="Z414" s="17">
        <f t="shared" si="97"/>
        <v>2059.0056</v>
      </c>
      <c r="AA414" s="17" t="str">
        <f t="shared" si="98"/>
        <v>Q1-2023</v>
      </c>
      <c r="AB414" s="12" t="str">
        <f t="shared" si="99"/>
        <v>Mar-2023</v>
      </c>
      <c r="AC414" s="12" t="str">
        <f t="shared" si="100"/>
        <v>Medium</v>
      </c>
      <c r="AD414">
        <v>2</v>
      </c>
      <c r="AE414" s="12">
        <f>_xlfn.MINIFS(Table1[MonthDate], Table1[Country], Table1[[#This Row],[Country]])</f>
        <v>44927</v>
      </c>
      <c r="AF414" s="12">
        <f t="shared" si="101"/>
        <v>44986</v>
      </c>
      <c r="AG414">
        <f>AD414*(1 + Scenario_Control!$B$4)</f>
        <v>2.2000000000000002</v>
      </c>
      <c r="AH414">
        <f>O414*(1 + Scenario_Control!$B$3)</f>
        <v>726.78899999999999</v>
      </c>
      <c r="AI414">
        <f t="shared" si="102"/>
        <v>452.98123200000003</v>
      </c>
      <c r="AJ414">
        <f t="shared" si="103"/>
        <v>-1145.9545680000001</v>
      </c>
      <c r="AK414" s="29">
        <f>MIN(Q414*(1-U414), Scenario_Control!$B$2*Q414)</f>
        <v>231.87</v>
      </c>
      <c r="AL414" s="15">
        <f t="shared" si="104"/>
        <v>0</v>
      </c>
      <c r="AM414" s="8">
        <f>DATEDIF(Table1[[#This Row],[Country_FirstMonth]], Table1[[#This Row],[MonthDate]], "m")</f>
        <v>2</v>
      </c>
    </row>
    <row r="415" spans="1:39" x14ac:dyDescent="0.25">
      <c r="A415" t="s">
        <v>427</v>
      </c>
      <c r="B415" s="12">
        <v>45163</v>
      </c>
      <c r="C415" s="12">
        <f t="shared" si="90"/>
        <v>45185</v>
      </c>
      <c r="D415" s="2" t="str">
        <f>IF(Table1[[#This Row],[RequiredDate]]&lt;Table1[[#This Row],[OrderDate]],"Check","OK")</f>
        <v>OK</v>
      </c>
      <c r="E415" s="2">
        <v>45185</v>
      </c>
      <c r="F415" s="15">
        <f t="shared" si="91"/>
        <v>22</v>
      </c>
      <c r="G415" t="s">
        <v>646</v>
      </c>
      <c r="H415" t="s">
        <v>651</v>
      </c>
      <c r="I415" t="s">
        <v>669</v>
      </c>
      <c r="J415" t="s">
        <v>701</v>
      </c>
      <c r="K415" t="s">
        <v>709</v>
      </c>
      <c r="L415" t="s">
        <v>716</v>
      </c>
      <c r="M415" t="s">
        <v>730</v>
      </c>
      <c r="N415" t="s">
        <v>1146</v>
      </c>
      <c r="O415" s="29">
        <v>1196.83</v>
      </c>
      <c r="P415" t="str">
        <f>IF(Table1[[#This Row],[UnitPrice]]&lt;=0,"Check","OK")</f>
        <v>OK</v>
      </c>
      <c r="Q415" s="29">
        <f t="shared" si="92"/>
        <v>2513.5100000000002</v>
      </c>
      <c r="R415">
        <v>2513.5100000000002</v>
      </c>
      <c r="S415" s="5">
        <f>IF(Table1[[#This Row],[Discount_Flag]]="Check", MIN(MAX(Table1[[#This Row],[DiscountPct]],0),0.3), Table1[[#This Row],[DiscountPct]])</f>
        <v>8.3000000000000004E-2</v>
      </c>
      <c r="T415" t="str">
        <f>IF(OR(Table1[[#This Row],[DiscountPct]]&lt;0,Table1[[#This Row],[DiscountPct]]&gt;0.3),"Check","OK")</f>
        <v>OK</v>
      </c>
      <c r="U415" s="11">
        <v>8.3000000000000004E-2</v>
      </c>
      <c r="V415" s="15">
        <f t="shared" si="93"/>
        <v>0</v>
      </c>
      <c r="W415" s="11">
        <f t="shared" si="94"/>
        <v>0.48074281609445374</v>
      </c>
      <c r="X415" s="17">
        <f t="shared" si="95"/>
        <v>8377.81</v>
      </c>
      <c r="Y415" s="17">
        <f t="shared" si="96"/>
        <v>7756.4106900000006</v>
      </c>
      <c r="Z415" s="17">
        <f t="shared" si="97"/>
        <v>16134.22069</v>
      </c>
      <c r="AA415" s="17" t="str">
        <f t="shared" si="98"/>
        <v>Q3-2023</v>
      </c>
      <c r="AB415" s="12" t="str">
        <f t="shared" si="99"/>
        <v>Aug-2023</v>
      </c>
      <c r="AC415" s="12" t="str">
        <f t="shared" si="100"/>
        <v>High</v>
      </c>
      <c r="AD415">
        <v>7</v>
      </c>
      <c r="AE415" s="12">
        <f>_xlfn.MINIFS(Table1[MonthDate], Table1[Country], Table1[[#This Row],[Country]])</f>
        <v>44927</v>
      </c>
      <c r="AF415" s="12">
        <f t="shared" si="101"/>
        <v>45139</v>
      </c>
      <c r="AG415">
        <f>AD415*(1 + Scenario_Control!$B$4)</f>
        <v>7.7000000000000011</v>
      </c>
      <c r="AH415">
        <f>O415*(1 + Scenario_Control!$B$3)</f>
        <v>1256.6714999999999</v>
      </c>
      <c r="AI415">
        <f t="shared" si="102"/>
        <v>3549.528551800001</v>
      </c>
      <c r="AJ415">
        <f t="shared" si="103"/>
        <v>-6126.8419982000005</v>
      </c>
      <c r="AK415" s="29">
        <f>MIN(Q415*(1-U415), Scenario_Control!$B$2*Q415)</f>
        <v>502.70200000000006</v>
      </c>
      <c r="AL415" s="15">
        <f t="shared" si="104"/>
        <v>0</v>
      </c>
      <c r="AM415" s="8">
        <f>DATEDIF(Table1[[#This Row],[Country_FirstMonth]], Table1[[#This Row],[MonthDate]], "m")</f>
        <v>7</v>
      </c>
    </row>
    <row r="416" spans="1:39" x14ac:dyDescent="0.25">
      <c r="A416" t="s">
        <v>428</v>
      </c>
      <c r="B416" s="12">
        <v>45449</v>
      </c>
      <c r="C416" s="12">
        <f t="shared" si="90"/>
        <v>45467</v>
      </c>
      <c r="D416" s="2" t="str">
        <f>IF(Table1[[#This Row],[RequiredDate]]&lt;Table1[[#This Row],[OrderDate]],"Check","OK")</f>
        <v>OK</v>
      </c>
      <c r="E416" s="2">
        <v>45467</v>
      </c>
      <c r="F416" s="15">
        <f t="shared" si="91"/>
        <v>18</v>
      </c>
      <c r="G416" t="s">
        <v>647</v>
      </c>
      <c r="H416" t="s">
        <v>654</v>
      </c>
      <c r="I416" t="s">
        <v>668</v>
      </c>
      <c r="J416" t="s">
        <v>705</v>
      </c>
      <c r="K416" t="s">
        <v>711</v>
      </c>
      <c r="L416" t="s">
        <v>722</v>
      </c>
      <c r="M416" t="s">
        <v>729</v>
      </c>
      <c r="N416" t="s">
        <v>1147</v>
      </c>
      <c r="O416" s="29">
        <v>1253.25</v>
      </c>
      <c r="P416" t="str">
        <f>IF(Table1[[#This Row],[UnitPrice]]&lt;=0,"Check","OK")</f>
        <v>OK</v>
      </c>
      <c r="Q416" s="29">
        <f t="shared" si="92"/>
        <v>3087.13</v>
      </c>
      <c r="R416">
        <v>3087.13</v>
      </c>
      <c r="S416" s="5">
        <f>IF(Table1[[#This Row],[Discount_Flag]]="Check", MIN(MAX(Table1[[#This Row],[DiscountPct]],0),0.3), Table1[[#This Row],[DiscountPct]])</f>
        <v>7.1999999999999995E-2</v>
      </c>
      <c r="T416" t="str">
        <f>IF(OR(Table1[[#This Row],[DiscountPct]]&lt;0,Table1[[#This Row],[DiscountPct]]&gt;0.3),"Check","OK")</f>
        <v>OK</v>
      </c>
      <c r="U416" s="11">
        <v>7.1999999999999995E-2</v>
      </c>
      <c r="V416" s="15">
        <f t="shared" si="93"/>
        <v>0</v>
      </c>
      <c r="W416" s="11">
        <f t="shared" si="94"/>
        <v>0.562543555408064</v>
      </c>
      <c r="X416" s="17">
        <f t="shared" si="95"/>
        <v>13785.75</v>
      </c>
      <c r="Y416" s="17">
        <f t="shared" si="96"/>
        <v>17727.673040000001</v>
      </c>
      <c r="Z416" s="17">
        <f t="shared" si="97"/>
        <v>31513.423040000001</v>
      </c>
      <c r="AA416" s="17" t="str">
        <f t="shared" si="98"/>
        <v>Q2-2024</v>
      </c>
      <c r="AB416" s="12" t="str">
        <f t="shared" si="99"/>
        <v>Jun-2024</v>
      </c>
      <c r="AC416" s="12" t="str">
        <f t="shared" si="100"/>
        <v>High</v>
      </c>
      <c r="AD416">
        <v>11</v>
      </c>
      <c r="AE416" s="12">
        <f>_xlfn.MINIFS(Table1[MonthDate], Table1[Country], Table1[[#This Row],[Country]])</f>
        <v>44927</v>
      </c>
      <c r="AF416" s="12">
        <f t="shared" si="101"/>
        <v>45444</v>
      </c>
      <c r="AG416">
        <f>AD416*(1 + Scenario_Control!$B$4)</f>
        <v>12.100000000000001</v>
      </c>
      <c r="AH416">
        <f>O416*(1 + Scenario_Control!$B$3)</f>
        <v>1315.9125000000001</v>
      </c>
      <c r="AI416">
        <f t="shared" si="102"/>
        <v>6932.9530688000013</v>
      </c>
      <c r="AJ416">
        <f t="shared" si="103"/>
        <v>-8989.5881812000025</v>
      </c>
      <c r="AK416" s="29">
        <f>MIN(Q416*(1-U416), Scenario_Control!$B$2*Q416)</f>
        <v>617.42600000000004</v>
      </c>
      <c r="AL416" s="15">
        <f t="shared" si="104"/>
        <v>0</v>
      </c>
      <c r="AM416" s="8">
        <f>DATEDIF(Table1[[#This Row],[Country_FirstMonth]], Table1[[#This Row],[MonthDate]], "m")</f>
        <v>17</v>
      </c>
    </row>
    <row r="417" spans="1:39" x14ac:dyDescent="0.25">
      <c r="A417" t="s">
        <v>429</v>
      </c>
      <c r="B417" s="12">
        <v>45167</v>
      </c>
      <c r="C417" s="12">
        <f t="shared" si="90"/>
        <v>45182</v>
      </c>
      <c r="D417" s="2" t="str">
        <f>IF(Table1[[#This Row],[RequiredDate]]&lt;Table1[[#This Row],[OrderDate]],"Check","OK")</f>
        <v>OK</v>
      </c>
      <c r="E417" s="2">
        <v>45182</v>
      </c>
      <c r="F417" s="15">
        <f t="shared" si="91"/>
        <v>15</v>
      </c>
      <c r="G417" t="s">
        <v>648</v>
      </c>
      <c r="H417" t="s">
        <v>653</v>
      </c>
      <c r="I417" t="s">
        <v>688</v>
      </c>
      <c r="J417" t="s">
        <v>705</v>
      </c>
      <c r="K417" t="s">
        <v>709</v>
      </c>
      <c r="L417" t="s">
        <v>719</v>
      </c>
      <c r="M417" t="s">
        <v>728</v>
      </c>
      <c r="N417" t="s">
        <v>1148</v>
      </c>
      <c r="O417" s="29">
        <v>1287.6400000000001</v>
      </c>
      <c r="P417" t="str">
        <f>IF(Table1[[#This Row],[UnitPrice]]&lt;=0,"Check","OK")</f>
        <v>OK</v>
      </c>
      <c r="Q417" s="29">
        <f t="shared" si="92"/>
        <v>2717.15</v>
      </c>
      <c r="R417">
        <v>2717.15</v>
      </c>
      <c r="S417" s="5">
        <f>IF(Table1[[#This Row],[Discount_Flag]]="Check", MIN(MAX(Table1[[#This Row],[DiscountPct]],0),0.3), Table1[[#This Row],[DiscountPct]])</f>
        <v>3.2000000000000001E-2</v>
      </c>
      <c r="T417" t="str">
        <f>IF(OR(Table1[[#This Row],[DiscountPct]]&lt;0,Table1[[#This Row],[DiscountPct]]&gt;0.3),"Check","OK")</f>
        <v>OK</v>
      </c>
      <c r="U417" s="11">
        <v>3.2000000000000001E-2</v>
      </c>
      <c r="V417" s="15">
        <f t="shared" si="93"/>
        <v>0</v>
      </c>
      <c r="W417" s="11">
        <f t="shared" si="94"/>
        <v>0.51044049405802105</v>
      </c>
      <c r="X417" s="17">
        <f t="shared" si="95"/>
        <v>9013.4800000000014</v>
      </c>
      <c r="Y417" s="17">
        <f t="shared" si="96"/>
        <v>9397.9283999999989</v>
      </c>
      <c r="Z417" s="17">
        <f t="shared" si="97"/>
        <v>18411.4084</v>
      </c>
      <c r="AA417" s="17" t="str">
        <f t="shared" si="98"/>
        <v>Q3-2023</v>
      </c>
      <c r="AB417" s="12" t="str">
        <f t="shared" si="99"/>
        <v>Aug-2023</v>
      </c>
      <c r="AC417" s="12" t="str">
        <f t="shared" si="100"/>
        <v>High</v>
      </c>
      <c r="AD417">
        <v>7</v>
      </c>
      <c r="AE417" s="12">
        <f>_xlfn.MINIFS(Table1[MonthDate], Table1[Country], Table1[[#This Row],[Country]])</f>
        <v>44927</v>
      </c>
      <c r="AF417" s="12">
        <f t="shared" si="101"/>
        <v>45139</v>
      </c>
      <c r="AG417">
        <f>AD417*(1 + Scenario_Control!$B$4)</f>
        <v>7.7000000000000011</v>
      </c>
      <c r="AH417">
        <f>O417*(1 + Scenario_Control!$B$3)</f>
        <v>1352.0220000000002</v>
      </c>
      <c r="AI417">
        <f t="shared" si="102"/>
        <v>4050.5098480000006</v>
      </c>
      <c r="AJ417">
        <f t="shared" si="103"/>
        <v>-6360.0595520000015</v>
      </c>
      <c r="AK417" s="29">
        <f>MIN(Q417*(1-U417), Scenario_Control!$B$2*Q417)</f>
        <v>543.43000000000006</v>
      </c>
      <c r="AL417" s="15">
        <f t="shared" si="104"/>
        <v>0</v>
      </c>
      <c r="AM417" s="8">
        <f>DATEDIF(Table1[[#This Row],[Country_FirstMonth]], Table1[[#This Row],[MonthDate]], "m")</f>
        <v>7</v>
      </c>
    </row>
    <row r="418" spans="1:39" x14ac:dyDescent="0.25">
      <c r="A418" t="s">
        <v>430</v>
      </c>
      <c r="B418" s="12">
        <v>45626</v>
      </c>
      <c r="C418" s="12">
        <f t="shared" si="90"/>
        <v>45636</v>
      </c>
      <c r="D418" s="2" t="str">
        <f>IF(Table1[[#This Row],[RequiredDate]]&lt;Table1[[#This Row],[OrderDate]],"Check","OK")</f>
        <v>OK</v>
      </c>
      <c r="E418" s="2">
        <v>45636</v>
      </c>
      <c r="F418" s="15">
        <f t="shared" si="91"/>
        <v>10</v>
      </c>
      <c r="G418" t="s">
        <v>647</v>
      </c>
      <c r="H418" t="s">
        <v>654</v>
      </c>
      <c r="I418" t="s">
        <v>696</v>
      </c>
      <c r="J418" t="s">
        <v>705</v>
      </c>
      <c r="K418" t="s">
        <v>707</v>
      </c>
      <c r="L418" t="s">
        <v>721</v>
      </c>
      <c r="M418" t="s">
        <v>733</v>
      </c>
      <c r="N418" t="s">
        <v>1149</v>
      </c>
      <c r="O418" s="29">
        <v>851.49</v>
      </c>
      <c r="P418" t="str">
        <f>IF(Table1[[#This Row],[UnitPrice]]&lt;=0,"Check","OK")</f>
        <v>OK</v>
      </c>
      <c r="Q418" s="29">
        <f t="shared" si="92"/>
        <v>901.79</v>
      </c>
      <c r="R418">
        <v>901.79</v>
      </c>
      <c r="S418" s="5">
        <f>IF(Table1[[#This Row],[Discount_Flag]]="Check", MIN(MAX(Table1[[#This Row],[DiscountPct]],0),0.3), Table1[[#This Row],[DiscountPct]])</f>
        <v>0.245</v>
      </c>
      <c r="T418" t="str">
        <f>IF(OR(Table1[[#This Row],[DiscountPct]]&lt;0,Table1[[#This Row],[DiscountPct]]&gt;0.3),"Check","OK")</f>
        <v>OK</v>
      </c>
      <c r="U418" s="11">
        <v>0.245</v>
      </c>
      <c r="V418" s="15">
        <f t="shared" si="93"/>
        <v>1</v>
      </c>
      <c r="W418" s="11">
        <f t="shared" si="94"/>
        <v>-0.25062522816100341</v>
      </c>
      <c r="X418" s="17">
        <f t="shared" si="95"/>
        <v>13623.84</v>
      </c>
      <c r="Y418" s="17">
        <f t="shared" si="96"/>
        <v>-2730.2168000000001</v>
      </c>
      <c r="Z418" s="17">
        <f t="shared" si="97"/>
        <v>10893.6232</v>
      </c>
      <c r="AA418" s="17" t="str">
        <f t="shared" si="98"/>
        <v>Q4-2024</v>
      </c>
      <c r="AB418" s="12" t="str">
        <f t="shared" si="99"/>
        <v>Nov-2024</v>
      </c>
      <c r="AC418" s="12" t="str">
        <f t="shared" si="100"/>
        <v>Medium</v>
      </c>
      <c r="AD418">
        <v>16</v>
      </c>
      <c r="AE418" s="12">
        <f>_xlfn.MINIFS(Table1[MonthDate], Table1[Country], Table1[[#This Row],[Country]])</f>
        <v>44927</v>
      </c>
      <c r="AF418" s="12">
        <f t="shared" si="101"/>
        <v>45597</v>
      </c>
      <c r="AG418">
        <f>AD418*(1 + Scenario_Control!$B$4)</f>
        <v>17.600000000000001</v>
      </c>
      <c r="AH418">
        <f>O418*(1 + Scenario_Control!$B$3)</f>
        <v>894.06450000000007</v>
      </c>
      <c r="AI418">
        <f t="shared" si="102"/>
        <v>2396.5971040000004</v>
      </c>
      <c r="AJ418">
        <f t="shared" si="103"/>
        <v>-13338.938096000002</v>
      </c>
      <c r="AK418" s="29">
        <f>MIN(Q418*(1-U418), Scenario_Control!$B$2*Q418)</f>
        <v>180.358</v>
      </c>
      <c r="AL418" s="15">
        <f t="shared" si="104"/>
        <v>0</v>
      </c>
      <c r="AM418" s="8">
        <f>DATEDIF(Table1[[#This Row],[Country_FirstMonth]], Table1[[#This Row],[MonthDate]], "m")</f>
        <v>22</v>
      </c>
    </row>
    <row r="419" spans="1:39" x14ac:dyDescent="0.25">
      <c r="A419" t="s">
        <v>431</v>
      </c>
      <c r="B419" s="12">
        <v>45813</v>
      </c>
      <c r="C419" s="12">
        <f t="shared" si="90"/>
        <v>45822</v>
      </c>
      <c r="D419" s="2" t="str">
        <f>IF(Table1[[#This Row],[RequiredDate]]&lt;Table1[[#This Row],[OrderDate]],"Check","OK")</f>
        <v>OK</v>
      </c>
      <c r="E419" s="2">
        <v>45822</v>
      </c>
      <c r="F419" s="15">
        <f t="shared" si="91"/>
        <v>9</v>
      </c>
      <c r="G419" t="s">
        <v>647</v>
      </c>
      <c r="H419" t="s">
        <v>654</v>
      </c>
      <c r="I419" t="s">
        <v>680</v>
      </c>
      <c r="J419" t="s">
        <v>703</v>
      </c>
      <c r="K419" t="s">
        <v>707</v>
      </c>
      <c r="L419" t="s">
        <v>720</v>
      </c>
      <c r="M419" t="s">
        <v>733</v>
      </c>
      <c r="N419" t="s">
        <v>1150</v>
      </c>
      <c r="O419" s="29">
        <v>618.69000000000005</v>
      </c>
      <c r="P419" t="str">
        <f>IF(Table1[[#This Row],[UnitPrice]]&lt;=0,"Check","OK")</f>
        <v>OK</v>
      </c>
      <c r="Q419" s="29">
        <f t="shared" si="92"/>
        <v>796.15</v>
      </c>
      <c r="R419">
        <v>796.15</v>
      </c>
      <c r="S419" s="5">
        <f>IF(Table1[[#This Row],[Discount_Flag]]="Check", MIN(MAX(Table1[[#This Row],[DiscountPct]],0),0.3), Table1[[#This Row],[DiscountPct]])</f>
        <v>0.09</v>
      </c>
      <c r="T419" t="str">
        <f>IF(OR(Table1[[#This Row],[DiscountPct]]&lt;0,Table1[[#This Row],[DiscountPct]]&gt;0.3),"Check","OK")</f>
        <v>OK</v>
      </c>
      <c r="U419" s="11">
        <v>0.09</v>
      </c>
      <c r="V419" s="15">
        <f t="shared" si="93"/>
        <v>0</v>
      </c>
      <c r="W419" s="11">
        <f t="shared" si="94"/>
        <v>0.14604142325049191</v>
      </c>
      <c r="X419" s="17">
        <f t="shared" si="95"/>
        <v>6805.59</v>
      </c>
      <c r="Y419" s="17">
        <f t="shared" si="96"/>
        <v>1163.8715000000002</v>
      </c>
      <c r="Z419" s="17">
        <f t="shared" si="97"/>
        <v>7969.4615000000003</v>
      </c>
      <c r="AA419" s="17" t="str">
        <f t="shared" si="98"/>
        <v>Q2-2025</v>
      </c>
      <c r="AB419" s="12" t="str">
        <f t="shared" si="99"/>
        <v>Jun-2025</v>
      </c>
      <c r="AC419" s="12" t="str">
        <f t="shared" si="100"/>
        <v>Medium</v>
      </c>
      <c r="AD419">
        <v>11</v>
      </c>
      <c r="AE419" s="12">
        <f>_xlfn.MINIFS(Table1[MonthDate], Table1[Country], Table1[[#This Row],[Country]])</f>
        <v>44927</v>
      </c>
      <c r="AF419" s="12">
        <f t="shared" si="101"/>
        <v>45809</v>
      </c>
      <c r="AG419">
        <f>AD419*(1 + Scenario_Control!$B$4)</f>
        <v>12.100000000000001</v>
      </c>
      <c r="AH419">
        <f>O419*(1 + Scenario_Control!$B$3)</f>
        <v>649.62450000000013</v>
      </c>
      <c r="AI419">
        <f t="shared" si="102"/>
        <v>1753.2815300000004</v>
      </c>
      <c r="AJ419">
        <f t="shared" si="103"/>
        <v>-6107.1749200000022</v>
      </c>
      <c r="AK419" s="29">
        <f>MIN(Q419*(1-U419), Scenario_Control!$B$2*Q419)</f>
        <v>159.23000000000002</v>
      </c>
      <c r="AL419" s="15">
        <f t="shared" si="104"/>
        <v>0</v>
      </c>
      <c r="AM419" s="8">
        <f>DATEDIF(Table1[[#This Row],[Country_FirstMonth]], Table1[[#This Row],[MonthDate]], "m")</f>
        <v>29</v>
      </c>
    </row>
    <row r="420" spans="1:39" x14ac:dyDescent="0.25">
      <c r="A420" t="s">
        <v>432</v>
      </c>
      <c r="B420" s="12">
        <v>45730</v>
      </c>
      <c r="C420" s="12">
        <f t="shared" si="90"/>
        <v>45755</v>
      </c>
      <c r="D420" s="2" t="str">
        <f>IF(Table1[[#This Row],[RequiredDate]]&lt;Table1[[#This Row],[OrderDate]],"Check","OK")</f>
        <v>OK</v>
      </c>
      <c r="E420" s="2">
        <v>45755</v>
      </c>
      <c r="F420" s="15">
        <f t="shared" si="91"/>
        <v>25</v>
      </c>
      <c r="G420" t="s">
        <v>647</v>
      </c>
      <c r="H420" t="s">
        <v>659</v>
      </c>
      <c r="I420" t="s">
        <v>1425</v>
      </c>
      <c r="J420" t="s">
        <v>701</v>
      </c>
      <c r="K420" t="s">
        <v>710</v>
      </c>
      <c r="L420" t="s">
        <v>726</v>
      </c>
      <c r="M420" t="s">
        <v>728</v>
      </c>
      <c r="N420" t="s">
        <v>1151</v>
      </c>
      <c r="O420" s="29">
        <v>80.59</v>
      </c>
      <c r="P420" t="str">
        <f>IF(Table1[[#This Row],[UnitPrice]]&lt;=0,"Check","OK")</f>
        <v>OK</v>
      </c>
      <c r="Q420" s="29">
        <f t="shared" si="92"/>
        <v>157.82</v>
      </c>
      <c r="R420">
        <v>157.82</v>
      </c>
      <c r="S420" s="5">
        <f>IF(Table1[[#This Row],[Discount_Flag]]="Check", MIN(MAX(Table1[[#This Row],[DiscountPct]],0),0.3), Table1[[#This Row],[DiscountPct]])</f>
        <v>0.217</v>
      </c>
      <c r="T420" t="str">
        <f>IF(OR(Table1[[#This Row],[DiscountPct]]&lt;0,Table1[[#This Row],[DiscountPct]]&gt;0.3),"Check","OK")</f>
        <v>OK</v>
      </c>
      <c r="U420" s="11">
        <v>0.217</v>
      </c>
      <c r="V420" s="15">
        <f t="shared" si="93"/>
        <v>1</v>
      </c>
      <c r="W420" s="11">
        <f t="shared" si="94"/>
        <v>0.34783519967863541</v>
      </c>
      <c r="X420" s="17">
        <f t="shared" si="95"/>
        <v>483.54</v>
      </c>
      <c r="Y420" s="17">
        <f t="shared" si="96"/>
        <v>257.89835999999997</v>
      </c>
      <c r="Z420" s="17">
        <f t="shared" si="97"/>
        <v>741.43835999999999</v>
      </c>
      <c r="AA420" s="17" t="str">
        <f t="shared" si="98"/>
        <v>Q1-2025</v>
      </c>
      <c r="AB420" s="12" t="str">
        <f t="shared" si="99"/>
        <v>Mar-2025</v>
      </c>
      <c r="AC420" s="12" t="str">
        <f t="shared" si="100"/>
        <v>Low</v>
      </c>
      <c r="AD420">
        <v>6</v>
      </c>
      <c r="AE420" s="12">
        <f>_xlfn.MINIFS(Table1[MonthDate], Table1[Country], Table1[[#This Row],[Country]])</f>
        <v>44927</v>
      </c>
      <c r="AF420" s="12">
        <f t="shared" si="101"/>
        <v>45717</v>
      </c>
      <c r="AG420">
        <f>AD420*(1 + Scenario_Control!$B$4)</f>
        <v>6.6000000000000005</v>
      </c>
      <c r="AH420">
        <f>O420*(1 + Scenario_Control!$B$3)</f>
        <v>84.619500000000002</v>
      </c>
      <c r="AI420">
        <f t="shared" si="102"/>
        <v>163.11643920000003</v>
      </c>
      <c r="AJ420">
        <f t="shared" si="103"/>
        <v>-395.37226080000005</v>
      </c>
      <c r="AK420" s="29">
        <f>MIN(Q420*(1-U420), Scenario_Control!$B$2*Q420)</f>
        <v>31.564</v>
      </c>
      <c r="AL420" s="15">
        <f t="shared" si="104"/>
        <v>0</v>
      </c>
      <c r="AM420" s="8">
        <f>DATEDIF(Table1[[#This Row],[Country_FirstMonth]], Table1[[#This Row],[MonthDate]], "m")</f>
        <v>26</v>
      </c>
    </row>
    <row r="421" spans="1:39" x14ac:dyDescent="0.25">
      <c r="A421" t="s">
        <v>433</v>
      </c>
      <c r="B421" s="12">
        <v>45307</v>
      </c>
      <c r="C421" s="12">
        <f t="shared" si="90"/>
        <v>45333</v>
      </c>
      <c r="D421" s="2" t="str">
        <f>IF(Table1[[#This Row],[RequiredDate]]&lt;Table1[[#This Row],[OrderDate]],"Check","OK")</f>
        <v>OK</v>
      </c>
      <c r="E421" s="2">
        <v>45333</v>
      </c>
      <c r="F421" s="15">
        <f t="shared" si="91"/>
        <v>26</v>
      </c>
      <c r="G421" t="s">
        <v>649</v>
      </c>
      <c r="H421" t="s">
        <v>656</v>
      </c>
      <c r="I421" t="s">
        <v>698</v>
      </c>
      <c r="J421" t="s">
        <v>703</v>
      </c>
      <c r="K421" t="s">
        <v>710</v>
      </c>
      <c r="L421" t="s">
        <v>718</v>
      </c>
      <c r="M421" t="s">
        <v>732</v>
      </c>
      <c r="N421" t="s">
        <v>1152</v>
      </c>
      <c r="O421" s="29">
        <v>504.93</v>
      </c>
      <c r="P421" t="str">
        <f>IF(Table1[[#This Row],[UnitPrice]]&lt;=0,"Check","OK")</f>
        <v>OK</v>
      </c>
      <c r="Q421" s="29">
        <f t="shared" si="92"/>
        <v>819.06</v>
      </c>
      <c r="R421">
        <v>819.06</v>
      </c>
      <c r="S421" s="5">
        <f>IF(Table1[[#This Row],[Discount_Flag]]="Check", MIN(MAX(Table1[[#This Row],[DiscountPct]],0),0.3), Table1[[#This Row],[DiscountPct]])</f>
        <v>0.22600000000000001</v>
      </c>
      <c r="T421" t="str">
        <f>IF(OR(Table1[[#This Row],[DiscountPct]]&lt;0,Table1[[#This Row],[DiscountPct]]&gt;0.3),"Check","OK")</f>
        <v>OK</v>
      </c>
      <c r="U421" s="11">
        <v>0.22600000000000001</v>
      </c>
      <c r="V421" s="15">
        <f t="shared" si="93"/>
        <v>1</v>
      </c>
      <c r="W421" s="11">
        <f t="shared" si="94"/>
        <v>0.20352069312959814</v>
      </c>
      <c r="X421" s="17">
        <f t="shared" si="95"/>
        <v>7573.95</v>
      </c>
      <c r="Y421" s="17">
        <f t="shared" si="96"/>
        <v>1935.3365999999996</v>
      </c>
      <c r="Z421" s="17">
        <f t="shared" si="97"/>
        <v>9509.2865999999995</v>
      </c>
      <c r="AA421" s="17" t="str">
        <f t="shared" si="98"/>
        <v>Q1-2024</v>
      </c>
      <c r="AB421" s="12" t="str">
        <f t="shared" si="99"/>
        <v>Jan-2024</v>
      </c>
      <c r="AC421" s="12" t="str">
        <f t="shared" si="100"/>
        <v>Medium</v>
      </c>
      <c r="AD421">
        <v>15</v>
      </c>
      <c r="AE421" s="12">
        <f>_xlfn.MINIFS(Table1[MonthDate], Table1[Country], Table1[[#This Row],[Country]])</f>
        <v>44927</v>
      </c>
      <c r="AF421" s="12">
        <f t="shared" si="101"/>
        <v>45292</v>
      </c>
      <c r="AG421">
        <f>AD421*(1 + Scenario_Control!$B$4)</f>
        <v>16.5</v>
      </c>
      <c r="AH421">
        <f>O421*(1 + Scenario_Control!$B$3)</f>
        <v>530.17650000000003</v>
      </c>
      <c r="AI421">
        <f t="shared" si="102"/>
        <v>2092.043052</v>
      </c>
      <c r="AJ421">
        <f t="shared" si="103"/>
        <v>-6655.8691980000012</v>
      </c>
      <c r="AK421" s="29">
        <f>MIN(Q421*(1-U421), Scenario_Control!$B$2*Q421)</f>
        <v>163.81200000000001</v>
      </c>
      <c r="AL421" s="15">
        <f t="shared" si="104"/>
        <v>0</v>
      </c>
      <c r="AM421" s="8">
        <f>DATEDIF(Table1[[#This Row],[Country_FirstMonth]], Table1[[#This Row],[MonthDate]], "m")</f>
        <v>12</v>
      </c>
    </row>
    <row r="422" spans="1:39" x14ac:dyDescent="0.25">
      <c r="A422" t="s">
        <v>434</v>
      </c>
      <c r="B422" s="12">
        <v>45211</v>
      </c>
      <c r="C422" s="12">
        <f t="shared" si="90"/>
        <v>45228</v>
      </c>
      <c r="D422" s="2" t="str">
        <f>IF(Table1[[#This Row],[RequiredDate]]&lt;Table1[[#This Row],[OrderDate]],"Check","OK")</f>
        <v>OK</v>
      </c>
      <c r="E422" s="2">
        <v>45228</v>
      </c>
      <c r="F422" s="15">
        <f t="shared" si="91"/>
        <v>17</v>
      </c>
      <c r="G422" t="s">
        <v>647</v>
      </c>
      <c r="H422" t="s">
        <v>652</v>
      </c>
      <c r="I422" t="s">
        <v>694</v>
      </c>
      <c r="J422" t="s">
        <v>703</v>
      </c>
      <c r="K422" t="s">
        <v>711</v>
      </c>
      <c r="L422" t="s">
        <v>722</v>
      </c>
      <c r="M422" t="s">
        <v>730</v>
      </c>
      <c r="N422" t="s">
        <v>1153</v>
      </c>
      <c r="O422" s="29">
        <v>1102.19</v>
      </c>
      <c r="P422" t="str">
        <f>IF(Table1[[#This Row],[UnitPrice]]&lt;=0,"Check","OK")</f>
        <v>OK</v>
      </c>
      <c r="Q422" s="29">
        <f t="shared" si="92"/>
        <v>1711.16</v>
      </c>
      <c r="R422">
        <v>1711.16</v>
      </c>
      <c r="S422" s="5">
        <f>IF(Table1[[#This Row],[Discount_Flag]]="Check", MIN(MAX(Table1[[#This Row],[DiscountPct]],0),0.3), Table1[[#This Row],[DiscountPct]])</f>
        <v>0.151</v>
      </c>
      <c r="T422" t="str">
        <f>IF(OR(Table1[[#This Row],[DiscountPct]]&lt;0,Table1[[#This Row],[DiscountPct]]&gt;0.3),"Check","OK")</f>
        <v>OK</v>
      </c>
      <c r="U422" s="11">
        <v>0.151</v>
      </c>
      <c r="V422" s="15">
        <f t="shared" si="93"/>
        <v>0</v>
      </c>
      <c r="W422" s="11">
        <f t="shared" si="94"/>
        <v>0.24132083675127525</v>
      </c>
      <c r="X422" s="17">
        <f t="shared" si="95"/>
        <v>11021.900000000001</v>
      </c>
      <c r="Y422" s="17">
        <f t="shared" si="96"/>
        <v>3505.8484000000008</v>
      </c>
      <c r="Z422" s="17">
        <f t="shared" si="97"/>
        <v>14527.748400000002</v>
      </c>
      <c r="AA422" s="17" t="str">
        <f t="shared" si="98"/>
        <v>Q4-2023</v>
      </c>
      <c r="AB422" s="12" t="str">
        <f t="shared" si="99"/>
        <v>Oct-2023</v>
      </c>
      <c r="AC422" s="12" t="str">
        <f t="shared" si="100"/>
        <v>Medium</v>
      </c>
      <c r="AD422">
        <v>10</v>
      </c>
      <c r="AE422" s="12">
        <f>_xlfn.MINIFS(Table1[MonthDate], Table1[Country], Table1[[#This Row],[Country]])</f>
        <v>44986</v>
      </c>
      <c r="AF422" s="12">
        <f t="shared" si="101"/>
        <v>45200</v>
      </c>
      <c r="AG422">
        <f>AD422*(1 + Scenario_Control!$B$4)</f>
        <v>11</v>
      </c>
      <c r="AH422">
        <f>O422*(1 + Scenario_Control!$B$3)</f>
        <v>1157.2995000000001</v>
      </c>
      <c r="AI422">
        <f t="shared" si="102"/>
        <v>3196.104648</v>
      </c>
      <c r="AJ422">
        <f t="shared" si="103"/>
        <v>-9534.1898519999995</v>
      </c>
      <c r="AK422" s="29">
        <f>MIN(Q422*(1-U422), Scenario_Control!$B$2*Q422)</f>
        <v>342.23200000000003</v>
      </c>
      <c r="AL422" s="15">
        <f t="shared" si="104"/>
        <v>0</v>
      </c>
      <c r="AM422" s="8">
        <f>DATEDIF(Table1[[#This Row],[Country_FirstMonth]], Table1[[#This Row],[MonthDate]], "m")</f>
        <v>7</v>
      </c>
    </row>
    <row r="423" spans="1:39" x14ac:dyDescent="0.25">
      <c r="A423" t="s">
        <v>435</v>
      </c>
      <c r="B423" s="12">
        <v>45713</v>
      </c>
      <c r="C423" s="12">
        <f t="shared" si="90"/>
        <v>45733</v>
      </c>
      <c r="D423" s="2" t="str">
        <f>IF(Table1[[#This Row],[RequiredDate]]&lt;Table1[[#This Row],[OrderDate]],"Check","OK")</f>
        <v>OK</v>
      </c>
      <c r="E423" s="2">
        <v>45733</v>
      </c>
      <c r="F423" s="15">
        <f t="shared" si="91"/>
        <v>20</v>
      </c>
      <c r="G423" t="s">
        <v>648</v>
      </c>
      <c r="H423" t="s">
        <v>660</v>
      </c>
      <c r="I423" t="s">
        <v>686</v>
      </c>
      <c r="J423" t="s">
        <v>703</v>
      </c>
      <c r="K423" t="s">
        <v>709</v>
      </c>
      <c r="L423" t="s">
        <v>722</v>
      </c>
      <c r="M423" t="s">
        <v>730</v>
      </c>
      <c r="N423" t="s">
        <v>1154</v>
      </c>
      <c r="O423" s="29">
        <v>1205.26</v>
      </c>
      <c r="P423" t="str">
        <f>IF(Table1[[#This Row],[UnitPrice]]&lt;=0,"Check","OK")</f>
        <v>OK</v>
      </c>
      <c r="Q423" s="29">
        <f t="shared" si="92"/>
        <v>1696.35</v>
      </c>
      <c r="R423">
        <v>1696.35</v>
      </c>
      <c r="S423" s="5">
        <f>IF(Table1[[#This Row],[Discount_Flag]]="Check", MIN(MAX(Table1[[#This Row],[DiscountPct]],0),0.3), Table1[[#This Row],[DiscountPct]])</f>
        <v>1.9E-2</v>
      </c>
      <c r="T423" t="str">
        <f>IF(OR(Table1[[#This Row],[DiscountPct]]&lt;0,Table1[[#This Row],[DiscountPct]]&gt;0.3),"Check","OK")</f>
        <v>OK</v>
      </c>
      <c r="U423" s="11">
        <v>1.9E-2</v>
      </c>
      <c r="V423" s="15">
        <f t="shared" si="93"/>
        <v>0</v>
      </c>
      <c r="W423" s="11">
        <f t="shared" si="94"/>
        <v>0.27573704374028213</v>
      </c>
      <c r="X423" s="17">
        <f t="shared" si="95"/>
        <v>7231.5599999999995</v>
      </c>
      <c r="Y423" s="17">
        <f t="shared" si="96"/>
        <v>2753.1560999999983</v>
      </c>
      <c r="Z423" s="17">
        <f t="shared" si="97"/>
        <v>9984.7160999999978</v>
      </c>
      <c r="AA423" s="17" t="str">
        <f t="shared" si="98"/>
        <v>Q1-2025</v>
      </c>
      <c r="AB423" s="12" t="str">
        <f t="shared" si="99"/>
        <v>Feb-2025</v>
      </c>
      <c r="AC423" s="12" t="str">
        <f t="shared" si="100"/>
        <v>Medium</v>
      </c>
      <c r="AD423">
        <v>6</v>
      </c>
      <c r="AE423" s="12">
        <f>_xlfn.MINIFS(Table1[MonthDate], Table1[Country], Table1[[#This Row],[Country]])</f>
        <v>44927</v>
      </c>
      <c r="AF423" s="12">
        <f t="shared" si="101"/>
        <v>45689</v>
      </c>
      <c r="AG423">
        <f>AD423*(1 + Scenario_Control!$B$4)</f>
        <v>6.6000000000000005</v>
      </c>
      <c r="AH423">
        <f>O423*(1 + Scenario_Control!$B$3)</f>
        <v>1265.5230000000001</v>
      </c>
      <c r="AI423">
        <f t="shared" si="102"/>
        <v>2196.6375420000004</v>
      </c>
      <c r="AJ423">
        <f t="shared" si="103"/>
        <v>-6155.8142580000003</v>
      </c>
      <c r="AK423" s="29">
        <f>MIN(Q423*(1-U423), Scenario_Control!$B$2*Q423)</f>
        <v>339.27</v>
      </c>
      <c r="AL423" s="15">
        <f t="shared" si="104"/>
        <v>0</v>
      </c>
      <c r="AM423" s="8">
        <f>DATEDIF(Table1[[#This Row],[Country_FirstMonth]], Table1[[#This Row],[MonthDate]], "m")</f>
        <v>25</v>
      </c>
    </row>
    <row r="424" spans="1:39" x14ac:dyDescent="0.25">
      <c r="A424" t="s">
        <v>436</v>
      </c>
      <c r="B424" s="12">
        <v>45841</v>
      </c>
      <c r="C424" s="12">
        <f t="shared" si="90"/>
        <v>45844</v>
      </c>
      <c r="D424" s="2" t="str">
        <f>IF(Table1[[#This Row],[RequiredDate]]&lt;Table1[[#This Row],[OrderDate]],"Check","OK")</f>
        <v>OK</v>
      </c>
      <c r="E424" s="2">
        <v>45844</v>
      </c>
      <c r="F424" s="15">
        <f t="shared" si="91"/>
        <v>3</v>
      </c>
      <c r="G424" t="s">
        <v>646</v>
      </c>
      <c r="H424" t="s">
        <v>651</v>
      </c>
      <c r="I424" t="s">
        <v>665</v>
      </c>
      <c r="J424" t="s">
        <v>704</v>
      </c>
      <c r="K424" t="s">
        <v>708</v>
      </c>
      <c r="L424" t="s">
        <v>1430</v>
      </c>
      <c r="M424" t="s">
        <v>731</v>
      </c>
      <c r="N424" t="s">
        <v>1155</v>
      </c>
      <c r="O424" s="29">
        <v>1313.3</v>
      </c>
      <c r="P424" t="str">
        <f>IF(Table1[[#This Row],[UnitPrice]]&lt;=0,"Check","OK")</f>
        <v>OK</v>
      </c>
      <c r="Q424" s="29">
        <f t="shared" si="92"/>
        <v>2884.34</v>
      </c>
      <c r="R424">
        <v>2884.34</v>
      </c>
      <c r="S424" s="5">
        <f>IF(Table1[[#This Row],[Discount_Flag]]="Check", MIN(MAX(Table1[[#This Row],[DiscountPct]],0),0.3), Table1[[#This Row],[DiscountPct]])</f>
        <v>0.157</v>
      </c>
      <c r="T424" t="str">
        <f>IF(OR(Table1[[#This Row],[DiscountPct]]&lt;0,Table1[[#This Row],[DiscountPct]]&gt;0.3),"Check","OK")</f>
        <v>OK</v>
      </c>
      <c r="U424" s="11">
        <v>0.157</v>
      </c>
      <c r="V424" s="15">
        <f t="shared" si="93"/>
        <v>0</v>
      </c>
      <c r="W424" s="11">
        <f t="shared" si="94"/>
        <v>0.45988042551305253</v>
      </c>
      <c r="X424" s="17">
        <f t="shared" si="95"/>
        <v>55158.6</v>
      </c>
      <c r="Y424" s="17">
        <f t="shared" si="96"/>
        <v>46964.342039999996</v>
      </c>
      <c r="Z424" s="17">
        <f t="shared" si="97"/>
        <v>102122.94203999999</v>
      </c>
      <c r="AA424" s="17" t="str">
        <f t="shared" si="98"/>
        <v>Q3-2025</v>
      </c>
      <c r="AB424" s="12" t="str">
        <f t="shared" si="99"/>
        <v>Jul-2025</v>
      </c>
      <c r="AC424" s="12" t="str">
        <f t="shared" si="100"/>
        <v>High</v>
      </c>
      <c r="AD424">
        <v>42</v>
      </c>
      <c r="AE424" s="12">
        <f>_xlfn.MINIFS(Table1[MonthDate], Table1[Country], Table1[[#This Row],[Country]])</f>
        <v>44927</v>
      </c>
      <c r="AF424" s="12">
        <f t="shared" si="101"/>
        <v>45839</v>
      </c>
      <c r="AG424">
        <f>AD424*(1 + Scenario_Control!$B$4)</f>
        <v>46.2</v>
      </c>
      <c r="AH424">
        <f>O424*(1 + Scenario_Control!$B$3)</f>
        <v>1378.9649999999999</v>
      </c>
      <c r="AI424">
        <f t="shared" si="102"/>
        <v>22467.047248800001</v>
      </c>
      <c r="AJ424">
        <f t="shared" si="103"/>
        <v>-41241.135751199996</v>
      </c>
      <c r="AK424" s="29">
        <f>MIN(Q424*(1-U424), Scenario_Control!$B$2*Q424)</f>
        <v>576.86800000000005</v>
      </c>
      <c r="AL424" s="15">
        <f t="shared" si="104"/>
        <v>1</v>
      </c>
      <c r="AM424" s="8">
        <f>DATEDIF(Table1[[#This Row],[Country_FirstMonth]], Table1[[#This Row],[MonthDate]], "m")</f>
        <v>30</v>
      </c>
    </row>
    <row r="425" spans="1:39" x14ac:dyDescent="0.25">
      <c r="A425" t="s">
        <v>437</v>
      </c>
      <c r="B425" s="12">
        <v>45915</v>
      </c>
      <c r="C425" s="12">
        <f t="shared" si="90"/>
        <v>45925</v>
      </c>
      <c r="D425" s="2" t="str">
        <f>IF(Table1[[#This Row],[RequiredDate]]&lt;Table1[[#This Row],[OrderDate]],"Check","OK")</f>
        <v>OK</v>
      </c>
      <c r="E425" s="2">
        <v>45925</v>
      </c>
      <c r="F425" s="15">
        <f t="shared" si="91"/>
        <v>10</v>
      </c>
      <c r="G425" t="s">
        <v>647</v>
      </c>
      <c r="H425" t="s">
        <v>654</v>
      </c>
      <c r="I425" t="s">
        <v>680</v>
      </c>
      <c r="J425" t="s">
        <v>704</v>
      </c>
      <c r="K425" t="s">
        <v>707</v>
      </c>
      <c r="L425" t="s">
        <v>720</v>
      </c>
      <c r="M425" t="s">
        <v>730</v>
      </c>
      <c r="N425" t="s">
        <v>1156</v>
      </c>
      <c r="O425" s="29">
        <v>1488.91</v>
      </c>
      <c r="P425" t="str">
        <f>IF(Table1[[#This Row],[UnitPrice]]&lt;=0,"Check","OK")</f>
        <v>OK</v>
      </c>
      <c r="Q425" s="29">
        <f t="shared" si="92"/>
        <v>1483.74</v>
      </c>
      <c r="R425">
        <v>1483.74</v>
      </c>
      <c r="S425" s="5">
        <f>IF(Table1[[#This Row],[Discount_Flag]]="Check", MIN(MAX(Table1[[#This Row],[DiscountPct]],0),0.3), Table1[[#This Row],[DiscountPct]])</f>
        <v>0.16800000000000001</v>
      </c>
      <c r="T425" t="str">
        <f>IF(OR(Table1[[#This Row],[DiscountPct]]&lt;0,Table1[[#This Row],[DiscountPct]]&gt;0.3),"Check","OK")</f>
        <v>OK</v>
      </c>
      <c r="U425" s="11">
        <v>0.16800000000000001</v>
      </c>
      <c r="V425" s="15">
        <f t="shared" si="93"/>
        <v>0</v>
      </c>
      <c r="W425" s="11">
        <f t="shared" si="94"/>
        <v>-0.20611110333450519</v>
      </c>
      <c r="X425" s="17">
        <f t="shared" si="95"/>
        <v>35733.840000000004</v>
      </c>
      <c r="Y425" s="17">
        <f t="shared" si="96"/>
        <v>-6106.5196800000049</v>
      </c>
      <c r="Z425" s="17">
        <f t="shared" si="97"/>
        <v>29627.320319999999</v>
      </c>
      <c r="AA425" s="17" t="str">
        <f t="shared" si="98"/>
        <v>Q3-2025</v>
      </c>
      <c r="AB425" s="12" t="str">
        <f t="shared" si="99"/>
        <v>Sept-2025</v>
      </c>
      <c r="AC425" s="12" t="str">
        <f t="shared" si="100"/>
        <v>Medium</v>
      </c>
      <c r="AD425">
        <v>24</v>
      </c>
      <c r="AE425" s="12">
        <f>_xlfn.MINIFS(Table1[MonthDate], Table1[Country], Table1[[#This Row],[Country]])</f>
        <v>44927</v>
      </c>
      <c r="AF425" s="12">
        <f t="shared" si="101"/>
        <v>45901</v>
      </c>
      <c r="AG425">
        <f>AD425*(1 + Scenario_Control!$B$4)</f>
        <v>26.400000000000002</v>
      </c>
      <c r="AH425">
        <f>O425*(1 + Scenario_Control!$B$3)</f>
        <v>1563.3555000000001</v>
      </c>
      <c r="AI425">
        <f t="shared" si="102"/>
        <v>6518.0104703999996</v>
      </c>
      <c r="AJ425">
        <f t="shared" si="103"/>
        <v>-34754.574729600012</v>
      </c>
      <c r="AK425" s="29">
        <f>MIN(Q425*(1-U425), Scenario_Control!$B$2*Q425)</f>
        <v>296.74799999999999</v>
      </c>
      <c r="AL425" s="15">
        <f t="shared" si="104"/>
        <v>0</v>
      </c>
      <c r="AM425" s="8">
        <f>DATEDIF(Table1[[#This Row],[Country_FirstMonth]], Table1[[#This Row],[MonthDate]], "m")</f>
        <v>32</v>
      </c>
    </row>
    <row r="426" spans="1:39" x14ac:dyDescent="0.25">
      <c r="A426" t="s">
        <v>438</v>
      </c>
      <c r="B426" s="12">
        <v>45341</v>
      </c>
      <c r="C426" s="12">
        <f t="shared" si="90"/>
        <v>45357</v>
      </c>
      <c r="D426" s="2" t="str">
        <f>IF(Table1[[#This Row],[RequiredDate]]&lt;Table1[[#This Row],[OrderDate]],"Check","OK")</f>
        <v>OK</v>
      </c>
      <c r="E426" s="2">
        <v>45357</v>
      </c>
      <c r="F426" s="15">
        <f t="shared" si="91"/>
        <v>16</v>
      </c>
      <c r="G426" t="s">
        <v>647</v>
      </c>
      <c r="H426" t="s">
        <v>659</v>
      </c>
      <c r="I426" t="s">
        <v>699</v>
      </c>
      <c r="J426" t="s">
        <v>702</v>
      </c>
      <c r="K426" t="s">
        <v>709</v>
      </c>
      <c r="L426" t="s">
        <v>719</v>
      </c>
      <c r="M426" t="s">
        <v>728</v>
      </c>
      <c r="N426" t="s">
        <v>1157</v>
      </c>
      <c r="O426" s="29">
        <v>1477.84</v>
      </c>
      <c r="P426" t="str">
        <f>IF(Table1[[#This Row],[UnitPrice]]&lt;=0,"Check","OK")</f>
        <v>OK</v>
      </c>
      <c r="Q426" s="29">
        <f t="shared" si="92"/>
        <v>3197.47</v>
      </c>
      <c r="R426">
        <v>3197.47</v>
      </c>
      <c r="S426" s="5">
        <f>IF(Table1[[#This Row],[Discount_Flag]]="Check", MIN(MAX(Table1[[#This Row],[DiscountPct]],0),0.3), Table1[[#This Row],[DiscountPct]])</f>
        <v>0.24299999999999999</v>
      </c>
      <c r="T426" t="str">
        <f>IF(OR(Table1[[#This Row],[DiscountPct]]&lt;0,Table1[[#This Row],[DiscountPct]]&gt;0.3),"Check","OK")</f>
        <v>OK</v>
      </c>
      <c r="U426" s="11">
        <v>0.24299999999999999</v>
      </c>
      <c r="V426" s="15">
        <f t="shared" si="93"/>
        <v>1</v>
      </c>
      <c r="W426" s="11">
        <f t="shared" si="94"/>
        <v>0.38944462443823091</v>
      </c>
      <c r="X426" s="17">
        <f t="shared" si="95"/>
        <v>35468.159999999996</v>
      </c>
      <c r="Y426" s="17">
        <f t="shared" si="96"/>
        <v>22623.474960000007</v>
      </c>
      <c r="Z426" s="17">
        <f t="shared" si="97"/>
        <v>58091.634960000003</v>
      </c>
      <c r="AA426" s="17" t="str">
        <f t="shared" si="98"/>
        <v>Q1-2024</v>
      </c>
      <c r="AB426" s="12" t="str">
        <f t="shared" si="99"/>
        <v>Feb-2024</v>
      </c>
      <c r="AC426" s="12" t="str">
        <f t="shared" si="100"/>
        <v>High</v>
      </c>
      <c r="AD426">
        <v>24</v>
      </c>
      <c r="AE426" s="12">
        <f>_xlfn.MINIFS(Table1[MonthDate], Table1[Country], Table1[[#This Row],[Country]])</f>
        <v>44927</v>
      </c>
      <c r="AF426" s="12">
        <f t="shared" si="101"/>
        <v>45323</v>
      </c>
      <c r="AG426">
        <f>AD426*(1 + Scenario_Control!$B$4)</f>
        <v>26.400000000000002</v>
      </c>
      <c r="AH426">
        <f>O426*(1 + Scenario_Control!$B$3)</f>
        <v>1551.732</v>
      </c>
      <c r="AI426">
        <f t="shared" si="102"/>
        <v>12780.159691200002</v>
      </c>
      <c r="AJ426">
        <f t="shared" si="103"/>
        <v>-28185.565108800001</v>
      </c>
      <c r="AK426" s="29">
        <f>MIN(Q426*(1-U426), Scenario_Control!$B$2*Q426)</f>
        <v>639.49400000000003</v>
      </c>
      <c r="AL426" s="15">
        <f t="shared" si="104"/>
        <v>0</v>
      </c>
      <c r="AM426" s="8">
        <f>DATEDIF(Table1[[#This Row],[Country_FirstMonth]], Table1[[#This Row],[MonthDate]], "m")</f>
        <v>13</v>
      </c>
    </row>
    <row r="427" spans="1:39" x14ac:dyDescent="0.25">
      <c r="A427" t="s">
        <v>439</v>
      </c>
      <c r="B427" s="12">
        <v>45349</v>
      </c>
      <c r="C427" s="12">
        <f t="shared" si="90"/>
        <v>45377</v>
      </c>
      <c r="D427" s="2" t="str">
        <f>IF(Table1[[#This Row],[RequiredDate]]&lt;Table1[[#This Row],[OrderDate]],"Check","OK")</f>
        <v>OK</v>
      </c>
      <c r="E427" s="2">
        <v>45377</v>
      </c>
      <c r="F427" s="15">
        <f t="shared" si="91"/>
        <v>28</v>
      </c>
      <c r="G427" t="s">
        <v>647</v>
      </c>
      <c r="H427" t="s">
        <v>654</v>
      </c>
      <c r="I427" t="s">
        <v>691</v>
      </c>
      <c r="J427" t="s">
        <v>702</v>
      </c>
      <c r="K427" t="s">
        <v>709</v>
      </c>
      <c r="L427" t="s">
        <v>715</v>
      </c>
      <c r="M427" t="s">
        <v>731</v>
      </c>
      <c r="N427" t="s">
        <v>1158</v>
      </c>
      <c r="O427" s="29">
        <v>1035.19</v>
      </c>
      <c r="P427" t="str">
        <f>IF(Table1[[#This Row],[UnitPrice]]&lt;=0,"Check","OK")</f>
        <v>OK</v>
      </c>
      <c r="Q427" s="29">
        <f t="shared" si="92"/>
        <v>2322.6999999999998</v>
      </c>
      <c r="R427">
        <v>2322.6999999999998</v>
      </c>
      <c r="S427" s="5">
        <f>IF(Table1[[#This Row],[Discount_Flag]]="Check", MIN(MAX(Table1[[#This Row],[DiscountPct]],0),0.3), Table1[[#This Row],[DiscountPct]])</f>
        <v>0.17299999999999999</v>
      </c>
      <c r="T427" t="str">
        <f>IF(OR(Table1[[#This Row],[DiscountPct]]&lt;0,Table1[[#This Row],[DiscountPct]]&gt;0.3),"Check","OK")</f>
        <v>OK</v>
      </c>
      <c r="U427" s="11">
        <v>0.17299999999999999</v>
      </c>
      <c r="V427" s="15">
        <f t="shared" si="93"/>
        <v>0</v>
      </c>
      <c r="W427" s="11">
        <f t="shared" si="94"/>
        <v>0.46108355217047409</v>
      </c>
      <c r="X427" s="17">
        <f t="shared" si="95"/>
        <v>8281.52</v>
      </c>
      <c r="Y427" s="17">
        <f t="shared" si="96"/>
        <v>7085.4631999999983</v>
      </c>
      <c r="Z427" s="17">
        <f t="shared" si="97"/>
        <v>15366.983199999999</v>
      </c>
      <c r="AA427" s="17" t="str">
        <f t="shared" si="98"/>
        <v>Q1-2024</v>
      </c>
      <c r="AB427" s="12" t="str">
        <f t="shared" si="99"/>
        <v>Feb-2024</v>
      </c>
      <c r="AC427" s="12" t="str">
        <f t="shared" si="100"/>
        <v>High</v>
      </c>
      <c r="AD427">
        <v>8</v>
      </c>
      <c r="AE427" s="12">
        <f>_xlfn.MINIFS(Table1[MonthDate], Table1[Country], Table1[[#This Row],[Country]])</f>
        <v>44927</v>
      </c>
      <c r="AF427" s="12">
        <f t="shared" si="101"/>
        <v>45323</v>
      </c>
      <c r="AG427">
        <f>AD427*(1 + Scenario_Control!$B$4)</f>
        <v>8.8000000000000007</v>
      </c>
      <c r="AH427">
        <f>O427*(1 + Scenario_Control!$B$3)</f>
        <v>1086.9495000000002</v>
      </c>
      <c r="AI427">
        <f t="shared" si="102"/>
        <v>3380.736304</v>
      </c>
      <c r="AJ427">
        <f t="shared" si="103"/>
        <v>-6184.4192960000019</v>
      </c>
      <c r="AK427" s="29">
        <f>MIN(Q427*(1-U427), Scenario_Control!$B$2*Q427)</f>
        <v>464.53999999999996</v>
      </c>
      <c r="AL427" s="15">
        <f t="shared" si="104"/>
        <v>0</v>
      </c>
      <c r="AM427" s="8">
        <f>DATEDIF(Table1[[#This Row],[Country_FirstMonth]], Table1[[#This Row],[MonthDate]], "m")</f>
        <v>13</v>
      </c>
    </row>
    <row r="428" spans="1:39" x14ac:dyDescent="0.25">
      <c r="A428" t="s">
        <v>440</v>
      </c>
      <c r="B428" s="12">
        <v>45897</v>
      </c>
      <c r="C428" s="12">
        <f t="shared" si="90"/>
        <v>45905</v>
      </c>
      <c r="D428" s="2" t="str">
        <f>IF(Table1[[#This Row],[RequiredDate]]&lt;Table1[[#This Row],[OrderDate]],"Check","OK")</f>
        <v>OK</v>
      </c>
      <c r="E428" s="2">
        <v>45905</v>
      </c>
      <c r="F428" s="15">
        <f t="shared" si="91"/>
        <v>8</v>
      </c>
      <c r="G428" t="s">
        <v>646</v>
      </c>
      <c r="H428" t="s">
        <v>651</v>
      </c>
      <c r="I428" t="s">
        <v>663</v>
      </c>
      <c r="J428" t="s">
        <v>705</v>
      </c>
      <c r="K428" t="s">
        <v>709</v>
      </c>
      <c r="L428" t="s">
        <v>718</v>
      </c>
      <c r="M428" t="s">
        <v>731</v>
      </c>
      <c r="N428" t="s">
        <v>1159</v>
      </c>
      <c r="O428" s="29">
        <v>1271.0999999999999</v>
      </c>
      <c r="P428" t="str">
        <f>IF(Table1[[#This Row],[UnitPrice]]&lt;=0,"Check","OK")</f>
        <v>OK</v>
      </c>
      <c r="Q428" s="29">
        <f t="shared" si="92"/>
        <v>1932.42</v>
      </c>
      <c r="R428">
        <v>1932.42</v>
      </c>
      <c r="S428" s="5">
        <f>IF(Table1[[#This Row],[Discount_Flag]]="Check", MIN(MAX(Table1[[#This Row],[DiscountPct]],0),0.3), Table1[[#This Row],[DiscountPct]])</f>
        <v>0.25</v>
      </c>
      <c r="T428" t="str">
        <f>IF(OR(Table1[[#This Row],[DiscountPct]]&lt;0,Table1[[#This Row],[DiscountPct]]&gt;0.3),"Check","OK")</f>
        <v>OK</v>
      </c>
      <c r="U428" s="11">
        <v>0.25</v>
      </c>
      <c r="V428" s="15">
        <f t="shared" si="93"/>
        <v>1</v>
      </c>
      <c r="W428" s="11">
        <f t="shared" si="94"/>
        <v>0.12296498690760807</v>
      </c>
      <c r="X428" s="17">
        <f t="shared" si="95"/>
        <v>26693.1</v>
      </c>
      <c r="Y428" s="17">
        <f t="shared" si="96"/>
        <v>3742.5149999999994</v>
      </c>
      <c r="Z428" s="17">
        <f t="shared" si="97"/>
        <v>30435.614999999998</v>
      </c>
      <c r="AA428" s="17" t="str">
        <f t="shared" si="98"/>
        <v>Q3-2025</v>
      </c>
      <c r="AB428" s="12" t="str">
        <f t="shared" si="99"/>
        <v>Aug-2025</v>
      </c>
      <c r="AC428" s="12" t="str">
        <f t="shared" si="100"/>
        <v>High</v>
      </c>
      <c r="AD428">
        <v>21</v>
      </c>
      <c r="AE428" s="12">
        <f>_xlfn.MINIFS(Table1[MonthDate], Table1[Country], Table1[[#This Row],[Country]])</f>
        <v>44927</v>
      </c>
      <c r="AF428" s="12">
        <f t="shared" si="101"/>
        <v>45870</v>
      </c>
      <c r="AG428">
        <f>AD428*(1 + Scenario_Control!$B$4)</f>
        <v>23.1</v>
      </c>
      <c r="AH428">
        <f>O428*(1 + Scenario_Control!$B$3)</f>
        <v>1334.655</v>
      </c>
      <c r="AI428">
        <f t="shared" si="102"/>
        <v>6695.8353000000006</v>
      </c>
      <c r="AJ428">
        <f t="shared" si="103"/>
        <v>-24134.695200000002</v>
      </c>
      <c r="AK428" s="29">
        <f>MIN(Q428*(1-U428), Scenario_Control!$B$2*Q428)</f>
        <v>386.48400000000004</v>
      </c>
      <c r="AL428" s="15">
        <f t="shared" si="104"/>
        <v>0</v>
      </c>
      <c r="AM428" s="8">
        <f>DATEDIF(Table1[[#This Row],[Country_FirstMonth]], Table1[[#This Row],[MonthDate]], "m")</f>
        <v>31</v>
      </c>
    </row>
    <row r="429" spans="1:39" x14ac:dyDescent="0.25">
      <c r="A429" t="s">
        <v>441</v>
      </c>
      <c r="B429" s="12">
        <v>45522</v>
      </c>
      <c r="C429" s="12">
        <f t="shared" si="90"/>
        <v>45547</v>
      </c>
      <c r="D429" s="2" t="str">
        <f>IF(Table1[[#This Row],[RequiredDate]]&lt;Table1[[#This Row],[OrderDate]],"Check","OK")</f>
        <v>OK</v>
      </c>
      <c r="E429" s="2">
        <v>45547</v>
      </c>
      <c r="F429" s="15">
        <f t="shared" si="91"/>
        <v>25</v>
      </c>
      <c r="G429" t="s">
        <v>647</v>
      </c>
      <c r="H429" t="s">
        <v>654</v>
      </c>
      <c r="I429" t="s">
        <v>691</v>
      </c>
      <c r="J429" t="s">
        <v>704</v>
      </c>
      <c r="K429" t="s">
        <v>709</v>
      </c>
      <c r="L429" t="s">
        <v>712</v>
      </c>
      <c r="M429" t="s">
        <v>730</v>
      </c>
      <c r="N429" t="s">
        <v>1160</v>
      </c>
      <c r="O429" s="29">
        <v>1154.03</v>
      </c>
      <c r="P429" t="str">
        <f>IF(Table1[[#This Row],[UnitPrice]]&lt;=0,"Check","OK")</f>
        <v>OK</v>
      </c>
      <c r="Q429" s="29">
        <f t="shared" si="92"/>
        <v>1590.36</v>
      </c>
      <c r="R429">
        <v>1590.36</v>
      </c>
      <c r="S429" s="5">
        <f>IF(Table1[[#This Row],[Discount_Flag]]="Check", MIN(MAX(Table1[[#This Row],[DiscountPct]],0),0.3), Table1[[#This Row],[DiscountPct]])</f>
        <v>0.3</v>
      </c>
      <c r="T429" t="str">
        <f>IF(OR(Table1[[#This Row],[DiscountPct]]&lt;0,Table1[[#This Row],[DiscountPct]]&gt;0.3),"Check","OK")</f>
        <v>Check</v>
      </c>
      <c r="U429" s="11">
        <v>0.314</v>
      </c>
      <c r="V429" s="15">
        <f t="shared" si="93"/>
        <v>1</v>
      </c>
      <c r="W429" s="11">
        <f t="shared" si="94"/>
        <v>-3.6629622044245191E-2</v>
      </c>
      <c r="X429" s="17">
        <f t="shared" si="95"/>
        <v>20772.54</v>
      </c>
      <c r="Y429" s="17">
        <f t="shared" si="96"/>
        <v>-734.00400000000081</v>
      </c>
      <c r="Z429" s="17">
        <f t="shared" si="97"/>
        <v>20038.536</v>
      </c>
      <c r="AA429" s="17" t="str">
        <f t="shared" si="98"/>
        <v>Q3-2024</v>
      </c>
      <c r="AB429" s="12" t="str">
        <f t="shared" si="99"/>
        <v>Aug-2024</v>
      </c>
      <c r="AC429" s="12" t="str">
        <f t="shared" si="100"/>
        <v>Medium</v>
      </c>
      <c r="AD429">
        <v>18</v>
      </c>
      <c r="AE429" s="12">
        <f>_xlfn.MINIFS(Table1[MonthDate], Table1[Country], Table1[[#This Row],[Country]])</f>
        <v>44927</v>
      </c>
      <c r="AF429" s="12">
        <f t="shared" si="101"/>
        <v>45505</v>
      </c>
      <c r="AG429">
        <f>AD429*(1 + Scenario_Control!$B$4)</f>
        <v>19.8</v>
      </c>
      <c r="AH429">
        <f>O429*(1 + Scenario_Control!$B$3)</f>
        <v>1211.7315000000001</v>
      </c>
      <c r="AI429">
        <f t="shared" si="102"/>
        <v>4320.3083615999994</v>
      </c>
      <c r="AJ429">
        <f t="shared" si="103"/>
        <v>-19671.975338400003</v>
      </c>
      <c r="AK429" s="29">
        <f>MIN(Q429*(1-U429), Scenario_Control!$B$2*Q429)</f>
        <v>318.072</v>
      </c>
      <c r="AL429" s="15">
        <f t="shared" si="104"/>
        <v>0</v>
      </c>
      <c r="AM429" s="8">
        <f>DATEDIF(Table1[[#This Row],[Country_FirstMonth]], Table1[[#This Row],[MonthDate]], "m")</f>
        <v>19</v>
      </c>
    </row>
    <row r="430" spans="1:39" x14ac:dyDescent="0.25">
      <c r="A430" t="s">
        <v>442</v>
      </c>
      <c r="B430" s="12">
        <v>45347</v>
      </c>
      <c r="C430" s="12">
        <f t="shared" si="90"/>
        <v>45360</v>
      </c>
      <c r="D430" s="2" t="str">
        <f>IF(Table1[[#This Row],[RequiredDate]]&lt;Table1[[#This Row],[OrderDate]],"Check","OK")</f>
        <v>OK</v>
      </c>
      <c r="E430" s="2">
        <v>45360</v>
      </c>
      <c r="F430" s="15">
        <f t="shared" si="91"/>
        <v>13</v>
      </c>
      <c r="G430" t="s">
        <v>649</v>
      </c>
      <c r="H430" t="s">
        <v>657</v>
      </c>
      <c r="I430" t="s">
        <v>673</v>
      </c>
      <c r="J430" t="s">
        <v>705</v>
      </c>
      <c r="K430" t="s">
        <v>710</v>
      </c>
      <c r="L430" t="s">
        <v>718</v>
      </c>
      <c r="M430" t="s">
        <v>732</v>
      </c>
      <c r="N430" t="s">
        <v>1161</v>
      </c>
      <c r="O430" s="29">
        <v>322.44</v>
      </c>
      <c r="P430" t="str">
        <f>IF(Table1[[#This Row],[UnitPrice]]&lt;=0,"Check","OK")</f>
        <v>OK</v>
      </c>
      <c r="Q430" s="29">
        <f t="shared" si="92"/>
        <v>395.61</v>
      </c>
      <c r="R430">
        <v>395.61</v>
      </c>
      <c r="S430" s="5">
        <f>IF(Table1[[#This Row],[Discount_Flag]]="Check", MIN(MAX(Table1[[#This Row],[DiscountPct]],0),0.3), Table1[[#This Row],[DiscountPct]])</f>
        <v>0</v>
      </c>
      <c r="T430" t="str">
        <f>IF(OR(Table1[[#This Row],[DiscountPct]]&lt;0,Table1[[#This Row],[DiscountPct]]&gt;0.3),"Check","OK")</f>
        <v>OK</v>
      </c>
      <c r="U430" s="11">
        <v>0</v>
      </c>
      <c r="V430" s="15">
        <f t="shared" si="93"/>
        <v>0</v>
      </c>
      <c r="W430" s="11">
        <f t="shared" si="94"/>
        <v>0.18495487980586947</v>
      </c>
      <c r="X430" s="17">
        <f t="shared" si="95"/>
        <v>10962.96</v>
      </c>
      <c r="Y430" s="17">
        <f t="shared" si="96"/>
        <v>2487.7800000000007</v>
      </c>
      <c r="Z430" s="17">
        <f t="shared" si="97"/>
        <v>13450.74</v>
      </c>
      <c r="AA430" s="17" t="str">
        <f t="shared" si="98"/>
        <v>Q1-2024</v>
      </c>
      <c r="AB430" s="12" t="str">
        <f t="shared" si="99"/>
        <v>Feb-2024</v>
      </c>
      <c r="AC430" s="12" t="str">
        <f t="shared" si="100"/>
        <v>Low</v>
      </c>
      <c r="AD430">
        <v>34</v>
      </c>
      <c r="AE430" s="12">
        <f>_xlfn.MINIFS(Table1[MonthDate], Table1[Country], Table1[[#This Row],[Country]])</f>
        <v>44927</v>
      </c>
      <c r="AF430" s="12">
        <f t="shared" si="101"/>
        <v>45323</v>
      </c>
      <c r="AG430">
        <f>AD430*(1 + Scenario_Control!$B$4)</f>
        <v>37.400000000000006</v>
      </c>
      <c r="AH430">
        <f>O430*(1 + Scenario_Control!$B$3)</f>
        <v>338.56200000000001</v>
      </c>
      <c r="AI430">
        <f t="shared" si="102"/>
        <v>2959.162800000001</v>
      </c>
      <c r="AJ430">
        <f t="shared" si="103"/>
        <v>-9703.0560000000005</v>
      </c>
      <c r="AK430" s="29">
        <f>MIN(Q430*(1-U430), Scenario_Control!$B$2*Q430)</f>
        <v>79.122000000000014</v>
      </c>
      <c r="AL430" s="15">
        <f t="shared" si="104"/>
        <v>0</v>
      </c>
      <c r="AM430" s="8">
        <f>DATEDIF(Table1[[#This Row],[Country_FirstMonth]], Table1[[#This Row],[MonthDate]], "m")</f>
        <v>13</v>
      </c>
    </row>
    <row r="431" spans="1:39" x14ac:dyDescent="0.25">
      <c r="A431" t="s">
        <v>443</v>
      </c>
      <c r="B431" s="12">
        <v>45784</v>
      </c>
      <c r="C431" s="12">
        <f t="shared" si="90"/>
        <v>45790</v>
      </c>
      <c r="D431" s="2" t="str">
        <f>IF(Table1[[#This Row],[RequiredDate]]&lt;Table1[[#This Row],[OrderDate]],"Check","OK")</f>
        <v>OK</v>
      </c>
      <c r="E431" s="2">
        <v>45790</v>
      </c>
      <c r="F431" s="15">
        <f t="shared" si="91"/>
        <v>6</v>
      </c>
      <c r="G431" t="s">
        <v>647</v>
      </c>
      <c r="H431" t="s">
        <v>654</v>
      </c>
      <c r="I431" t="s">
        <v>668</v>
      </c>
      <c r="J431" t="s">
        <v>706</v>
      </c>
      <c r="K431" t="s">
        <v>711</v>
      </c>
      <c r="L431" t="s">
        <v>713</v>
      </c>
      <c r="M431" t="s">
        <v>730</v>
      </c>
      <c r="N431" t="s">
        <v>1162</v>
      </c>
      <c r="O431" s="29">
        <v>935.98</v>
      </c>
      <c r="P431" t="str">
        <f>IF(Table1[[#This Row],[UnitPrice]]&lt;=0,"Check","OK")</f>
        <v>OK</v>
      </c>
      <c r="Q431" s="29">
        <f t="shared" si="92"/>
        <v>2077.69</v>
      </c>
      <c r="R431">
        <v>2077.69</v>
      </c>
      <c r="S431" s="5">
        <f>IF(Table1[[#This Row],[Discount_Flag]]="Check", MIN(MAX(Table1[[#This Row],[DiscountPct]],0),0.3), Table1[[#This Row],[DiscountPct]])</f>
        <v>0.17499999999999999</v>
      </c>
      <c r="T431" t="str">
        <f>IF(OR(Table1[[#This Row],[DiscountPct]]&lt;0,Table1[[#This Row],[DiscountPct]]&gt;0.3),"Check","OK")</f>
        <v>OK</v>
      </c>
      <c r="U431" s="11">
        <v>0.17499999999999999</v>
      </c>
      <c r="V431" s="15">
        <f t="shared" si="93"/>
        <v>0</v>
      </c>
      <c r="W431" s="11">
        <f t="shared" si="94"/>
        <v>0.45395067978321491</v>
      </c>
      <c r="X431" s="17">
        <f t="shared" si="95"/>
        <v>22463.52</v>
      </c>
      <c r="Y431" s="17">
        <f t="shared" si="96"/>
        <v>18674.741999999995</v>
      </c>
      <c r="Z431" s="17">
        <f t="shared" si="97"/>
        <v>41138.261999999995</v>
      </c>
      <c r="AA431" s="17" t="str">
        <f t="shared" si="98"/>
        <v>Q2-2025</v>
      </c>
      <c r="AB431" s="12" t="str">
        <f t="shared" si="99"/>
        <v>May-2025</v>
      </c>
      <c r="AC431" s="12" t="str">
        <f t="shared" si="100"/>
        <v>High</v>
      </c>
      <c r="AD431">
        <v>24</v>
      </c>
      <c r="AE431" s="12">
        <f>_xlfn.MINIFS(Table1[MonthDate], Table1[Country], Table1[[#This Row],[Country]])</f>
        <v>44927</v>
      </c>
      <c r="AF431" s="12">
        <f t="shared" si="101"/>
        <v>45778</v>
      </c>
      <c r="AG431">
        <f>AD431*(1 + Scenario_Control!$B$4)</f>
        <v>26.400000000000002</v>
      </c>
      <c r="AH431">
        <f>O431*(1 + Scenario_Control!$B$3)</f>
        <v>982.77900000000011</v>
      </c>
      <c r="AI431">
        <f t="shared" si="102"/>
        <v>9050.4176400000015</v>
      </c>
      <c r="AJ431">
        <f t="shared" si="103"/>
        <v>-16894.947960000005</v>
      </c>
      <c r="AK431" s="29">
        <f>MIN(Q431*(1-U431), Scenario_Control!$B$2*Q431)</f>
        <v>415.53800000000001</v>
      </c>
      <c r="AL431" s="15">
        <f t="shared" si="104"/>
        <v>1</v>
      </c>
      <c r="AM431" s="8">
        <f>DATEDIF(Table1[[#This Row],[Country_FirstMonth]], Table1[[#This Row],[MonthDate]], "m")</f>
        <v>28</v>
      </c>
    </row>
    <row r="432" spans="1:39" x14ac:dyDescent="0.25">
      <c r="A432" t="s">
        <v>444</v>
      </c>
      <c r="B432" s="12">
        <v>45597</v>
      </c>
      <c r="C432" s="12">
        <f t="shared" si="90"/>
        <v>45608</v>
      </c>
      <c r="D432" s="2" t="str">
        <f>IF(Table1[[#This Row],[RequiredDate]]&lt;Table1[[#This Row],[OrderDate]],"Check","OK")</f>
        <v>OK</v>
      </c>
      <c r="E432" s="2">
        <v>45608</v>
      </c>
      <c r="F432" s="15">
        <f t="shared" si="91"/>
        <v>11</v>
      </c>
      <c r="G432" t="s">
        <v>649</v>
      </c>
      <c r="H432" t="s">
        <v>656</v>
      </c>
      <c r="I432" t="s">
        <v>698</v>
      </c>
      <c r="J432" t="s">
        <v>704</v>
      </c>
      <c r="K432" t="s">
        <v>708</v>
      </c>
      <c r="L432" t="s">
        <v>717</v>
      </c>
      <c r="M432" t="s">
        <v>728</v>
      </c>
      <c r="N432" t="s">
        <v>1163</v>
      </c>
      <c r="O432" s="29">
        <v>599.84</v>
      </c>
      <c r="P432" t="str">
        <f>IF(Table1[[#This Row],[UnitPrice]]&lt;=0,"Check","OK")</f>
        <v>OK</v>
      </c>
      <c r="Q432" s="29">
        <f t="shared" si="92"/>
        <v>1330.85</v>
      </c>
      <c r="R432">
        <v>1330.85</v>
      </c>
      <c r="S432" s="5">
        <f>IF(Table1[[#This Row],[Discount_Flag]]="Check", MIN(MAX(Table1[[#This Row],[DiscountPct]],0),0.3), Table1[[#This Row],[DiscountPct]])</f>
        <v>0.115</v>
      </c>
      <c r="T432" t="str">
        <f>IF(OR(Table1[[#This Row],[DiscountPct]]&lt;0,Table1[[#This Row],[DiscountPct]]&gt;0.3),"Check","OK")</f>
        <v>OK</v>
      </c>
      <c r="U432" s="11">
        <v>0.115</v>
      </c>
      <c r="V432" s="15">
        <f t="shared" si="93"/>
        <v>0</v>
      </c>
      <c r="W432" s="11">
        <f t="shared" si="94"/>
        <v>0.49071246892252063</v>
      </c>
      <c r="X432" s="17">
        <f t="shared" si="95"/>
        <v>6598.2400000000007</v>
      </c>
      <c r="Y432" s="17">
        <f t="shared" si="96"/>
        <v>6357.5847499999973</v>
      </c>
      <c r="Z432" s="17">
        <f t="shared" si="97"/>
        <v>12955.824749999998</v>
      </c>
      <c r="AA432" s="17" t="str">
        <f t="shared" si="98"/>
        <v>Q4-2024</v>
      </c>
      <c r="AB432" s="12" t="str">
        <f t="shared" si="99"/>
        <v>Nov-2024</v>
      </c>
      <c r="AC432" s="12" t="str">
        <f t="shared" si="100"/>
        <v>Medium</v>
      </c>
      <c r="AD432">
        <v>11</v>
      </c>
      <c r="AE432" s="12">
        <f>_xlfn.MINIFS(Table1[MonthDate], Table1[Country], Table1[[#This Row],[Country]])</f>
        <v>44927</v>
      </c>
      <c r="AF432" s="12">
        <f t="shared" si="101"/>
        <v>45597</v>
      </c>
      <c r="AG432">
        <f>AD432*(1 + Scenario_Control!$B$4)</f>
        <v>12.100000000000001</v>
      </c>
      <c r="AH432">
        <f>O432*(1 + Scenario_Control!$B$3)</f>
        <v>629.83200000000011</v>
      </c>
      <c r="AI432">
        <f t="shared" si="102"/>
        <v>2850.2814450000005</v>
      </c>
      <c r="AJ432">
        <f t="shared" si="103"/>
        <v>-4770.6857550000013</v>
      </c>
      <c r="AK432" s="29">
        <f>MIN(Q432*(1-U432), Scenario_Control!$B$2*Q432)</f>
        <v>266.17</v>
      </c>
      <c r="AL432" s="15">
        <f t="shared" si="104"/>
        <v>0</v>
      </c>
      <c r="AM432" s="8">
        <f>DATEDIF(Table1[[#This Row],[Country_FirstMonth]], Table1[[#This Row],[MonthDate]], "m")</f>
        <v>22</v>
      </c>
    </row>
    <row r="433" spans="1:39" x14ac:dyDescent="0.25">
      <c r="A433" t="s">
        <v>445</v>
      </c>
      <c r="B433" s="12">
        <v>45654</v>
      </c>
      <c r="C433" s="12">
        <f t="shared" si="90"/>
        <v>45665</v>
      </c>
      <c r="D433" s="2" t="str">
        <f>IF(Table1[[#This Row],[RequiredDate]]&lt;Table1[[#This Row],[OrderDate]],"Check","OK")</f>
        <v>OK</v>
      </c>
      <c r="E433" s="2">
        <v>45665</v>
      </c>
      <c r="F433" s="15">
        <f t="shared" si="91"/>
        <v>11</v>
      </c>
      <c r="G433" t="s">
        <v>647</v>
      </c>
      <c r="H433" t="s">
        <v>659</v>
      </c>
      <c r="I433" t="s">
        <v>676</v>
      </c>
      <c r="J433" t="s">
        <v>706</v>
      </c>
      <c r="K433" t="s">
        <v>708</v>
      </c>
      <c r="L433" t="s">
        <v>723</v>
      </c>
      <c r="M433" t="s">
        <v>731</v>
      </c>
      <c r="N433" t="s">
        <v>1164</v>
      </c>
      <c r="O433" s="29">
        <v>1201.31</v>
      </c>
      <c r="P433" t="str">
        <f>IF(Table1[[#This Row],[UnitPrice]]&lt;=0,"Check","OK")</f>
        <v>OK</v>
      </c>
      <c r="Q433" s="29">
        <f t="shared" si="92"/>
        <v>2764.65</v>
      </c>
      <c r="R433">
        <v>2764.65</v>
      </c>
      <c r="S433" s="5">
        <f>IF(Table1[[#This Row],[Discount_Flag]]="Check", MIN(MAX(Table1[[#This Row],[DiscountPct]],0),0.3), Table1[[#This Row],[DiscountPct]])</f>
        <v>0</v>
      </c>
      <c r="T433" t="str">
        <f>IF(OR(Table1[[#This Row],[DiscountPct]]&lt;0,Table1[[#This Row],[DiscountPct]]&gt;0.3),"Check","OK")</f>
        <v>OK</v>
      </c>
      <c r="U433" s="11">
        <v>0</v>
      </c>
      <c r="V433" s="15">
        <f t="shared" si="93"/>
        <v>0</v>
      </c>
      <c r="W433" s="11">
        <f t="shared" si="94"/>
        <v>0.56547483406579491</v>
      </c>
      <c r="X433" s="17">
        <f t="shared" si="95"/>
        <v>25227.51</v>
      </c>
      <c r="Y433" s="17">
        <f t="shared" si="96"/>
        <v>32830.14</v>
      </c>
      <c r="Z433" s="17">
        <f t="shared" si="97"/>
        <v>58057.65</v>
      </c>
      <c r="AA433" s="17" t="str">
        <f t="shared" si="98"/>
        <v>Q4-2024</v>
      </c>
      <c r="AB433" s="12" t="str">
        <f t="shared" si="99"/>
        <v>Dec-2024</v>
      </c>
      <c r="AC433" s="12" t="str">
        <f t="shared" si="100"/>
        <v>High</v>
      </c>
      <c r="AD433">
        <v>21</v>
      </c>
      <c r="AE433" s="12">
        <f>_xlfn.MINIFS(Table1[MonthDate], Table1[Country], Table1[[#This Row],[Country]])</f>
        <v>44927</v>
      </c>
      <c r="AF433" s="12">
        <f t="shared" si="101"/>
        <v>45627</v>
      </c>
      <c r="AG433">
        <f>AD433*(1 + Scenario_Control!$B$4)</f>
        <v>23.1</v>
      </c>
      <c r="AH433">
        <f>O433*(1 + Scenario_Control!$B$3)</f>
        <v>1261.3755000000001</v>
      </c>
      <c r="AI433">
        <f t="shared" si="102"/>
        <v>12772.683000000003</v>
      </c>
      <c r="AJ433">
        <f t="shared" si="103"/>
        <v>-16365.091050000001</v>
      </c>
      <c r="AK433" s="29">
        <f>MIN(Q433*(1-U433), Scenario_Control!$B$2*Q433)</f>
        <v>552.93000000000006</v>
      </c>
      <c r="AL433" s="15">
        <f t="shared" si="104"/>
        <v>0</v>
      </c>
      <c r="AM433" s="8">
        <f>DATEDIF(Table1[[#This Row],[Country_FirstMonth]], Table1[[#This Row],[MonthDate]], "m")</f>
        <v>23</v>
      </c>
    </row>
    <row r="434" spans="1:39" x14ac:dyDescent="0.25">
      <c r="A434" t="s">
        <v>446</v>
      </c>
      <c r="B434" s="12">
        <v>45220</v>
      </c>
      <c r="C434" s="12">
        <f t="shared" si="90"/>
        <v>45220</v>
      </c>
      <c r="D434" s="2" t="str">
        <f>IF(Table1[[#This Row],[RequiredDate]]&lt;Table1[[#This Row],[OrderDate]],"Check","OK")</f>
        <v>OK</v>
      </c>
      <c r="E434" s="2">
        <v>45220</v>
      </c>
      <c r="F434" s="15">
        <f t="shared" si="91"/>
        <v>0</v>
      </c>
      <c r="G434" t="s">
        <v>649</v>
      </c>
      <c r="H434" t="s">
        <v>658</v>
      </c>
      <c r="I434" t="s">
        <v>693</v>
      </c>
      <c r="J434" t="s">
        <v>706</v>
      </c>
      <c r="K434" t="s">
        <v>710</v>
      </c>
      <c r="L434" t="s">
        <v>713</v>
      </c>
      <c r="M434" t="s">
        <v>732</v>
      </c>
      <c r="N434" t="s">
        <v>1165</v>
      </c>
      <c r="O434" s="29">
        <v>384.19</v>
      </c>
      <c r="P434" t="str">
        <f>IF(Table1[[#This Row],[UnitPrice]]&lt;=0,"Check","OK")</f>
        <v>OK</v>
      </c>
      <c r="Q434" s="29">
        <f t="shared" si="92"/>
        <v>278.35000000000002</v>
      </c>
      <c r="R434">
        <v>278.35000000000002</v>
      </c>
      <c r="S434" s="5">
        <f>IF(Table1[[#This Row],[Discount_Flag]]="Check", MIN(MAX(Table1[[#This Row],[DiscountPct]],0),0.3), Table1[[#This Row],[DiscountPct]])</f>
        <v>5.6000000000000001E-2</v>
      </c>
      <c r="T434" t="str">
        <f>IF(OR(Table1[[#This Row],[DiscountPct]]&lt;0,Table1[[#This Row],[DiscountPct]]&gt;0.3),"Check","OK")</f>
        <v>OK</v>
      </c>
      <c r="U434" s="11">
        <v>5.6000000000000001E-2</v>
      </c>
      <c r="V434" s="15">
        <f t="shared" si="93"/>
        <v>0</v>
      </c>
      <c r="W434" s="11">
        <f t="shared" si="94"/>
        <v>-0.46211938998882657</v>
      </c>
      <c r="X434" s="17">
        <f t="shared" si="95"/>
        <v>3841.9</v>
      </c>
      <c r="Y434" s="17">
        <f t="shared" si="96"/>
        <v>-1214.2760000000003</v>
      </c>
      <c r="Z434" s="17">
        <f t="shared" si="97"/>
        <v>2627.6239999999998</v>
      </c>
      <c r="AA434" s="17" t="str">
        <f t="shared" si="98"/>
        <v>Q4-2023</v>
      </c>
      <c r="AB434" s="12" t="str">
        <f t="shared" si="99"/>
        <v>Oct-2023</v>
      </c>
      <c r="AC434" s="12" t="str">
        <f t="shared" si="100"/>
        <v>Low</v>
      </c>
      <c r="AD434">
        <v>10</v>
      </c>
      <c r="AE434" s="12">
        <f>_xlfn.MINIFS(Table1[MonthDate], Table1[Country], Table1[[#This Row],[Country]])</f>
        <v>44927</v>
      </c>
      <c r="AF434" s="12">
        <f t="shared" si="101"/>
        <v>45200</v>
      </c>
      <c r="AG434">
        <f>AD434*(1 + Scenario_Control!$B$4)</f>
        <v>11</v>
      </c>
      <c r="AH434">
        <f>O434*(1 + Scenario_Control!$B$3)</f>
        <v>403.39949999999999</v>
      </c>
      <c r="AI434">
        <f t="shared" si="102"/>
        <v>578.07728000000009</v>
      </c>
      <c r="AJ434">
        <f t="shared" si="103"/>
        <v>-3859.3172200000004</v>
      </c>
      <c r="AK434" s="29">
        <f>MIN(Q434*(1-U434), Scenario_Control!$B$2*Q434)</f>
        <v>55.670000000000009</v>
      </c>
      <c r="AL434" s="15">
        <f t="shared" si="104"/>
        <v>1</v>
      </c>
      <c r="AM434" s="8">
        <f>DATEDIF(Table1[[#This Row],[Country_FirstMonth]], Table1[[#This Row],[MonthDate]], "m")</f>
        <v>9</v>
      </c>
    </row>
    <row r="435" spans="1:39" x14ac:dyDescent="0.25">
      <c r="A435" t="s">
        <v>447</v>
      </c>
      <c r="B435" s="12">
        <v>45636</v>
      </c>
      <c r="C435" s="12">
        <f t="shared" si="90"/>
        <v>45645</v>
      </c>
      <c r="D435" s="2" t="str">
        <f>IF(Table1[[#This Row],[RequiredDate]]&lt;Table1[[#This Row],[OrderDate]],"Check","OK")</f>
        <v>OK</v>
      </c>
      <c r="E435" s="2">
        <v>45645</v>
      </c>
      <c r="F435" s="15">
        <f t="shared" si="91"/>
        <v>9</v>
      </c>
      <c r="G435" t="s">
        <v>646</v>
      </c>
      <c r="H435" t="s">
        <v>651</v>
      </c>
      <c r="I435" t="s">
        <v>665</v>
      </c>
      <c r="J435" t="s">
        <v>701</v>
      </c>
      <c r="K435" t="s">
        <v>707</v>
      </c>
      <c r="L435" t="s">
        <v>719</v>
      </c>
      <c r="M435" t="s">
        <v>732</v>
      </c>
      <c r="N435" t="s">
        <v>1166</v>
      </c>
      <c r="O435" s="29">
        <v>488.68</v>
      </c>
      <c r="P435" t="str">
        <f>IF(Table1[[#This Row],[UnitPrice]]&lt;=0,"Check","OK")</f>
        <v>OK</v>
      </c>
      <c r="Q435" s="29">
        <f t="shared" si="92"/>
        <v>984.36</v>
      </c>
      <c r="R435">
        <v>984.36</v>
      </c>
      <c r="S435" s="5">
        <f>IF(Table1[[#This Row],[Discount_Flag]]="Check", MIN(MAX(Table1[[#This Row],[DiscountPct]],0),0.3), Table1[[#This Row],[DiscountPct]])</f>
        <v>5.8999999999999997E-2</v>
      </c>
      <c r="T435" t="str">
        <f>IF(OR(Table1[[#This Row],[DiscountPct]]&lt;0,Table1[[#This Row],[DiscountPct]]&gt;0.3),"Check","OK")</f>
        <v>OK</v>
      </c>
      <c r="U435" s="11">
        <v>5.8999999999999997E-2</v>
      </c>
      <c r="V435" s="15">
        <f t="shared" si="93"/>
        <v>0</v>
      </c>
      <c r="W435" s="11">
        <f t="shared" si="94"/>
        <v>0.47242891576649876</v>
      </c>
      <c r="X435" s="17">
        <f t="shared" si="95"/>
        <v>6841.52</v>
      </c>
      <c r="Y435" s="17">
        <f t="shared" si="96"/>
        <v>6126.4386400000003</v>
      </c>
      <c r="Z435" s="17">
        <f t="shared" si="97"/>
        <v>12967.958640000001</v>
      </c>
      <c r="AA435" s="17" t="str">
        <f t="shared" si="98"/>
        <v>Q4-2024</v>
      </c>
      <c r="AB435" s="12" t="str">
        <f t="shared" si="99"/>
        <v>Dec-2024</v>
      </c>
      <c r="AC435" s="12" t="str">
        <f t="shared" si="100"/>
        <v>Medium</v>
      </c>
      <c r="AD435">
        <v>14</v>
      </c>
      <c r="AE435" s="12">
        <f>_xlfn.MINIFS(Table1[MonthDate], Table1[Country], Table1[[#This Row],[Country]])</f>
        <v>44927</v>
      </c>
      <c r="AF435" s="12">
        <f t="shared" si="101"/>
        <v>45627</v>
      </c>
      <c r="AG435">
        <f>AD435*(1 + Scenario_Control!$B$4)</f>
        <v>15.400000000000002</v>
      </c>
      <c r="AH435">
        <f>O435*(1 + Scenario_Control!$B$3)</f>
        <v>513.11400000000003</v>
      </c>
      <c r="AI435">
        <f t="shared" si="102"/>
        <v>2852.9509008000009</v>
      </c>
      <c r="AJ435">
        <f t="shared" si="103"/>
        <v>-5049.0046992000007</v>
      </c>
      <c r="AK435" s="29">
        <f>MIN(Q435*(1-U435), Scenario_Control!$B$2*Q435)</f>
        <v>196.87200000000001</v>
      </c>
      <c r="AL435" s="15">
        <f t="shared" si="104"/>
        <v>0</v>
      </c>
      <c r="AM435" s="8">
        <f>DATEDIF(Table1[[#This Row],[Country_FirstMonth]], Table1[[#This Row],[MonthDate]], "m")</f>
        <v>23</v>
      </c>
    </row>
    <row r="436" spans="1:39" x14ac:dyDescent="0.25">
      <c r="A436" t="s">
        <v>448</v>
      </c>
      <c r="B436" s="12">
        <v>45542</v>
      </c>
      <c r="C436" s="12">
        <f t="shared" si="90"/>
        <v>45553</v>
      </c>
      <c r="D436" s="2" t="str">
        <f>IF(Table1[[#This Row],[RequiredDate]]&lt;Table1[[#This Row],[OrderDate]],"Check","OK")</f>
        <v>OK</v>
      </c>
      <c r="E436" s="2">
        <v>45553</v>
      </c>
      <c r="F436" s="15">
        <f t="shared" si="91"/>
        <v>11</v>
      </c>
      <c r="G436" t="s">
        <v>647</v>
      </c>
      <c r="H436" t="s">
        <v>659</v>
      </c>
      <c r="I436" t="s">
        <v>699</v>
      </c>
      <c r="J436" t="s">
        <v>704</v>
      </c>
      <c r="K436" t="s">
        <v>710</v>
      </c>
      <c r="L436" t="s">
        <v>719</v>
      </c>
      <c r="M436" t="s">
        <v>729</v>
      </c>
      <c r="N436" t="s">
        <v>1167</v>
      </c>
      <c r="O436" s="29">
        <v>181.74</v>
      </c>
      <c r="P436" t="str">
        <f>IF(Table1[[#This Row],[UnitPrice]]&lt;=0,"Check","OK")</f>
        <v>OK</v>
      </c>
      <c r="Q436" s="29">
        <f t="shared" si="92"/>
        <v>190.84</v>
      </c>
      <c r="R436">
        <v>190.84</v>
      </c>
      <c r="S436" s="5">
        <f>IF(Table1[[#This Row],[Discount_Flag]]="Check", MIN(MAX(Table1[[#This Row],[DiscountPct]],0),0.3), Table1[[#This Row],[DiscountPct]])</f>
        <v>0.214</v>
      </c>
      <c r="T436" t="str">
        <f>IF(OR(Table1[[#This Row],[DiscountPct]]&lt;0,Table1[[#This Row],[DiscountPct]]&gt;0.3),"Check","OK")</f>
        <v>OK</v>
      </c>
      <c r="U436" s="11">
        <v>0.214</v>
      </c>
      <c r="V436" s="15">
        <f t="shared" si="93"/>
        <v>1</v>
      </c>
      <c r="W436" s="11">
        <f t="shared" si="94"/>
        <v>-0.21159806144310159</v>
      </c>
      <c r="X436" s="17">
        <f t="shared" si="95"/>
        <v>2362.62</v>
      </c>
      <c r="Y436" s="17">
        <f t="shared" si="96"/>
        <v>-412.61687999999981</v>
      </c>
      <c r="Z436" s="17">
        <f t="shared" si="97"/>
        <v>1950.0031200000001</v>
      </c>
      <c r="AA436" s="17" t="str">
        <f t="shared" si="98"/>
        <v>Q3-2024</v>
      </c>
      <c r="AB436" s="12" t="str">
        <f t="shared" si="99"/>
        <v>Sept-2024</v>
      </c>
      <c r="AC436" s="12" t="str">
        <f t="shared" si="100"/>
        <v>Low</v>
      </c>
      <c r="AD436">
        <v>13</v>
      </c>
      <c r="AE436" s="12">
        <f>_xlfn.MINIFS(Table1[MonthDate], Table1[Country], Table1[[#This Row],[Country]])</f>
        <v>44927</v>
      </c>
      <c r="AF436" s="12">
        <f t="shared" si="101"/>
        <v>45536</v>
      </c>
      <c r="AG436">
        <f>AD436*(1 + Scenario_Control!$B$4)</f>
        <v>14.3</v>
      </c>
      <c r="AH436">
        <f>O436*(1 + Scenario_Control!$B$3)</f>
        <v>190.82700000000003</v>
      </c>
      <c r="AI436">
        <f t="shared" si="102"/>
        <v>429.00068640000006</v>
      </c>
      <c r="AJ436">
        <f t="shared" si="103"/>
        <v>-2299.8254136000005</v>
      </c>
      <c r="AK436" s="29">
        <f>MIN(Q436*(1-U436), Scenario_Control!$B$2*Q436)</f>
        <v>38.167999999999999</v>
      </c>
      <c r="AL436" s="15">
        <f t="shared" si="104"/>
        <v>0</v>
      </c>
      <c r="AM436" s="8">
        <f>DATEDIF(Table1[[#This Row],[Country_FirstMonth]], Table1[[#This Row],[MonthDate]], "m")</f>
        <v>20</v>
      </c>
    </row>
    <row r="437" spans="1:39" x14ac:dyDescent="0.25">
      <c r="A437" t="s">
        <v>449</v>
      </c>
      <c r="B437" s="12">
        <v>45217</v>
      </c>
      <c r="C437" s="12">
        <f t="shared" si="90"/>
        <v>45219</v>
      </c>
      <c r="D437" s="2" t="str">
        <f>IF(Table1[[#This Row],[RequiredDate]]&lt;Table1[[#This Row],[OrderDate]],"Check","OK")</f>
        <v>OK</v>
      </c>
      <c r="E437" s="2">
        <v>45219</v>
      </c>
      <c r="F437" s="15">
        <f t="shared" si="91"/>
        <v>2</v>
      </c>
      <c r="G437" t="s">
        <v>646</v>
      </c>
      <c r="H437" t="s">
        <v>650</v>
      </c>
      <c r="I437" t="s">
        <v>662</v>
      </c>
      <c r="J437" t="s">
        <v>704</v>
      </c>
      <c r="K437" t="s">
        <v>707</v>
      </c>
      <c r="L437" t="s">
        <v>713</v>
      </c>
      <c r="M437" t="s">
        <v>730</v>
      </c>
      <c r="N437" t="s">
        <v>1168</v>
      </c>
      <c r="O437" s="29">
        <v>774.12</v>
      </c>
      <c r="P437" t="str">
        <f>IF(Table1[[#This Row],[UnitPrice]]&lt;=0,"Check","OK")</f>
        <v>OK</v>
      </c>
      <c r="Q437" s="29">
        <f t="shared" si="92"/>
        <v>908.3</v>
      </c>
      <c r="R437">
        <v>908.3</v>
      </c>
      <c r="S437" s="5">
        <f>IF(Table1[[#This Row],[Discount_Flag]]="Check", MIN(MAX(Table1[[#This Row],[DiscountPct]],0),0.3), Table1[[#This Row],[DiscountPct]])</f>
        <v>0</v>
      </c>
      <c r="T437" t="str">
        <f>IF(OR(Table1[[#This Row],[DiscountPct]]&lt;0,Table1[[#This Row],[DiscountPct]]&gt;0.3),"Check","OK")</f>
        <v>OK</v>
      </c>
      <c r="U437" s="11">
        <v>0</v>
      </c>
      <c r="V437" s="15">
        <f t="shared" si="93"/>
        <v>0</v>
      </c>
      <c r="W437" s="11">
        <f t="shared" si="94"/>
        <v>0.14772652207420461</v>
      </c>
      <c r="X437" s="17">
        <f t="shared" si="95"/>
        <v>23223.599999999999</v>
      </c>
      <c r="Y437" s="17">
        <f t="shared" si="96"/>
        <v>4025.4000000000015</v>
      </c>
      <c r="Z437" s="17">
        <f t="shared" si="97"/>
        <v>27249</v>
      </c>
      <c r="AA437" s="17" t="str">
        <f t="shared" si="98"/>
        <v>Q4-2023</v>
      </c>
      <c r="AB437" s="12" t="str">
        <f t="shared" si="99"/>
        <v>Oct-2023</v>
      </c>
      <c r="AC437" s="12" t="str">
        <f t="shared" si="100"/>
        <v>Medium</v>
      </c>
      <c r="AD437">
        <v>30</v>
      </c>
      <c r="AE437" s="12">
        <f>_xlfn.MINIFS(Table1[MonthDate], Table1[Country], Table1[[#This Row],[Country]])</f>
        <v>44927</v>
      </c>
      <c r="AF437" s="12">
        <f t="shared" si="101"/>
        <v>45200</v>
      </c>
      <c r="AG437">
        <f>AD437*(1 + Scenario_Control!$B$4)</f>
        <v>33</v>
      </c>
      <c r="AH437">
        <f>O437*(1 + Scenario_Control!$B$3)</f>
        <v>812.82600000000002</v>
      </c>
      <c r="AI437">
        <f t="shared" si="102"/>
        <v>5994.78</v>
      </c>
      <c r="AJ437">
        <f t="shared" si="103"/>
        <v>-20828.478000000003</v>
      </c>
      <c r="AK437" s="29">
        <f>MIN(Q437*(1-U437), Scenario_Control!$B$2*Q437)</f>
        <v>181.66</v>
      </c>
      <c r="AL437" s="15">
        <f t="shared" si="104"/>
        <v>1</v>
      </c>
      <c r="AM437" s="8">
        <f>DATEDIF(Table1[[#This Row],[Country_FirstMonth]], Table1[[#This Row],[MonthDate]], "m")</f>
        <v>9</v>
      </c>
    </row>
    <row r="438" spans="1:39" x14ac:dyDescent="0.25">
      <c r="A438" t="s">
        <v>450</v>
      </c>
      <c r="B438" s="12">
        <v>45650</v>
      </c>
      <c r="C438" s="12">
        <f t="shared" si="90"/>
        <v>45670</v>
      </c>
      <c r="D438" s="2" t="str">
        <f>IF(Table1[[#This Row],[RequiredDate]]&lt;Table1[[#This Row],[OrderDate]],"Check","OK")</f>
        <v>OK</v>
      </c>
      <c r="E438" s="2">
        <v>45670</v>
      </c>
      <c r="F438" s="15">
        <f t="shared" si="91"/>
        <v>20</v>
      </c>
      <c r="G438" t="s">
        <v>647</v>
      </c>
      <c r="H438" t="s">
        <v>654</v>
      </c>
      <c r="I438" t="s">
        <v>668</v>
      </c>
      <c r="J438" t="s">
        <v>701</v>
      </c>
      <c r="K438" t="s">
        <v>709</v>
      </c>
      <c r="L438" t="s">
        <v>726</v>
      </c>
      <c r="M438" t="s">
        <v>729</v>
      </c>
      <c r="N438" t="s">
        <v>1169</v>
      </c>
      <c r="O438" s="29">
        <v>126.15</v>
      </c>
      <c r="P438" t="str">
        <f>IF(Table1[[#This Row],[UnitPrice]]&lt;=0,"Check","OK")</f>
        <v>OK</v>
      </c>
      <c r="Q438" s="29">
        <f t="shared" si="92"/>
        <v>284.23</v>
      </c>
      <c r="R438">
        <v>284.23</v>
      </c>
      <c r="S438" s="5">
        <f>IF(Table1[[#This Row],[Discount_Flag]]="Check", MIN(MAX(Table1[[#This Row],[DiscountPct]],0),0.3), Table1[[#This Row],[DiscountPct]])</f>
        <v>0.113</v>
      </c>
      <c r="T438" t="str">
        <f>IF(OR(Table1[[#This Row],[DiscountPct]]&lt;0,Table1[[#This Row],[DiscountPct]]&gt;0.3),"Check","OK")</f>
        <v>OK</v>
      </c>
      <c r="U438" s="11">
        <v>0.113</v>
      </c>
      <c r="V438" s="15">
        <f t="shared" si="93"/>
        <v>0</v>
      </c>
      <c r="W438" s="11">
        <f t="shared" si="94"/>
        <v>0.49962716968541088</v>
      </c>
      <c r="X438" s="17">
        <f t="shared" si="95"/>
        <v>2775.3</v>
      </c>
      <c r="Y438" s="17">
        <f t="shared" si="96"/>
        <v>2771.1642200000006</v>
      </c>
      <c r="Z438" s="17">
        <f t="shared" si="97"/>
        <v>5546.4642200000008</v>
      </c>
      <c r="AA438" s="17" t="str">
        <f t="shared" si="98"/>
        <v>Q4-2024</v>
      </c>
      <c r="AB438" s="12" t="str">
        <f t="shared" si="99"/>
        <v>Dec-2024</v>
      </c>
      <c r="AC438" s="12" t="str">
        <f t="shared" si="100"/>
        <v>Low</v>
      </c>
      <c r="AD438">
        <v>22</v>
      </c>
      <c r="AE438" s="12">
        <f>_xlfn.MINIFS(Table1[MonthDate], Table1[Country], Table1[[#This Row],[Country]])</f>
        <v>44927</v>
      </c>
      <c r="AF438" s="12">
        <f t="shared" si="101"/>
        <v>45627</v>
      </c>
      <c r="AG438">
        <f>AD438*(1 + Scenario_Control!$B$4)</f>
        <v>24.200000000000003</v>
      </c>
      <c r="AH438">
        <f>O438*(1 + Scenario_Control!$B$3)</f>
        <v>132.45750000000001</v>
      </c>
      <c r="AI438">
        <f t="shared" si="102"/>
        <v>1220.2221284000002</v>
      </c>
      <c r="AJ438">
        <f t="shared" si="103"/>
        <v>-1985.2493716000004</v>
      </c>
      <c r="AK438" s="29">
        <f>MIN(Q438*(1-U438), Scenario_Control!$B$2*Q438)</f>
        <v>56.846000000000004</v>
      </c>
      <c r="AL438" s="15">
        <f t="shared" si="104"/>
        <v>0</v>
      </c>
      <c r="AM438" s="8">
        <f>DATEDIF(Table1[[#This Row],[Country_FirstMonth]], Table1[[#This Row],[MonthDate]], "m")</f>
        <v>23</v>
      </c>
    </row>
    <row r="439" spans="1:39" x14ac:dyDescent="0.25">
      <c r="A439" t="s">
        <v>451</v>
      </c>
      <c r="B439" s="12">
        <v>45037</v>
      </c>
      <c r="C439" s="12">
        <f t="shared" si="90"/>
        <v>45044</v>
      </c>
      <c r="D439" s="2" t="str">
        <f>IF(Table1[[#This Row],[RequiredDate]]&lt;Table1[[#This Row],[OrderDate]],"Check","OK")</f>
        <v>Check</v>
      </c>
      <c r="E439" s="2">
        <v>45035</v>
      </c>
      <c r="F439" s="15">
        <f t="shared" si="91"/>
        <v>7</v>
      </c>
      <c r="G439" t="s">
        <v>647</v>
      </c>
      <c r="H439" t="s">
        <v>652</v>
      </c>
      <c r="I439" t="s">
        <v>694</v>
      </c>
      <c r="J439" t="s">
        <v>705</v>
      </c>
      <c r="K439" t="s">
        <v>711</v>
      </c>
      <c r="L439" t="s">
        <v>724</v>
      </c>
      <c r="M439" t="s">
        <v>727</v>
      </c>
      <c r="N439" t="s">
        <v>1170</v>
      </c>
      <c r="O439" s="29">
        <v>607.04</v>
      </c>
      <c r="P439" t="str">
        <f>IF(Table1[[#This Row],[UnitPrice]]&lt;=0,"Check","OK")</f>
        <v>OK</v>
      </c>
      <c r="Q439" s="29">
        <f t="shared" si="92"/>
        <v>1229.3399999999999</v>
      </c>
      <c r="R439">
        <v>1229.3399999999999</v>
      </c>
      <c r="S439" s="5">
        <f>IF(Table1[[#This Row],[Discount_Flag]]="Check", MIN(MAX(Table1[[#This Row],[DiscountPct]],0),0.3), Table1[[#This Row],[DiscountPct]])</f>
        <v>0.14699999999999999</v>
      </c>
      <c r="T439" t="str">
        <f>IF(OR(Table1[[#This Row],[DiscountPct]]&lt;0,Table1[[#This Row],[DiscountPct]]&gt;0.3),"Check","OK")</f>
        <v>OK</v>
      </c>
      <c r="U439" s="11">
        <v>0.14699999999999999</v>
      </c>
      <c r="V439" s="15">
        <f t="shared" si="93"/>
        <v>0</v>
      </c>
      <c r="W439" s="11">
        <f t="shared" si="94"/>
        <v>0.42110970972310058</v>
      </c>
      <c r="X439" s="17">
        <f t="shared" si="95"/>
        <v>4249.28</v>
      </c>
      <c r="Y439" s="17">
        <f t="shared" si="96"/>
        <v>3091.1091399999996</v>
      </c>
      <c r="Z439" s="17">
        <f t="shared" si="97"/>
        <v>7340.3891399999993</v>
      </c>
      <c r="AA439" s="17" t="str">
        <f t="shared" si="98"/>
        <v>Q2-2023</v>
      </c>
      <c r="AB439" s="12" t="str">
        <f t="shared" si="99"/>
        <v>Apr-2023</v>
      </c>
      <c r="AC439" s="12" t="str">
        <f t="shared" si="100"/>
        <v>Medium</v>
      </c>
      <c r="AD439">
        <v>7</v>
      </c>
      <c r="AE439" s="12">
        <f>_xlfn.MINIFS(Table1[MonthDate], Table1[Country], Table1[[#This Row],[Country]])</f>
        <v>44986</v>
      </c>
      <c r="AF439" s="12">
        <f t="shared" si="101"/>
        <v>45017</v>
      </c>
      <c r="AG439">
        <f>AD439*(1 + Scenario_Control!$B$4)</f>
        <v>7.7000000000000011</v>
      </c>
      <c r="AH439">
        <f>O439*(1 + Scenario_Control!$B$3)</f>
        <v>637.39199999999994</v>
      </c>
      <c r="AI439">
        <f t="shared" si="102"/>
        <v>1614.8856108000002</v>
      </c>
      <c r="AJ439">
        <f t="shared" si="103"/>
        <v>-3293.0327892000005</v>
      </c>
      <c r="AK439" s="29">
        <f>MIN(Q439*(1-U439), Scenario_Control!$B$2*Q439)</f>
        <v>245.86799999999999</v>
      </c>
      <c r="AL439" s="15">
        <f t="shared" si="104"/>
        <v>1</v>
      </c>
      <c r="AM439" s="8">
        <f>DATEDIF(Table1[[#This Row],[Country_FirstMonth]], Table1[[#This Row],[MonthDate]], "m")</f>
        <v>1</v>
      </c>
    </row>
    <row r="440" spans="1:39" x14ac:dyDescent="0.25">
      <c r="A440" t="s">
        <v>452</v>
      </c>
      <c r="B440" s="12">
        <v>45290</v>
      </c>
      <c r="C440" s="12">
        <f t="shared" si="90"/>
        <v>45299</v>
      </c>
      <c r="D440" s="2" t="str">
        <f>IF(Table1[[#This Row],[RequiredDate]]&lt;Table1[[#This Row],[OrderDate]],"Check","OK")</f>
        <v>OK</v>
      </c>
      <c r="E440" s="2">
        <v>45299</v>
      </c>
      <c r="F440" s="15">
        <f t="shared" si="91"/>
        <v>9</v>
      </c>
      <c r="G440" t="s">
        <v>649</v>
      </c>
      <c r="H440" t="s">
        <v>657</v>
      </c>
      <c r="I440" t="s">
        <v>673</v>
      </c>
      <c r="J440" t="s">
        <v>704</v>
      </c>
      <c r="K440" t="s">
        <v>709</v>
      </c>
      <c r="L440" t="s">
        <v>716</v>
      </c>
      <c r="M440" t="s">
        <v>733</v>
      </c>
      <c r="N440" t="s">
        <v>1171</v>
      </c>
      <c r="O440" s="29">
        <v>861.1</v>
      </c>
      <c r="P440" t="str">
        <f>IF(Table1[[#This Row],[UnitPrice]]&lt;=0,"Check","OK")</f>
        <v>OK</v>
      </c>
      <c r="Q440" s="29">
        <f t="shared" si="92"/>
        <v>1224.72</v>
      </c>
      <c r="R440">
        <v>1224.72</v>
      </c>
      <c r="S440" s="5">
        <f>IF(Table1[[#This Row],[Discount_Flag]]="Check", MIN(MAX(Table1[[#This Row],[DiscountPct]],0),0.3), Table1[[#This Row],[DiscountPct]])</f>
        <v>0.17399999999999999</v>
      </c>
      <c r="T440" t="str">
        <f>IF(OR(Table1[[#This Row],[DiscountPct]]&lt;0,Table1[[#This Row],[DiscountPct]]&gt;0.3),"Check","OK")</f>
        <v>OK</v>
      </c>
      <c r="U440" s="11">
        <v>0.17399999999999999</v>
      </c>
      <c r="V440" s="15">
        <f t="shared" si="93"/>
        <v>0</v>
      </c>
      <c r="W440" s="11">
        <f t="shared" si="94"/>
        <v>0.14878997098827909</v>
      </c>
      <c r="X440" s="17">
        <f t="shared" si="95"/>
        <v>20666.400000000001</v>
      </c>
      <c r="Y440" s="17">
        <f t="shared" si="96"/>
        <v>3612.4492800000007</v>
      </c>
      <c r="Z440" s="17">
        <f t="shared" si="97"/>
        <v>24278.849280000002</v>
      </c>
      <c r="AA440" s="17" t="str">
        <f t="shared" si="98"/>
        <v>Q4-2023</v>
      </c>
      <c r="AB440" s="12" t="str">
        <f t="shared" si="99"/>
        <v>Dec-2023</v>
      </c>
      <c r="AC440" s="12" t="str">
        <f t="shared" si="100"/>
        <v>Medium</v>
      </c>
      <c r="AD440">
        <v>24</v>
      </c>
      <c r="AE440" s="12">
        <f>_xlfn.MINIFS(Table1[MonthDate], Table1[Country], Table1[[#This Row],[Country]])</f>
        <v>44927</v>
      </c>
      <c r="AF440" s="12">
        <f t="shared" si="101"/>
        <v>45261</v>
      </c>
      <c r="AG440">
        <f>AD440*(1 + Scenario_Control!$B$4)</f>
        <v>26.400000000000002</v>
      </c>
      <c r="AH440">
        <f>O440*(1 + Scenario_Control!$B$3)</f>
        <v>904.15500000000009</v>
      </c>
      <c r="AI440">
        <f t="shared" si="102"/>
        <v>5341.3468416000014</v>
      </c>
      <c r="AJ440">
        <f t="shared" si="103"/>
        <v>-18528.345158399999</v>
      </c>
      <c r="AK440" s="29">
        <f>MIN(Q440*(1-U440), Scenario_Control!$B$2*Q440)</f>
        <v>244.94400000000002</v>
      </c>
      <c r="AL440" s="15">
        <f t="shared" si="104"/>
        <v>0</v>
      </c>
      <c r="AM440" s="8">
        <f>DATEDIF(Table1[[#This Row],[Country_FirstMonth]], Table1[[#This Row],[MonthDate]], "m")</f>
        <v>11</v>
      </c>
    </row>
    <row r="441" spans="1:39" x14ac:dyDescent="0.25">
      <c r="A441" t="s">
        <v>453</v>
      </c>
      <c r="B441" s="12">
        <v>44978</v>
      </c>
      <c r="C441" s="12">
        <f t="shared" si="90"/>
        <v>44997</v>
      </c>
      <c r="D441" s="2" t="str">
        <f>IF(Table1[[#This Row],[RequiredDate]]&lt;Table1[[#This Row],[OrderDate]],"Check","OK")</f>
        <v>OK</v>
      </c>
      <c r="E441" s="2">
        <v>44997</v>
      </c>
      <c r="F441" s="15">
        <f t="shared" si="91"/>
        <v>19</v>
      </c>
      <c r="G441" t="s">
        <v>646</v>
      </c>
      <c r="H441" t="s">
        <v>650</v>
      </c>
      <c r="I441" t="s">
        <v>678</v>
      </c>
      <c r="J441" t="s">
        <v>701</v>
      </c>
      <c r="K441" t="s">
        <v>708</v>
      </c>
      <c r="L441" t="s">
        <v>721</v>
      </c>
      <c r="M441" t="s">
        <v>729</v>
      </c>
      <c r="N441" t="s">
        <v>1172</v>
      </c>
      <c r="O441" s="29">
        <v>352.65</v>
      </c>
      <c r="P441" t="str">
        <f>IF(Table1[[#This Row],[UnitPrice]]&lt;=0,"Check","OK")</f>
        <v>OK</v>
      </c>
      <c r="Q441" s="29">
        <f t="shared" si="92"/>
        <v>485.86</v>
      </c>
      <c r="R441">
        <v>485.86</v>
      </c>
      <c r="S441" s="5">
        <f>IF(Table1[[#This Row],[Discount_Flag]]="Check", MIN(MAX(Table1[[#This Row],[DiscountPct]],0),0.3), Table1[[#This Row],[DiscountPct]])</f>
        <v>4.1000000000000002E-2</v>
      </c>
      <c r="T441" t="str">
        <f>IF(OR(Table1[[#This Row],[DiscountPct]]&lt;0,Table1[[#This Row],[DiscountPct]]&gt;0.3),"Check","OK")</f>
        <v>OK</v>
      </c>
      <c r="U441" s="11">
        <v>4.1000000000000002E-2</v>
      </c>
      <c r="V441" s="15">
        <f t="shared" si="93"/>
        <v>0</v>
      </c>
      <c r="W441" s="11">
        <f t="shared" si="94"/>
        <v>0.24314247159943908</v>
      </c>
      <c r="X441" s="17">
        <f t="shared" si="95"/>
        <v>2115.8999999999996</v>
      </c>
      <c r="Y441" s="17">
        <f t="shared" si="96"/>
        <v>679.73844000000008</v>
      </c>
      <c r="Z441" s="17">
        <f t="shared" si="97"/>
        <v>2795.6384399999997</v>
      </c>
      <c r="AA441" s="17" t="str">
        <f t="shared" si="98"/>
        <v>Q1-2023</v>
      </c>
      <c r="AB441" s="12" t="str">
        <f t="shared" si="99"/>
        <v>Feb-2023</v>
      </c>
      <c r="AC441" s="12" t="str">
        <f t="shared" si="100"/>
        <v>Low</v>
      </c>
      <c r="AD441">
        <v>6</v>
      </c>
      <c r="AE441" s="12">
        <f>_xlfn.MINIFS(Table1[MonthDate], Table1[Country], Table1[[#This Row],[Country]])</f>
        <v>44927</v>
      </c>
      <c r="AF441" s="12">
        <f t="shared" si="101"/>
        <v>44958</v>
      </c>
      <c r="AG441">
        <f>AD441*(1 + Scenario_Control!$B$4)</f>
        <v>6.6000000000000005</v>
      </c>
      <c r="AH441">
        <f>O441*(1 + Scenario_Control!$B$3)</f>
        <v>370.28249999999997</v>
      </c>
      <c r="AI441">
        <f t="shared" si="102"/>
        <v>615.04045680000013</v>
      </c>
      <c r="AJ441">
        <f t="shared" si="103"/>
        <v>-1828.8240432</v>
      </c>
      <c r="AK441" s="29">
        <f>MIN(Q441*(1-U441), Scenario_Control!$B$2*Q441)</f>
        <v>97.172000000000011</v>
      </c>
      <c r="AL441" s="15">
        <f t="shared" si="104"/>
        <v>0</v>
      </c>
      <c r="AM441" s="8">
        <f>DATEDIF(Table1[[#This Row],[Country_FirstMonth]], Table1[[#This Row],[MonthDate]], "m")</f>
        <v>1</v>
      </c>
    </row>
    <row r="442" spans="1:39" x14ac:dyDescent="0.25">
      <c r="A442" t="s">
        <v>454</v>
      </c>
      <c r="B442" s="12">
        <v>45063</v>
      </c>
      <c r="C442" s="12">
        <f t="shared" si="90"/>
        <v>45080</v>
      </c>
      <c r="D442" s="2" t="str">
        <f>IF(Table1[[#This Row],[RequiredDate]]&lt;Table1[[#This Row],[OrderDate]],"Check","OK")</f>
        <v>OK</v>
      </c>
      <c r="E442" s="2">
        <v>45080</v>
      </c>
      <c r="F442" s="15">
        <f t="shared" si="91"/>
        <v>17</v>
      </c>
      <c r="G442" t="s">
        <v>647</v>
      </c>
      <c r="H442" t="s">
        <v>659</v>
      </c>
      <c r="I442" t="s">
        <v>699</v>
      </c>
      <c r="J442" t="s">
        <v>703</v>
      </c>
      <c r="K442" t="s">
        <v>710</v>
      </c>
      <c r="L442" t="s">
        <v>724</v>
      </c>
      <c r="M442" t="s">
        <v>728</v>
      </c>
      <c r="N442" t="s">
        <v>1173</v>
      </c>
      <c r="O442" s="29">
        <v>979.59</v>
      </c>
      <c r="P442" t="str">
        <f>IF(Table1[[#This Row],[UnitPrice]]&lt;=0,"Check","OK")</f>
        <v>OK</v>
      </c>
      <c r="Q442" s="29">
        <f t="shared" si="92"/>
        <v>2210.94</v>
      </c>
      <c r="R442">
        <v>2210.94</v>
      </c>
      <c r="S442" s="5">
        <f>IF(Table1[[#This Row],[Discount_Flag]]="Check", MIN(MAX(Table1[[#This Row],[DiscountPct]],0),0.3), Table1[[#This Row],[DiscountPct]])</f>
        <v>0.15</v>
      </c>
      <c r="T442" t="str">
        <f>IF(OR(Table1[[#This Row],[DiscountPct]]&lt;0,Table1[[#This Row],[DiscountPct]]&gt;0.3),"Check","OK")</f>
        <v>OK</v>
      </c>
      <c r="U442" s="11">
        <v>0.15</v>
      </c>
      <c r="V442" s="15">
        <f t="shared" si="93"/>
        <v>0</v>
      </c>
      <c r="W442" s="11">
        <f t="shared" si="94"/>
        <v>0.47874712858358359</v>
      </c>
      <c r="X442" s="17">
        <f t="shared" si="95"/>
        <v>10775.49</v>
      </c>
      <c r="Y442" s="17">
        <f t="shared" si="96"/>
        <v>9896.7990000000009</v>
      </c>
      <c r="Z442" s="17">
        <f t="shared" si="97"/>
        <v>20672.289000000001</v>
      </c>
      <c r="AA442" s="17" t="str">
        <f t="shared" si="98"/>
        <v>Q2-2023</v>
      </c>
      <c r="AB442" s="12" t="str">
        <f t="shared" si="99"/>
        <v>May-2023</v>
      </c>
      <c r="AC442" s="12" t="str">
        <f t="shared" si="100"/>
        <v>High</v>
      </c>
      <c r="AD442">
        <v>11</v>
      </c>
      <c r="AE442" s="12">
        <f>_xlfn.MINIFS(Table1[MonthDate], Table1[Country], Table1[[#This Row],[Country]])</f>
        <v>44927</v>
      </c>
      <c r="AF442" s="12">
        <f t="shared" si="101"/>
        <v>45047</v>
      </c>
      <c r="AG442">
        <f>AD442*(1 + Scenario_Control!$B$4)</f>
        <v>12.100000000000001</v>
      </c>
      <c r="AH442">
        <f>O442*(1 + Scenario_Control!$B$3)</f>
        <v>1028.5695000000001</v>
      </c>
      <c r="AI442">
        <f t="shared" si="102"/>
        <v>4547.9035800000011</v>
      </c>
      <c r="AJ442">
        <f t="shared" si="103"/>
        <v>-7897.7873700000009</v>
      </c>
      <c r="AK442" s="29">
        <f>MIN(Q442*(1-U442), Scenario_Control!$B$2*Q442)</f>
        <v>442.18800000000005</v>
      </c>
      <c r="AL442" s="15">
        <f t="shared" si="104"/>
        <v>0</v>
      </c>
      <c r="AM442" s="8">
        <f>DATEDIF(Table1[[#This Row],[Country_FirstMonth]], Table1[[#This Row],[MonthDate]], "m")</f>
        <v>4</v>
      </c>
    </row>
    <row r="443" spans="1:39" x14ac:dyDescent="0.25">
      <c r="A443" t="s">
        <v>455</v>
      </c>
      <c r="B443" s="12">
        <v>45374</v>
      </c>
      <c r="C443" s="12">
        <f t="shared" si="90"/>
        <v>45377</v>
      </c>
      <c r="D443" s="2" t="str">
        <f>IF(Table1[[#This Row],[RequiredDate]]&lt;Table1[[#This Row],[OrderDate]],"Check","OK")</f>
        <v>OK</v>
      </c>
      <c r="E443" s="2">
        <v>45377</v>
      </c>
      <c r="F443" s="15">
        <f t="shared" si="91"/>
        <v>3</v>
      </c>
      <c r="G443" t="s">
        <v>647</v>
      </c>
      <c r="H443" t="s">
        <v>654</v>
      </c>
      <c r="I443" t="s">
        <v>668</v>
      </c>
      <c r="J443" t="s">
        <v>702</v>
      </c>
      <c r="K443" t="s">
        <v>711</v>
      </c>
      <c r="L443" t="s">
        <v>715</v>
      </c>
      <c r="M443" t="s">
        <v>730</v>
      </c>
      <c r="N443" t="s">
        <v>1174</v>
      </c>
      <c r="O443" s="29">
        <v>382.21</v>
      </c>
      <c r="P443" t="str">
        <f>IF(Table1[[#This Row],[UnitPrice]]&lt;=0,"Check","OK")</f>
        <v>OK</v>
      </c>
      <c r="Q443" s="29">
        <f t="shared" si="92"/>
        <v>571.89</v>
      </c>
      <c r="R443">
        <v>571.89</v>
      </c>
      <c r="S443" s="5">
        <f>IF(Table1[[#This Row],[Discount_Flag]]="Check", MIN(MAX(Table1[[#This Row],[DiscountPct]],0),0.3), Table1[[#This Row],[DiscountPct]])</f>
        <v>0.14799999999999999</v>
      </c>
      <c r="T443" t="str">
        <f>IF(OR(Table1[[#This Row],[DiscountPct]]&lt;0,Table1[[#This Row],[DiscountPct]]&gt;0.3),"Check","OK")</f>
        <v>OK</v>
      </c>
      <c r="U443" s="11">
        <v>0.14799999999999999</v>
      </c>
      <c r="V443" s="15">
        <f t="shared" si="93"/>
        <v>0</v>
      </c>
      <c r="W443" s="11">
        <f t="shared" si="94"/>
        <v>0.2155776698578809</v>
      </c>
      <c r="X443" s="17">
        <f t="shared" si="95"/>
        <v>9937.4599999999991</v>
      </c>
      <c r="Y443" s="17">
        <f t="shared" si="96"/>
        <v>2731.0472800000007</v>
      </c>
      <c r="Z443" s="17">
        <f t="shared" si="97"/>
        <v>12668.50728</v>
      </c>
      <c r="AA443" s="17" t="str">
        <f t="shared" si="98"/>
        <v>Q1-2024</v>
      </c>
      <c r="AB443" s="12" t="str">
        <f t="shared" si="99"/>
        <v>Mar-2024</v>
      </c>
      <c r="AC443" s="12" t="str">
        <f t="shared" si="100"/>
        <v>Low</v>
      </c>
      <c r="AD443">
        <v>26</v>
      </c>
      <c r="AE443" s="12">
        <f>_xlfn.MINIFS(Table1[MonthDate], Table1[Country], Table1[[#This Row],[Country]])</f>
        <v>44927</v>
      </c>
      <c r="AF443" s="12">
        <f t="shared" si="101"/>
        <v>45352</v>
      </c>
      <c r="AG443">
        <f>AD443*(1 + Scenario_Control!$B$4)</f>
        <v>28.6</v>
      </c>
      <c r="AH443">
        <f>O443*(1 + Scenario_Control!$B$3)</f>
        <v>401.32049999999998</v>
      </c>
      <c r="AI443">
        <f t="shared" si="102"/>
        <v>2787.0716016000001</v>
      </c>
      <c r="AJ443">
        <f t="shared" si="103"/>
        <v>-8690.6946983999987</v>
      </c>
      <c r="AK443" s="29">
        <f>MIN(Q443*(1-U443), Scenario_Control!$B$2*Q443)</f>
        <v>114.378</v>
      </c>
      <c r="AL443" s="15">
        <f t="shared" si="104"/>
        <v>1</v>
      </c>
      <c r="AM443" s="8">
        <f>DATEDIF(Table1[[#This Row],[Country_FirstMonth]], Table1[[#This Row],[MonthDate]], "m")</f>
        <v>14</v>
      </c>
    </row>
    <row r="444" spans="1:39" x14ac:dyDescent="0.25">
      <c r="A444" t="s">
        <v>456</v>
      </c>
      <c r="B444" s="12">
        <v>45189</v>
      </c>
      <c r="C444" s="12">
        <f t="shared" si="90"/>
        <v>45197</v>
      </c>
      <c r="D444" s="2" t="str">
        <f>IF(Table1[[#This Row],[RequiredDate]]&lt;Table1[[#This Row],[OrderDate]],"Check","OK")</f>
        <v>OK</v>
      </c>
      <c r="E444" s="2">
        <v>45197</v>
      </c>
      <c r="F444" s="15">
        <f t="shared" si="91"/>
        <v>8</v>
      </c>
      <c r="G444" t="s">
        <v>647</v>
      </c>
      <c r="H444" t="s">
        <v>654</v>
      </c>
      <c r="I444" t="s">
        <v>1425</v>
      </c>
      <c r="J444" t="s">
        <v>701</v>
      </c>
      <c r="K444" t="s">
        <v>1428</v>
      </c>
      <c r="L444" t="s">
        <v>717</v>
      </c>
      <c r="M444" t="s">
        <v>733</v>
      </c>
      <c r="N444" t="s">
        <v>1175</v>
      </c>
      <c r="O444" s="29">
        <v>1362.06</v>
      </c>
      <c r="P444" t="str">
        <f>IF(Table1[[#This Row],[UnitPrice]]&lt;=0,"Check","OK")</f>
        <v>OK</v>
      </c>
      <c r="Q444" s="29">
        <f t="shared" si="92"/>
        <v>3398.37</v>
      </c>
      <c r="R444">
        <v>3398.37</v>
      </c>
      <c r="S444" s="5">
        <f>IF(Table1[[#This Row],[Discount_Flag]]="Check", MIN(MAX(Table1[[#This Row],[DiscountPct]],0),0.3), Table1[[#This Row],[DiscountPct]])</f>
        <v>0.157</v>
      </c>
      <c r="T444" t="str">
        <f>IF(OR(Table1[[#This Row],[DiscountPct]]&lt;0,Table1[[#This Row],[DiscountPct]]&gt;0.3),"Check","OK")</f>
        <v>OK</v>
      </c>
      <c r="U444" s="11">
        <v>0.157</v>
      </c>
      <c r="V444" s="15">
        <f t="shared" si="93"/>
        <v>0</v>
      </c>
      <c r="W444" s="11">
        <f t="shared" si="94"/>
        <v>0.52455749745714919</v>
      </c>
      <c r="X444" s="17">
        <f t="shared" si="95"/>
        <v>14982.66</v>
      </c>
      <c r="Y444" s="17">
        <f t="shared" si="96"/>
        <v>16530.425009999999</v>
      </c>
      <c r="Z444" s="17">
        <f t="shared" si="97"/>
        <v>31513.085009999999</v>
      </c>
      <c r="AA444" s="17" t="str">
        <f t="shared" si="98"/>
        <v>Q3-2023</v>
      </c>
      <c r="AB444" s="12" t="str">
        <f t="shared" si="99"/>
        <v>Sept-2023</v>
      </c>
      <c r="AC444" s="12" t="str">
        <f t="shared" si="100"/>
        <v>High</v>
      </c>
      <c r="AD444">
        <v>11</v>
      </c>
      <c r="AE444" s="12">
        <f>_xlfn.MINIFS(Table1[MonthDate], Table1[Country], Table1[[#This Row],[Country]])</f>
        <v>44927</v>
      </c>
      <c r="AF444" s="12">
        <f t="shared" si="101"/>
        <v>45170</v>
      </c>
      <c r="AG444">
        <f>AD444*(1 + Scenario_Control!$B$4)</f>
        <v>12.100000000000001</v>
      </c>
      <c r="AH444">
        <f>O444*(1 + Scenario_Control!$B$3)</f>
        <v>1430.163</v>
      </c>
      <c r="AI444">
        <f t="shared" si="102"/>
        <v>6932.8787022000006</v>
      </c>
      <c r="AJ444">
        <f t="shared" si="103"/>
        <v>-10372.093597800002</v>
      </c>
      <c r="AK444" s="29">
        <f>MIN(Q444*(1-U444), Scenario_Control!$B$2*Q444)</f>
        <v>679.67399999999998</v>
      </c>
      <c r="AL444" s="15">
        <f t="shared" si="104"/>
        <v>0</v>
      </c>
      <c r="AM444" s="8">
        <f>DATEDIF(Table1[[#This Row],[Country_FirstMonth]], Table1[[#This Row],[MonthDate]], "m")</f>
        <v>8</v>
      </c>
    </row>
    <row r="445" spans="1:39" x14ac:dyDescent="0.25">
      <c r="A445" t="s">
        <v>457</v>
      </c>
      <c r="B445" s="12">
        <v>45526</v>
      </c>
      <c r="C445" s="12">
        <f t="shared" si="90"/>
        <v>45539</v>
      </c>
      <c r="D445" s="2" t="str">
        <f>IF(Table1[[#This Row],[RequiredDate]]&lt;Table1[[#This Row],[OrderDate]],"Check","OK")</f>
        <v>OK</v>
      </c>
      <c r="E445" s="2">
        <v>45539</v>
      </c>
      <c r="F445" s="15">
        <f t="shared" si="91"/>
        <v>13</v>
      </c>
      <c r="G445" t="s">
        <v>649</v>
      </c>
      <c r="H445" t="s">
        <v>656</v>
      </c>
      <c r="I445" t="s">
        <v>698</v>
      </c>
      <c r="J445" t="s">
        <v>703</v>
      </c>
      <c r="K445" t="s">
        <v>707</v>
      </c>
      <c r="L445" t="s">
        <v>716</v>
      </c>
      <c r="M445" t="s">
        <v>728</v>
      </c>
      <c r="N445" t="s">
        <v>1176</v>
      </c>
      <c r="O445" s="29">
        <v>90.04</v>
      </c>
      <c r="P445" t="str">
        <f>IF(Table1[[#This Row],[UnitPrice]]&lt;=0,"Check","OK")</f>
        <v>OK</v>
      </c>
      <c r="Q445" s="29">
        <f t="shared" si="92"/>
        <v>194.62</v>
      </c>
      <c r="R445">
        <v>194.62</v>
      </c>
      <c r="S445" s="5">
        <f>IF(Table1[[#This Row],[Discount_Flag]]="Check", MIN(MAX(Table1[[#This Row],[DiscountPct]],0),0.3), Table1[[#This Row],[DiscountPct]])</f>
        <v>4.2999999999999997E-2</v>
      </c>
      <c r="T445" t="str">
        <f>IF(OR(Table1[[#This Row],[DiscountPct]]&lt;0,Table1[[#This Row],[DiscountPct]]&gt;0.3),"Check","OK")</f>
        <v>OK</v>
      </c>
      <c r="U445" s="11">
        <v>4.2999999999999997E-2</v>
      </c>
      <c r="V445" s="15">
        <f t="shared" si="93"/>
        <v>0</v>
      </c>
      <c r="W445" s="11">
        <f t="shared" si="94"/>
        <v>0.51656723650954672</v>
      </c>
      <c r="X445" s="17">
        <f t="shared" si="95"/>
        <v>2881.28</v>
      </c>
      <c r="Y445" s="17">
        <f t="shared" si="96"/>
        <v>3078.7628799999998</v>
      </c>
      <c r="Z445" s="17">
        <f t="shared" si="97"/>
        <v>5960.04288</v>
      </c>
      <c r="AA445" s="17" t="str">
        <f t="shared" si="98"/>
        <v>Q3-2024</v>
      </c>
      <c r="AB445" s="12" t="str">
        <f t="shared" si="99"/>
        <v>Aug-2024</v>
      </c>
      <c r="AC445" s="12" t="str">
        <f t="shared" si="100"/>
        <v>Low</v>
      </c>
      <c r="AD445">
        <v>32</v>
      </c>
      <c r="AE445" s="12">
        <f>_xlfn.MINIFS(Table1[MonthDate], Table1[Country], Table1[[#This Row],[Country]])</f>
        <v>44927</v>
      </c>
      <c r="AF445" s="12">
        <f t="shared" si="101"/>
        <v>45505</v>
      </c>
      <c r="AG445">
        <f>AD445*(1 + Scenario_Control!$B$4)</f>
        <v>35.200000000000003</v>
      </c>
      <c r="AH445">
        <f>O445*(1 + Scenario_Control!$B$3)</f>
        <v>94.542000000000016</v>
      </c>
      <c r="AI445">
        <f t="shared" si="102"/>
        <v>1311.2094336000002</v>
      </c>
      <c r="AJ445">
        <f t="shared" si="103"/>
        <v>-2016.6689664000007</v>
      </c>
      <c r="AK445" s="29">
        <f>MIN(Q445*(1-U445), Scenario_Control!$B$2*Q445)</f>
        <v>38.924000000000007</v>
      </c>
      <c r="AL445" s="15">
        <f t="shared" si="104"/>
        <v>0</v>
      </c>
      <c r="AM445" s="8">
        <f>DATEDIF(Table1[[#This Row],[Country_FirstMonth]], Table1[[#This Row],[MonthDate]], "m")</f>
        <v>19</v>
      </c>
    </row>
    <row r="446" spans="1:39" x14ac:dyDescent="0.25">
      <c r="A446" t="s">
        <v>458</v>
      </c>
      <c r="B446" s="12">
        <v>45560</v>
      </c>
      <c r="C446" s="12">
        <f t="shared" si="90"/>
        <v>45568</v>
      </c>
      <c r="D446" s="2" t="str">
        <f>IF(Table1[[#This Row],[RequiredDate]]&lt;Table1[[#This Row],[OrderDate]],"Check","OK")</f>
        <v>OK</v>
      </c>
      <c r="E446" s="2">
        <v>45568</v>
      </c>
      <c r="F446" s="15">
        <f t="shared" si="91"/>
        <v>8</v>
      </c>
      <c r="G446" t="s">
        <v>648</v>
      </c>
      <c r="H446" t="s">
        <v>653</v>
      </c>
      <c r="I446" t="s">
        <v>667</v>
      </c>
      <c r="J446" t="s">
        <v>704</v>
      </c>
      <c r="K446" t="s">
        <v>708</v>
      </c>
      <c r="L446" t="s">
        <v>718</v>
      </c>
      <c r="M446" t="s">
        <v>728</v>
      </c>
      <c r="N446" t="s">
        <v>1177</v>
      </c>
      <c r="O446" s="29">
        <v>558.19000000000005</v>
      </c>
      <c r="P446" t="str">
        <f>IF(Table1[[#This Row],[UnitPrice]]&lt;=0,"Check","OK")</f>
        <v>OK</v>
      </c>
      <c r="Q446" s="29">
        <f t="shared" si="92"/>
        <v>1031.6400000000001</v>
      </c>
      <c r="R446">
        <v>1031.6400000000001</v>
      </c>
      <c r="S446" s="5">
        <f>IF(Table1[[#This Row],[Discount_Flag]]="Check", MIN(MAX(Table1[[#This Row],[DiscountPct]],0),0.3), Table1[[#This Row],[DiscountPct]])</f>
        <v>0</v>
      </c>
      <c r="T446" t="str">
        <f>IF(OR(Table1[[#This Row],[DiscountPct]]&lt;0,Table1[[#This Row],[DiscountPct]]&gt;0.3),"Check","OK")</f>
        <v>OK</v>
      </c>
      <c r="U446" s="11">
        <v>0</v>
      </c>
      <c r="V446" s="15">
        <f t="shared" si="93"/>
        <v>0</v>
      </c>
      <c r="W446" s="11">
        <f t="shared" si="94"/>
        <v>0.45892947152107322</v>
      </c>
      <c r="X446" s="17">
        <f t="shared" si="95"/>
        <v>11721.990000000002</v>
      </c>
      <c r="Y446" s="17">
        <f t="shared" si="96"/>
        <v>9942.4500000000007</v>
      </c>
      <c r="Z446" s="17">
        <f t="shared" si="97"/>
        <v>21664.440000000002</v>
      </c>
      <c r="AA446" s="17" t="str">
        <f t="shared" si="98"/>
        <v>Q3-2024</v>
      </c>
      <c r="AB446" s="12" t="str">
        <f t="shared" si="99"/>
        <v>Sept-2024</v>
      </c>
      <c r="AC446" s="12" t="str">
        <f t="shared" si="100"/>
        <v>Medium</v>
      </c>
      <c r="AD446">
        <v>21</v>
      </c>
      <c r="AE446" s="12">
        <f>_xlfn.MINIFS(Table1[MonthDate], Table1[Country], Table1[[#This Row],[Country]])</f>
        <v>44927</v>
      </c>
      <c r="AF446" s="12">
        <f t="shared" si="101"/>
        <v>45536</v>
      </c>
      <c r="AG446">
        <f>AD446*(1 + Scenario_Control!$B$4)</f>
        <v>23.1</v>
      </c>
      <c r="AH446">
        <f>O446*(1 + Scenario_Control!$B$3)</f>
        <v>586.09950000000003</v>
      </c>
      <c r="AI446">
        <f t="shared" si="102"/>
        <v>4766.1768000000011</v>
      </c>
      <c r="AJ446">
        <f t="shared" si="103"/>
        <v>-8772.7216500000013</v>
      </c>
      <c r="AK446" s="29">
        <f>MIN(Q446*(1-U446), Scenario_Control!$B$2*Q446)</f>
        <v>206.32800000000003</v>
      </c>
      <c r="AL446" s="15">
        <f t="shared" si="104"/>
        <v>0</v>
      </c>
      <c r="AM446" s="8">
        <f>DATEDIF(Table1[[#This Row],[Country_FirstMonth]], Table1[[#This Row],[MonthDate]], "m")</f>
        <v>20</v>
      </c>
    </row>
    <row r="447" spans="1:39" x14ac:dyDescent="0.25">
      <c r="A447" t="s">
        <v>459</v>
      </c>
      <c r="B447" s="12">
        <v>45090</v>
      </c>
      <c r="C447" s="12">
        <f t="shared" si="90"/>
        <v>45101</v>
      </c>
      <c r="D447" s="2" t="str">
        <f>IF(Table1[[#This Row],[RequiredDate]]&lt;Table1[[#This Row],[OrderDate]],"Check","OK")</f>
        <v>OK</v>
      </c>
      <c r="E447" s="2">
        <v>45101</v>
      </c>
      <c r="F447" s="15">
        <f t="shared" si="91"/>
        <v>11</v>
      </c>
      <c r="G447" t="s">
        <v>648</v>
      </c>
      <c r="H447" t="s">
        <v>653</v>
      </c>
      <c r="I447" t="s">
        <v>667</v>
      </c>
      <c r="J447" t="s">
        <v>701</v>
      </c>
      <c r="K447" t="s">
        <v>708</v>
      </c>
      <c r="L447" t="s">
        <v>712</v>
      </c>
      <c r="M447" t="s">
        <v>728</v>
      </c>
      <c r="N447" t="s">
        <v>1178</v>
      </c>
      <c r="O447" s="29">
        <v>247.07</v>
      </c>
      <c r="P447" t="str">
        <f>IF(Table1[[#This Row],[UnitPrice]]&lt;=0,"Check","OK")</f>
        <v>OK</v>
      </c>
      <c r="Q447" s="29">
        <f t="shared" si="92"/>
        <v>495.19</v>
      </c>
      <c r="R447">
        <v>495.19</v>
      </c>
      <c r="S447" s="5">
        <f>IF(Table1[[#This Row],[Discount_Flag]]="Check", MIN(MAX(Table1[[#This Row],[DiscountPct]],0),0.3), Table1[[#This Row],[DiscountPct]])</f>
        <v>2.8000000000000001E-2</v>
      </c>
      <c r="T447" t="str">
        <f>IF(OR(Table1[[#This Row],[DiscountPct]]&lt;0,Table1[[#This Row],[DiscountPct]]&gt;0.3),"Check","OK")</f>
        <v>OK</v>
      </c>
      <c r="U447" s="11">
        <v>2.8000000000000001E-2</v>
      </c>
      <c r="V447" s="15">
        <f t="shared" si="93"/>
        <v>0</v>
      </c>
      <c r="W447" s="11">
        <f t="shared" si="94"/>
        <v>0.48668744764968214</v>
      </c>
      <c r="X447" s="17">
        <f t="shared" si="95"/>
        <v>988.28</v>
      </c>
      <c r="Y447" s="17">
        <f t="shared" si="96"/>
        <v>937.01872000000003</v>
      </c>
      <c r="Z447" s="17">
        <f t="shared" si="97"/>
        <v>1925.29872</v>
      </c>
      <c r="AA447" s="17" t="str">
        <f t="shared" si="98"/>
        <v>Q2-2023</v>
      </c>
      <c r="AB447" s="12" t="str">
        <f t="shared" si="99"/>
        <v>Jun-2023</v>
      </c>
      <c r="AC447" s="12" t="str">
        <f t="shared" si="100"/>
        <v>Low</v>
      </c>
      <c r="AD447">
        <v>4</v>
      </c>
      <c r="AE447" s="12">
        <f>_xlfn.MINIFS(Table1[MonthDate], Table1[Country], Table1[[#This Row],[Country]])</f>
        <v>44927</v>
      </c>
      <c r="AF447" s="12">
        <f t="shared" si="101"/>
        <v>45078</v>
      </c>
      <c r="AG447">
        <f>AD447*(1 + Scenario_Control!$B$4)</f>
        <v>4.4000000000000004</v>
      </c>
      <c r="AH447">
        <f>O447*(1 + Scenario_Control!$B$3)</f>
        <v>259.42349999999999</v>
      </c>
      <c r="AI447">
        <f t="shared" si="102"/>
        <v>423.56571840000004</v>
      </c>
      <c r="AJ447">
        <f t="shared" si="103"/>
        <v>-717.89768160000006</v>
      </c>
      <c r="AK447" s="29">
        <f>MIN(Q447*(1-U447), Scenario_Control!$B$2*Q447)</f>
        <v>99.038000000000011</v>
      </c>
      <c r="AL447" s="15">
        <f t="shared" si="104"/>
        <v>0</v>
      </c>
      <c r="AM447" s="8">
        <f>DATEDIF(Table1[[#This Row],[Country_FirstMonth]], Table1[[#This Row],[MonthDate]], "m")</f>
        <v>5</v>
      </c>
    </row>
    <row r="448" spans="1:39" x14ac:dyDescent="0.25">
      <c r="A448" t="s">
        <v>460</v>
      </c>
      <c r="B448" s="12">
        <v>45284</v>
      </c>
      <c r="C448" s="12">
        <f t="shared" si="90"/>
        <v>45304</v>
      </c>
      <c r="D448" s="2" t="str">
        <f>IF(Table1[[#This Row],[RequiredDate]]&lt;Table1[[#This Row],[OrderDate]],"Check","OK")</f>
        <v>OK</v>
      </c>
      <c r="E448" s="2">
        <v>45304</v>
      </c>
      <c r="F448" s="15">
        <f t="shared" si="91"/>
        <v>20</v>
      </c>
      <c r="G448" t="s">
        <v>647</v>
      </c>
      <c r="H448" t="s">
        <v>652</v>
      </c>
      <c r="I448" t="s">
        <v>694</v>
      </c>
      <c r="J448" t="s">
        <v>702</v>
      </c>
      <c r="K448" t="s">
        <v>711</v>
      </c>
      <c r="L448" t="s">
        <v>717</v>
      </c>
      <c r="M448" t="s">
        <v>731</v>
      </c>
      <c r="N448" t="s">
        <v>1179</v>
      </c>
      <c r="O448" s="29">
        <v>625.37</v>
      </c>
      <c r="P448" t="str">
        <f>IF(Table1[[#This Row],[UnitPrice]]&lt;=0,"Check","OK")</f>
        <v>OK</v>
      </c>
      <c r="Q448" s="29">
        <f t="shared" si="92"/>
        <v>1319.04</v>
      </c>
      <c r="R448">
        <v>1319.04</v>
      </c>
      <c r="S448" s="5">
        <f>IF(Table1[[#This Row],[Discount_Flag]]="Check", MIN(MAX(Table1[[#This Row],[DiscountPct]],0),0.3), Table1[[#This Row],[DiscountPct]])</f>
        <v>7.3999999999999996E-2</v>
      </c>
      <c r="T448" t="str">
        <f>IF(OR(Table1[[#This Row],[DiscountPct]]&lt;0,Table1[[#This Row],[DiscountPct]]&gt;0.3),"Check","OK")</f>
        <v>OK</v>
      </c>
      <c r="U448" s="11">
        <v>7.3999999999999996E-2</v>
      </c>
      <c r="V448" s="15">
        <f t="shared" si="93"/>
        <v>0</v>
      </c>
      <c r="W448" s="11">
        <f t="shared" si="94"/>
        <v>0.48800220436513547</v>
      </c>
      <c r="X448" s="17">
        <f t="shared" si="95"/>
        <v>5002.96</v>
      </c>
      <c r="Y448" s="17">
        <f t="shared" si="96"/>
        <v>4768.4883199999995</v>
      </c>
      <c r="Z448" s="17">
        <f t="shared" si="97"/>
        <v>9771.4483199999995</v>
      </c>
      <c r="AA448" s="17" t="str">
        <f t="shared" si="98"/>
        <v>Q4-2023</v>
      </c>
      <c r="AB448" s="12" t="str">
        <f t="shared" si="99"/>
        <v>Dec-2023</v>
      </c>
      <c r="AC448" s="12" t="str">
        <f t="shared" si="100"/>
        <v>Medium</v>
      </c>
      <c r="AD448">
        <v>8</v>
      </c>
      <c r="AE448" s="12">
        <f>_xlfn.MINIFS(Table1[MonthDate], Table1[Country], Table1[[#This Row],[Country]])</f>
        <v>44986</v>
      </c>
      <c r="AF448" s="12">
        <f t="shared" si="101"/>
        <v>45261</v>
      </c>
      <c r="AG448">
        <f>AD448*(1 + Scenario_Control!$B$4)</f>
        <v>8.8000000000000007</v>
      </c>
      <c r="AH448">
        <f>O448*(1 + Scenario_Control!$B$3)</f>
        <v>656.63850000000002</v>
      </c>
      <c r="AI448">
        <f t="shared" si="102"/>
        <v>2149.7186304000002</v>
      </c>
      <c r="AJ448">
        <f t="shared" si="103"/>
        <v>-3628.7001696000002</v>
      </c>
      <c r="AK448" s="29">
        <f>MIN(Q448*(1-U448), Scenario_Control!$B$2*Q448)</f>
        <v>263.80799999999999</v>
      </c>
      <c r="AL448" s="15">
        <f t="shared" si="104"/>
        <v>0</v>
      </c>
      <c r="AM448" s="8">
        <f>DATEDIF(Table1[[#This Row],[Country_FirstMonth]], Table1[[#This Row],[MonthDate]], "m")</f>
        <v>9</v>
      </c>
    </row>
    <row r="449" spans="1:39" x14ac:dyDescent="0.25">
      <c r="A449" t="s">
        <v>461</v>
      </c>
      <c r="B449" s="12">
        <v>45746</v>
      </c>
      <c r="C449" s="12">
        <f t="shared" si="90"/>
        <v>45776</v>
      </c>
      <c r="D449" s="2" t="str">
        <f>IF(Table1[[#This Row],[RequiredDate]]&lt;Table1[[#This Row],[OrderDate]],"Check","OK")</f>
        <v>OK</v>
      </c>
      <c r="E449" s="2">
        <v>45776</v>
      </c>
      <c r="F449" s="15">
        <f t="shared" si="91"/>
        <v>30</v>
      </c>
      <c r="G449" t="s">
        <v>646</v>
      </c>
      <c r="H449" t="s">
        <v>661</v>
      </c>
      <c r="I449" t="s">
        <v>687</v>
      </c>
      <c r="J449" t="s">
        <v>704</v>
      </c>
      <c r="K449" t="s">
        <v>709</v>
      </c>
      <c r="L449" t="s">
        <v>713</v>
      </c>
      <c r="M449" t="s">
        <v>732</v>
      </c>
      <c r="N449" t="s">
        <v>1180</v>
      </c>
      <c r="O449" s="29">
        <v>194.6</v>
      </c>
      <c r="P449" t="str">
        <f>IF(Table1[[#This Row],[UnitPrice]]&lt;=0,"Check","OK")</f>
        <v>OK</v>
      </c>
      <c r="Q449" s="29">
        <f t="shared" si="92"/>
        <v>314.87</v>
      </c>
      <c r="R449">
        <v>314.87</v>
      </c>
      <c r="S449" s="5">
        <f>IF(Table1[[#This Row],[Discount_Flag]]="Check", MIN(MAX(Table1[[#This Row],[DiscountPct]],0),0.3), Table1[[#This Row],[DiscountPct]])</f>
        <v>0.29299999999999998</v>
      </c>
      <c r="T449" t="str">
        <f>IF(OR(Table1[[#This Row],[DiscountPct]]&lt;0,Table1[[#This Row],[DiscountPct]]&gt;0.3),"Check","OK")</f>
        <v>OK</v>
      </c>
      <c r="U449" s="11">
        <v>0.29299999999999998</v>
      </c>
      <c r="V449" s="15">
        <f t="shared" si="93"/>
        <v>1</v>
      </c>
      <c r="W449" s="11">
        <f t="shared" si="94"/>
        <v>0.1258375686712763</v>
      </c>
      <c r="X449" s="17">
        <f t="shared" si="95"/>
        <v>4865</v>
      </c>
      <c r="Y449" s="17">
        <f t="shared" si="96"/>
        <v>700.32725000000028</v>
      </c>
      <c r="Z449" s="17">
        <f t="shared" si="97"/>
        <v>5565.3272500000003</v>
      </c>
      <c r="AA449" s="17" t="str">
        <f t="shared" si="98"/>
        <v>Q1-2025</v>
      </c>
      <c r="AB449" s="12" t="str">
        <f t="shared" si="99"/>
        <v>Mar-2025</v>
      </c>
      <c r="AC449" s="12" t="str">
        <f t="shared" si="100"/>
        <v>Low</v>
      </c>
      <c r="AD449">
        <v>25</v>
      </c>
      <c r="AE449" s="12">
        <f>_xlfn.MINIFS(Table1[MonthDate], Table1[Country], Table1[[#This Row],[Country]])</f>
        <v>44927</v>
      </c>
      <c r="AF449" s="12">
        <f t="shared" si="101"/>
        <v>45717</v>
      </c>
      <c r="AG449">
        <f>AD449*(1 + Scenario_Control!$B$4)</f>
        <v>27.500000000000004</v>
      </c>
      <c r="AH449">
        <f>O449*(1 + Scenario_Control!$B$3)</f>
        <v>204.33</v>
      </c>
      <c r="AI449">
        <f t="shared" si="102"/>
        <v>1224.3719950000004</v>
      </c>
      <c r="AJ449">
        <f t="shared" si="103"/>
        <v>-4394.7030050000003</v>
      </c>
      <c r="AK449" s="29">
        <f>MIN(Q449*(1-U449), Scenario_Control!$B$2*Q449)</f>
        <v>62.974000000000004</v>
      </c>
      <c r="AL449" s="15">
        <f t="shared" si="104"/>
        <v>0</v>
      </c>
      <c r="AM449" s="8">
        <f>DATEDIF(Table1[[#This Row],[Country_FirstMonth]], Table1[[#This Row],[MonthDate]], "m")</f>
        <v>26</v>
      </c>
    </row>
    <row r="450" spans="1:39" x14ac:dyDescent="0.25">
      <c r="A450" t="s">
        <v>462</v>
      </c>
      <c r="B450" s="12">
        <v>45446</v>
      </c>
      <c r="C450" s="12">
        <f t="shared" ref="C450:C513" si="105">IF(D450="Check",B450+7,E450)</f>
        <v>45467</v>
      </c>
      <c r="D450" s="2" t="str">
        <f>IF(Table1[[#This Row],[RequiredDate]]&lt;Table1[[#This Row],[OrderDate]],"Check","OK")</f>
        <v>OK</v>
      </c>
      <c r="E450" s="2">
        <v>45467</v>
      </c>
      <c r="F450" s="15">
        <f t="shared" ref="F450:F513" si="106">C450-B450</f>
        <v>21</v>
      </c>
      <c r="G450" t="s">
        <v>648</v>
      </c>
      <c r="H450" t="s">
        <v>653</v>
      </c>
      <c r="I450" t="s">
        <v>667</v>
      </c>
      <c r="J450" t="s">
        <v>705</v>
      </c>
      <c r="K450" t="s">
        <v>711</v>
      </c>
      <c r="L450" t="s">
        <v>715</v>
      </c>
      <c r="M450" t="s">
        <v>732</v>
      </c>
      <c r="N450" t="s">
        <v>1181</v>
      </c>
      <c r="O450" s="29">
        <v>1205.5</v>
      </c>
      <c r="P450" t="str">
        <f>IF(Table1[[#This Row],[UnitPrice]]&lt;=0,"Check","OK")</f>
        <v>OK</v>
      </c>
      <c r="Q450" s="29">
        <f t="shared" ref="Q450:Q513" si="107">IF(R450&lt;0,0,R450)</f>
        <v>2210.17</v>
      </c>
      <c r="R450">
        <v>2210.17</v>
      </c>
      <c r="S450" s="5">
        <f>IF(Table1[[#This Row],[Discount_Flag]]="Check", MIN(MAX(Table1[[#This Row],[DiscountPct]],0),0.3), Table1[[#This Row],[DiscountPct]])</f>
        <v>0.104</v>
      </c>
      <c r="T450" t="str">
        <f>IF(OR(Table1[[#This Row],[DiscountPct]]&lt;0,Table1[[#This Row],[DiscountPct]]&gt;0.3),"Check","OK")</f>
        <v>OK</v>
      </c>
      <c r="U450" s="11">
        <v>0.104</v>
      </c>
      <c r="V450" s="15">
        <f t="shared" ref="V450:V513" si="108">IF(U450&gt;0.2,1,0)</f>
        <v>0</v>
      </c>
      <c r="W450" s="11">
        <f t="shared" ref="W450:W513" si="109">IF(Z450=0, 0, Y450/Z450)</f>
        <v>0.39125763758314652</v>
      </c>
      <c r="X450" s="17">
        <f t="shared" ref="X450:X513" si="110">O450*AD450</f>
        <v>27726.5</v>
      </c>
      <c r="Y450" s="17">
        <f t="shared" ref="Y450:Y513" si="111">Z450-X450</f>
        <v>17820.683360000003</v>
      </c>
      <c r="Z450" s="17">
        <f t="shared" ref="Z450:Z513" si="112">Q450*AD450*(1-S450)</f>
        <v>45547.183360000003</v>
      </c>
      <c r="AA450" s="17" t="str">
        <f t="shared" ref="AA450:AA513" si="113">"Q"&amp;ROUNDUP(MONTH(B450)/3,0)&amp;"-"&amp;YEAR(B450)</f>
        <v>Q2-2024</v>
      </c>
      <c r="AB450" s="12" t="str">
        <f t="shared" ref="AB450:AB513" si="114">TEXT(B450,"MMM-YYYY")</f>
        <v>Jun-2024</v>
      </c>
      <c r="AC450" s="12" t="str">
        <f t="shared" ref="AC450:AC513" si="115">IF(Q450&lt;=$AE$639,"Low",IF(Q450&lt;=$AE$641,"Medium","High"))</f>
        <v>High</v>
      </c>
      <c r="AD450">
        <v>23</v>
      </c>
      <c r="AE450" s="12">
        <f>_xlfn.MINIFS(Table1[MonthDate], Table1[Country], Table1[[#This Row],[Country]])</f>
        <v>44927</v>
      </c>
      <c r="AF450" s="12">
        <f t="shared" ref="AF450:AF513" si="116">DATE(YEAR(B450), MONTH(B450), 1)</f>
        <v>45444</v>
      </c>
      <c r="AG450">
        <f>AD450*(1 + Scenario_Control!$B$4)</f>
        <v>25.3</v>
      </c>
      <c r="AH450">
        <f>O450*(1 + Scenario_Control!$B$3)</f>
        <v>1265.7750000000001</v>
      </c>
      <c r="AI450">
        <f t="shared" ref="AI450:AI513" si="117">AK450 * AG450 * (1 - U450)</f>
        <v>10020.380339200001</v>
      </c>
      <c r="AJ450">
        <f t="shared" ref="AJ450:AJ513" si="118">AI450 - (AH450 * AG450)</f>
        <v>-22003.727160800001</v>
      </c>
      <c r="AK450" s="29">
        <f>MIN(Q450*(1-U450), Scenario_Control!$B$2*Q450)</f>
        <v>442.03400000000005</v>
      </c>
      <c r="AL450" s="15">
        <f t="shared" ref="AL450:AL513" si="119">IF(F450&lt;=7,1,0)</f>
        <v>0</v>
      </c>
      <c r="AM450" s="8">
        <f>DATEDIF(Table1[[#This Row],[Country_FirstMonth]], Table1[[#This Row],[MonthDate]], "m")</f>
        <v>17</v>
      </c>
    </row>
    <row r="451" spans="1:39" x14ac:dyDescent="0.25">
      <c r="A451" t="s">
        <v>463</v>
      </c>
      <c r="B451" s="12">
        <v>45454</v>
      </c>
      <c r="C451" s="12">
        <f t="shared" si="105"/>
        <v>45482</v>
      </c>
      <c r="D451" s="2" t="str">
        <f>IF(Table1[[#This Row],[RequiredDate]]&lt;Table1[[#This Row],[OrderDate]],"Check","OK")</f>
        <v>OK</v>
      </c>
      <c r="E451" s="2">
        <v>45482</v>
      </c>
      <c r="F451" s="15">
        <f t="shared" si="106"/>
        <v>28</v>
      </c>
      <c r="G451" t="s">
        <v>646</v>
      </c>
      <c r="H451" t="s">
        <v>651</v>
      </c>
      <c r="I451" t="s">
        <v>663</v>
      </c>
      <c r="J451" t="s">
        <v>701</v>
      </c>
      <c r="K451" t="s">
        <v>709</v>
      </c>
      <c r="L451" t="s">
        <v>714</v>
      </c>
      <c r="M451" t="s">
        <v>730</v>
      </c>
      <c r="N451" t="s">
        <v>1182</v>
      </c>
      <c r="O451" s="29">
        <v>895.54</v>
      </c>
      <c r="P451" t="str">
        <f>IF(Table1[[#This Row],[UnitPrice]]&lt;=0,"Check","OK")</f>
        <v>OK</v>
      </c>
      <c r="Q451" s="29">
        <f t="shared" si="107"/>
        <v>1045</v>
      </c>
      <c r="R451">
        <v>1045</v>
      </c>
      <c r="S451" s="5">
        <f>IF(Table1[[#This Row],[Discount_Flag]]="Check", MIN(MAX(Table1[[#This Row],[DiscountPct]],0),0.3), Table1[[#This Row],[DiscountPct]])</f>
        <v>0.216</v>
      </c>
      <c r="T451" t="str">
        <f>IF(OR(Table1[[#This Row],[DiscountPct]]&lt;0,Table1[[#This Row],[DiscountPct]]&gt;0.3),"Check","OK")</f>
        <v>OK</v>
      </c>
      <c r="U451" s="11">
        <v>0.216</v>
      </c>
      <c r="V451" s="15">
        <f t="shared" si="108"/>
        <v>1</v>
      </c>
      <c r="W451" s="11">
        <f t="shared" si="109"/>
        <v>-9.3081730299775234E-2</v>
      </c>
      <c r="X451" s="17">
        <f t="shared" si="110"/>
        <v>13433.099999999999</v>
      </c>
      <c r="Y451" s="17">
        <f t="shared" si="111"/>
        <v>-1143.8999999999978</v>
      </c>
      <c r="Z451" s="17">
        <f t="shared" si="112"/>
        <v>12289.2</v>
      </c>
      <c r="AA451" s="17" t="str">
        <f t="shared" si="113"/>
        <v>Q2-2024</v>
      </c>
      <c r="AB451" s="12" t="str">
        <f t="shared" si="114"/>
        <v>Jun-2024</v>
      </c>
      <c r="AC451" s="12" t="str">
        <f t="shared" si="115"/>
        <v>Medium</v>
      </c>
      <c r="AD451">
        <v>15</v>
      </c>
      <c r="AE451" s="12">
        <f>_xlfn.MINIFS(Table1[MonthDate], Table1[Country], Table1[[#This Row],[Country]])</f>
        <v>44927</v>
      </c>
      <c r="AF451" s="12">
        <f t="shared" si="116"/>
        <v>45444</v>
      </c>
      <c r="AG451">
        <f>AD451*(1 + Scenario_Control!$B$4)</f>
        <v>16.5</v>
      </c>
      <c r="AH451">
        <f>O451*(1 + Scenario_Control!$B$3)</f>
        <v>940.31700000000001</v>
      </c>
      <c r="AI451">
        <f t="shared" si="117"/>
        <v>2703.6240000000003</v>
      </c>
      <c r="AJ451">
        <f t="shared" si="118"/>
        <v>-12811.6065</v>
      </c>
      <c r="AK451" s="29">
        <f>MIN(Q451*(1-U451), Scenario_Control!$B$2*Q451)</f>
        <v>209</v>
      </c>
      <c r="AL451" s="15">
        <f t="shared" si="119"/>
        <v>0</v>
      </c>
      <c r="AM451" s="8">
        <f>DATEDIF(Table1[[#This Row],[Country_FirstMonth]], Table1[[#This Row],[MonthDate]], "m")</f>
        <v>17</v>
      </c>
    </row>
    <row r="452" spans="1:39" x14ac:dyDescent="0.25">
      <c r="A452" t="s">
        <v>464</v>
      </c>
      <c r="B452" s="12">
        <v>45129</v>
      </c>
      <c r="C452" s="12">
        <f t="shared" si="105"/>
        <v>45136</v>
      </c>
      <c r="D452" s="2" t="str">
        <f>IF(Table1[[#This Row],[RequiredDate]]&lt;Table1[[#This Row],[OrderDate]],"Check","OK")</f>
        <v>Check</v>
      </c>
      <c r="E452" s="2">
        <v>45128</v>
      </c>
      <c r="F452" s="15">
        <f t="shared" si="106"/>
        <v>7</v>
      </c>
      <c r="G452" t="s">
        <v>647</v>
      </c>
      <c r="H452" t="s">
        <v>654</v>
      </c>
      <c r="I452" t="s">
        <v>680</v>
      </c>
      <c r="J452" t="s">
        <v>705</v>
      </c>
      <c r="K452" t="s">
        <v>710</v>
      </c>
      <c r="L452" t="s">
        <v>718</v>
      </c>
      <c r="M452" t="s">
        <v>728</v>
      </c>
      <c r="N452" t="s">
        <v>1183</v>
      </c>
      <c r="O452" s="29">
        <v>946.99</v>
      </c>
      <c r="P452" t="str">
        <f>IF(Table1[[#This Row],[UnitPrice]]&lt;=0,"Check","OK")</f>
        <v>OK</v>
      </c>
      <c r="Q452" s="29">
        <f t="shared" si="107"/>
        <v>2132.19</v>
      </c>
      <c r="R452">
        <v>2132.19</v>
      </c>
      <c r="S452" s="5">
        <f>IF(Table1[[#This Row],[Discount_Flag]]="Check", MIN(MAX(Table1[[#This Row],[DiscountPct]],0),0.3), Table1[[#This Row],[DiscountPct]])</f>
        <v>0.16500000000000001</v>
      </c>
      <c r="T452" t="str">
        <f>IF(OR(Table1[[#This Row],[DiscountPct]]&lt;0,Table1[[#This Row],[DiscountPct]]&gt;0.3),"Check","OK")</f>
        <v>OK</v>
      </c>
      <c r="U452" s="11">
        <v>0.16500000000000001</v>
      </c>
      <c r="V452" s="15">
        <f t="shared" si="108"/>
        <v>0</v>
      </c>
      <c r="W452" s="11">
        <f t="shared" si="109"/>
        <v>0.46809629513362228</v>
      </c>
      <c r="X452" s="17">
        <f t="shared" si="110"/>
        <v>6628.93</v>
      </c>
      <c r="Y452" s="17">
        <f t="shared" si="111"/>
        <v>5833.72055</v>
      </c>
      <c r="Z452" s="17">
        <f t="shared" si="112"/>
        <v>12462.65055</v>
      </c>
      <c r="AA452" s="17" t="str">
        <f t="shared" si="113"/>
        <v>Q3-2023</v>
      </c>
      <c r="AB452" s="12" t="str">
        <f t="shared" si="114"/>
        <v>Jul-2023</v>
      </c>
      <c r="AC452" s="12" t="str">
        <f t="shared" si="115"/>
        <v>High</v>
      </c>
      <c r="AD452">
        <v>7</v>
      </c>
      <c r="AE452" s="12">
        <f>_xlfn.MINIFS(Table1[MonthDate], Table1[Country], Table1[[#This Row],[Country]])</f>
        <v>44927</v>
      </c>
      <c r="AF452" s="12">
        <f t="shared" si="116"/>
        <v>45108</v>
      </c>
      <c r="AG452">
        <f>AD452*(1 + Scenario_Control!$B$4)</f>
        <v>7.7000000000000011</v>
      </c>
      <c r="AH452">
        <f>O452*(1 + Scenario_Control!$B$3)</f>
        <v>994.33950000000004</v>
      </c>
      <c r="AI452">
        <f t="shared" si="117"/>
        <v>2741.7831210000004</v>
      </c>
      <c r="AJ452">
        <f t="shared" si="118"/>
        <v>-4914.631029000001</v>
      </c>
      <c r="AK452" s="29">
        <f>MIN(Q452*(1-U452), Scenario_Control!$B$2*Q452)</f>
        <v>426.43800000000005</v>
      </c>
      <c r="AL452" s="15">
        <f t="shared" si="119"/>
        <v>1</v>
      </c>
      <c r="AM452" s="8">
        <f>DATEDIF(Table1[[#This Row],[Country_FirstMonth]], Table1[[#This Row],[MonthDate]], "m")</f>
        <v>6</v>
      </c>
    </row>
    <row r="453" spans="1:39" x14ac:dyDescent="0.25">
      <c r="A453" t="s">
        <v>465</v>
      </c>
      <c r="B453" s="12">
        <v>44945</v>
      </c>
      <c r="C453" s="12">
        <f t="shared" si="105"/>
        <v>44960</v>
      </c>
      <c r="D453" s="2" t="str">
        <f>IF(Table1[[#This Row],[RequiredDate]]&lt;Table1[[#This Row],[OrderDate]],"Check","OK")</f>
        <v>OK</v>
      </c>
      <c r="E453" s="2">
        <v>44960</v>
      </c>
      <c r="F453" s="15">
        <f t="shared" si="106"/>
        <v>15</v>
      </c>
      <c r="G453" t="s">
        <v>649</v>
      </c>
      <c r="H453" t="s">
        <v>658</v>
      </c>
      <c r="I453" t="s">
        <v>683</v>
      </c>
      <c r="J453" t="s">
        <v>706</v>
      </c>
      <c r="K453" t="s">
        <v>710</v>
      </c>
      <c r="L453" t="s">
        <v>715</v>
      </c>
      <c r="M453" t="s">
        <v>733</v>
      </c>
      <c r="N453" t="s">
        <v>1184</v>
      </c>
      <c r="O453" s="29">
        <v>873.06</v>
      </c>
      <c r="P453" t="str">
        <f>IF(Table1[[#This Row],[UnitPrice]]&lt;=0,"Check","OK")</f>
        <v>OK</v>
      </c>
      <c r="Q453" s="29">
        <f t="shared" si="107"/>
        <v>2101.5500000000002</v>
      </c>
      <c r="R453">
        <v>2101.5500000000002</v>
      </c>
      <c r="S453" s="5">
        <f>IF(Table1[[#This Row],[Discount_Flag]]="Check", MIN(MAX(Table1[[#This Row],[DiscountPct]],0),0.3), Table1[[#This Row],[DiscountPct]])</f>
        <v>6.6000000000000003E-2</v>
      </c>
      <c r="T453" t="str">
        <f>IF(OR(Table1[[#This Row],[DiscountPct]]&lt;0,Table1[[#This Row],[DiscountPct]]&gt;0.3),"Check","OK")</f>
        <v>OK</v>
      </c>
      <c r="U453" s="11">
        <v>6.6000000000000003E-2</v>
      </c>
      <c r="V453" s="15">
        <f t="shared" si="108"/>
        <v>0</v>
      </c>
      <c r="W453" s="11">
        <f t="shared" si="109"/>
        <v>0.55520746719167269</v>
      </c>
      <c r="X453" s="17">
        <f t="shared" si="110"/>
        <v>8730.5999999999985</v>
      </c>
      <c r="Y453" s="17">
        <f t="shared" si="111"/>
        <v>10897.877</v>
      </c>
      <c r="Z453" s="17">
        <f t="shared" si="112"/>
        <v>19628.476999999999</v>
      </c>
      <c r="AA453" s="17" t="str">
        <f t="shared" si="113"/>
        <v>Q1-2023</v>
      </c>
      <c r="AB453" s="12" t="str">
        <f t="shared" si="114"/>
        <v>Jan-2023</v>
      </c>
      <c r="AC453" s="12" t="str">
        <f t="shared" si="115"/>
        <v>High</v>
      </c>
      <c r="AD453">
        <v>10</v>
      </c>
      <c r="AE453" s="12">
        <f>_xlfn.MINIFS(Table1[MonthDate], Table1[Country], Table1[[#This Row],[Country]])</f>
        <v>44927</v>
      </c>
      <c r="AF453" s="12">
        <f t="shared" si="116"/>
        <v>44927</v>
      </c>
      <c r="AG453">
        <f>AD453*(1 + Scenario_Control!$B$4)</f>
        <v>11</v>
      </c>
      <c r="AH453">
        <f>O453*(1 + Scenario_Control!$B$3)</f>
        <v>916.71299999999997</v>
      </c>
      <c r="AI453">
        <f t="shared" si="117"/>
        <v>4318.26494</v>
      </c>
      <c r="AJ453">
        <f t="shared" si="118"/>
        <v>-5765.5780599999989</v>
      </c>
      <c r="AK453" s="29">
        <f>MIN(Q453*(1-U453), Scenario_Control!$B$2*Q453)</f>
        <v>420.31000000000006</v>
      </c>
      <c r="AL453" s="15">
        <f t="shared" si="119"/>
        <v>0</v>
      </c>
      <c r="AM453" s="8">
        <f>DATEDIF(Table1[[#This Row],[Country_FirstMonth]], Table1[[#This Row],[MonthDate]], "m")</f>
        <v>0</v>
      </c>
    </row>
    <row r="454" spans="1:39" x14ac:dyDescent="0.25">
      <c r="A454" t="s">
        <v>466</v>
      </c>
      <c r="B454" s="12">
        <v>45413</v>
      </c>
      <c r="C454" s="12">
        <f t="shared" si="105"/>
        <v>45428</v>
      </c>
      <c r="D454" s="2" t="str">
        <f>IF(Table1[[#This Row],[RequiredDate]]&lt;Table1[[#This Row],[OrderDate]],"Check","OK")</f>
        <v>OK</v>
      </c>
      <c r="E454" s="2">
        <v>45428</v>
      </c>
      <c r="F454" s="15">
        <f t="shared" si="106"/>
        <v>15</v>
      </c>
      <c r="G454" t="s">
        <v>647</v>
      </c>
      <c r="H454" t="s">
        <v>654</v>
      </c>
      <c r="I454" t="s">
        <v>668</v>
      </c>
      <c r="J454" t="s">
        <v>705</v>
      </c>
      <c r="K454" t="s">
        <v>707</v>
      </c>
      <c r="L454" t="s">
        <v>716</v>
      </c>
      <c r="M454" t="s">
        <v>727</v>
      </c>
      <c r="N454" t="s">
        <v>1185</v>
      </c>
      <c r="O454" s="29">
        <v>901.19</v>
      </c>
      <c r="P454" t="str">
        <f>IF(Table1[[#This Row],[UnitPrice]]&lt;=0,"Check","OK")</f>
        <v>OK</v>
      </c>
      <c r="Q454" s="29">
        <f t="shared" si="107"/>
        <v>2125.44</v>
      </c>
      <c r="R454">
        <v>2125.44</v>
      </c>
      <c r="S454" s="5">
        <f>IF(Table1[[#This Row],[Discount_Flag]]="Check", MIN(MAX(Table1[[#This Row],[DiscountPct]],0),0.3), Table1[[#This Row],[DiscountPct]])</f>
        <v>7.0999999999999994E-2</v>
      </c>
      <c r="T454" t="str">
        <f>IF(OR(Table1[[#This Row],[DiscountPct]]&lt;0,Table1[[#This Row],[DiscountPct]]&gt;0.3),"Check","OK")</f>
        <v>OK</v>
      </c>
      <c r="U454" s="11">
        <v>7.0999999999999994E-2</v>
      </c>
      <c r="V454" s="15">
        <f t="shared" si="108"/>
        <v>0</v>
      </c>
      <c r="W454" s="11">
        <f t="shared" si="109"/>
        <v>0.54359352154100415</v>
      </c>
      <c r="X454" s="17">
        <f t="shared" si="110"/>
        <v>10814.28</v>
      </c>
      <c r="Y454" s="17">
        <f t="shared" si="111"/>
        <v>12880.125119999999</v>
      </c>
      <c r="Z454" s="17">
        <f t="shared" si="112"/>
        <v>23694.405119999999</v>
      </c>
      <c r="AA454" s="17" t="str">
        <f t="shared" si="113"/>
        <v>Q2-2024</v>
      </c>
      <c r="AB454" s="12" t="str">
        <f t="shared" si="114"/>
        <v>May-2024</v>
      </c>
      <c r="AC454" s="12" t="str">
        <f t="shared" si="115"/>
        <v>High</v>
      </c>
      <c r="AD454">
        <v>12</v>
      </c>
      <c r="AE454" s="12">
        <f>_xlfn.MINIFS(Table1[MonthDate], Table1[Country], Table1[[#This Row],[Country]])</f>
        <v>44927</v>
      </c>
      <c r="AF454" s="12">
        <f t="shared" si="116"/>
        <v>45413</v>
      </c>
      <c r="AG454">
        <f>AD454*(1 + Scenario_Control!$B$4)</f>
        <v>13.200000000000001</v>
      </c>
      <c r="AH454">
        <f>O454*(1 + Scenario_Control!$B$3)</f>
        <v>946.24950000000013</v>
      </c>
      <c r="AI454">
        <f t="shared" si="117"/>
        <v>5212.7691264000005</v>
      </c>
      <c r="AJ454">
        <f t="shared" si="118"/>
        <v>-7277.7242736000026</v>
      </c>
      <c r="AK454" s="29">
        <f>MIN(Q454*(1-U454), Scenario_Control!$B$2*Q454)</f>
        <v>425.08800000000002</v>
      </c>
      <c r="AL454" s="15">
        <f t="shared" si="119"/>
        <v>0</v>
      </c>
      <c r="AM454" s="8">
        <f>DATEDIF(Table1[[#This Row],[Country_FirstMonth]], Table1[[#This Row],[MonthDate]], "m")</f>
        <v>16</v>
      </c>
    </row>
    <row r="455" spans="1:39" x14ac:dyDescent="0.25">
      <c r="A455" t="s">
        <v>467</v>
      </c>
      <c r="B455" s="12">
        <v>45817</v>
      </c>
      <c r="C455" s="12">
        <f t="shared" si="105"/>
        <v>45832</v>
      </c>
      <c r="D455" s="2" t="str">
        <f>IF(Table1[[#This Row],[RequiredDate]]&lt;Table1[[#This Row],[OrderDate]],"Check","OK")</f>
        <v>OK</v>
      </c>
      <c r="E455" s="2">
        <v>45832</v>
      </c>
      <c r="F455" s="15">
        <f t="shared" si="106"/>
        <v>15</v>
      </c>
      <c r="G455" t="s">
        <v>647</v>
      </c>
      <c r="H455" t="s">
        <v>652</v>
      </c>
      <c r="I455" t="s">
        <v>694</v>
      </c>
      <c r="J455" t="s">
        <v>701</v>
      </c>
      <c r="K455" t="s">
        <v>711</v>
      </c>
      <c r="L455" t="s">
        <v>717</v>
      </c>
      <c r="M455" t="s">
        <v>730</v>
      </c>
      <c r="N455" t="s">
        <v>1186</v>
      </c>
      <c r="O455" s="29">
        <v>400.39</v>
      </c>
      <c r="P455" t="str">
        <f>IF(Table1[[#This Row],[UnitPrice]]&lt;=0,"Check","OK")</f>
        <v>OK</v>
      </c>
      <c r="Q455" s="29">
        <f t="shared" si="107"/>
        <v>712.75</v>
      </c>
      <c r="R455">
        <v>712.75</v>
      </c>
      <c r="S455" s="5">
        <f>IF(Table1[[#This Row],[Discount_Flag]]="Check", MIN(MAX(Table1[[#This Row],[DiscountPct]],0),0.3), Table1[[#This Row],[DiscountPct]])</f>
        <v>0.115</v>
      </c>
      <c r="T455" t="str">
        <f>IF(OR(Table1[[#This Row],[DiscountPct]]&lt;0,Table1[[#This Row],[DiscountPct]]&gt;0.3),"Check","OK")</f>
        <v>OK</v>
      </c>
      <c r="U455" s="11">
        <v>0.115</v>
      </c>
      <c r="V455" s="15">
        <f t="shared" si="108"/>
        <v>0</v>
      </c>
      <c r="W455" s="11">
        <f t="shared" si="109"/>
        <v>0.36524997671547504</v>
      </c>
      <c r="X455" s="17">
        <f t="shared" si="110"/>
        <v>7607.41</v>
      </c>
      <c r="Y455" s="17">
        <f t="shared" si="111"/>
        <v>4377.4812500000007</v>
      </c>
      <c r="Z455" s="17">
        <f t="shared" si="112"/>
        <v>11984.891250000001</v>
      </c>
      <c r="AA455" s="17" t="str">
        <f t="shared" si="113"/>
        <v>Q2-2025</v>
      </c>
      <c r="AB455" s="12" t="str">
        <f t="shared" si="114"/>
        <v>Jun-2025</v>
      </c>
      <c r="AC455" s="12" t="str">
        <f t="shared" si="115"/>
        <v>Medium</v>
      </c>
      <c r="AD455">
        <v>19</v>
      </c>
      <c r="AE455" s="12">
        <f>_xlfn.MINIFS(Table1[MonthDate], Table1[Country], Table1[[#This Row],[Country]])</f>
        <v>44986</v>
      </c>
      <c r="AF455" s="12">
        <f t="shared" si="116"/>
        <v>45809</v>
      </c>
      <c r="AG455">
        <f>AD455*(1 + Scenario_Control!$B$4)</f>
        <v>20.900000000000002</v>
      </c>
      <c r="AH455">
        <f>O455*(1 + Scenario_Control!$B$3)</f>
        <v>420.40949999999998</v>
      </c>
      <c r="AI455">
        <f t="shared" si="117"/>
        <v>2636.6760750000003</v>
      </c>
      <c r="AJ455">
        <f t="shared" si="118"/>
        <v>-6149.8824749999994</v>
      </c>
      <c r="AK455" s="29">
        <f>MIN(Q455*(1-U455), Scenario_Control!$B$2*Q455)</f>
        <v>142.55000000000001</v>
      </c>
      <c r="AL455" s="15">
        <f t="shared" si="119"/>
        <v>0</v>
      </c>
      <c r="AM455" s="8">
        <f>DATEDIF(Table1[[#This Row],[Country_FirstMonth]], Table1[[#This Row],[MonthDate]], "m")</f>
        <v>27</v>
      </c>
    </row>
    <row r="456" spans="1:39" x14ac:dyDescent="0.25">
      <c r="A456" t="s">
        <v>468</v>
      </c>
      <c r="B456" s="12">
        <v>45070</v>
      </c>
      <c r="C456" s="12">
        <f t="shared" si="105"/>
        <v>45098</v>
      </c>
      <c r="D456" s="2" t="str">
        <f>IF(Table1[[#This Row],[RequiredDate]]&lt;Table1[[#This Row],[OrderDate]],"Check","OK")</f>
        <v>OK</v>
      </c>
      <c r="E456" s="2">
        <v>45098</v>
      </c>
      <c r="F456" s="15">
        <f t="shared" si="106"/>
        <v>28</v>
      </c>
      <c r="G456" t="s">
        <v>648</v>
      </c>
      <c r="H456" t="s">
        <v>660</v>
      </c>
      <c r="I456" t="s">
        <v>697</v>
      </c>
      <c r="J456" t="s">
        <v>705</v>
      </c>
      <c r="K456" t="s">
        <v>709</v>
      </c>
      <c r="L456" t="s">
        <v>715</v>
      </c>
      <c r="M456" t="s">
        <v>732</v>
      </c>
      <c r="N456" t="s">
        <v>1187</v>
      </c>
      <c r="O456" s="29">
        <v>813.97</v>
      </c>
      <c r="P456" t="str">
        <f>IF(Table1[[#This Row],[UnitPrice]]&lt;=0,"Check","OK")</f>
        <v>OK</v>
      </c>
      <c r="Q456" s="29">
        <f t="shared" si="107"/>
        <v>1568.83</v>
      </c>
      <c r="R456">
        <v>1568.83</v>
      </c>
      <c r="S456" s="5">
        <f>IF(Table1[[#This Row],[Discount_Flag]]="Check", MIN(MAX(Table1[[#This Row],[DiscountPct]],0),0.3), Table1[[#This Row],[DiscountPct]])</f>
        <v>1.7000000000000001E-2</v>
      </c>
      <c r="T456" t="str">
        <f>IF(OR(Table1[[#This Row],[DiscountPct]]&lt;0,Table1[[#This Row],[DiscountPct]]&gt;0.3),"Check","OK")</f>
        <v>OK</v>
      </c>
      <c r="U456" s="11">
        <v>1.7000000000000001E-2</v>
      </c>
      <c r="V456" s="15">
        <f t="shared" si="108"/>
        <v>0</v>
      </c>
      <c r="W456" s="11">
        <f t="shared" si="109"/>
        <v>0.4721883215364911</v>
      </c>
      <c r="X456" s="17">
        <f t="shared" si="110"/>
        <v>12209.550000000001</v>
      </c>
      <c r="Y456" s="17">
        <f t="shared" si="111"/>
        <v>10922.848349999995</v>
      </c>
      <c r="Z456" s="17">
        <f t="shared" si="112"/>
        <v>23132.398349999996</v>
      </c>
      <c r="AA456" s="17" t="str">
        <f t="shared" si="113"/>
        <v>Q2-2023</v>
      </c>
      <c r="AB456" s="12" t="str">
        <f t="shared" si="114"/>
        <v>May-2023</v>
      </c>
      <c r="AC456" s="12" t="str">
        <f t="shared" si="115"/>
        <v>Medium</v>
      </c>
      <c r="AD456">
        <v>15</v>
      </c>
      <c r="AE456" s="12">
        <f>_xlfn.MINIFS(Table1[MonthDate], Table1[Country], Table1[[#This Row],[Country]])</f>
        <v>44927</v>
      </c>
      <c r="AF456" s="12">
        <f t="shared" si="116"/>
        <v>45047</v>
      </c>
      <c r="AG456">
        <f>AD456*(1 + Scenario_Control!$B$4)</f>
        <v>16.5</v>
      </c>
      <c r="AH456">
        <f>O456*(1 + Scenario_Control!$B$3)</f>
        <v>854.66850000000011</v>
      </c>
      <c r="AI456">
        <f t="shared" si="117"/>
        <v>5089.1276369999996</v>
      </c>
      <c r="AJ456">
        <f t="shared" si="118"/>
        <v>-9012.902613000002</v>
      </c>
      <c r="AK456" s="29">
        <f>MIN(Q456*(1-U456), Scenario_Control!$B$2*Q456)</f>
        <v>313.76600000000002</v>
      </c>
      <c r="AL456" s="15">
        <f t="shared" si="119"/>
        <v>0</v>
      </c>
      <c r="AM456" s="8">
        <f>DATEDIF(Table1[[#This Row],[Country_FirstMonth]], Table1[[#This Row],[MonthDate]], "m")</f>
        <v>4</v>
      </c>
    </row>
    <row r="457" spans="1:39" x14ac:dyDescent="0.25">
      <c r="A457" t="s">
        <v>469</v>
      </c>
      <c r="B457" s="12">
        <v>45653</v>
      </c>
      <c r="C457" s="12">
        <f t="shared" si="105"/>
        <v>45655</v>
      </c>
      <c r="D457" s="2" t="str">
        <f>IF(Table1[[#This Row],[RequiredDate]]&lt;Table1[[#This Row],[OrderDate]],"Check","OK")</f>
        <v>OK</v>
      </c>
      <c r="E457" s="2">
        <v>45655</v>
      </c>
      <c r="F457" s="15">
        <f t="shared" si="106"/>
        <v>2</v>
      </c>
      <c r="G457" t="s">
        <v>648</v>
      </c>
      <c r="H457" t="s">
        <v>653</v>
      </c>
      <c r="I457" t="s">
        <v>688</v>
      </c>
      <c r="J457" t="s">
        <v>706</v>
      </c>
      <c r="K457" t="s">
        <v>709</v>
      </c>
      <c r="L457" t="s">
        <v>712</v>
      </c>
      <c r="M457" t="s">
        <v>733</v>
      </c>
      <c r="N457" t="s">
        <v>1188</v>
      </c>
      <c r="O457" s="29">
        <v>1146.72</v>
      </c>
      <c r="P457" t="str">
        <f>IF(Table1[[#This Row],[UnitPrice]]&lt;=0,"Check","OK")</f>
        <v>OK</v>
      </c>
      <c r="Q457" s="29">
        <f t="shared" si="107"/>
        <v>2074.34</v>
      </c>
      <c r="R457">
        <v>2074.34</v>
      </c>
      <c r="S457" s="5">
        <f>IF(Table1[[#This Row],[Discount_Flag]]="Check", MIN(MAX(Table1[[#This Row],[DiscountPct]],0),0.3), Table1[[#This Row],[DiscountPct]])</f>
        <v>0.111</v>
      </c>
      <c r="T457" t="str">
        <f>IF(OR(Table1[[#This Row],[DiscountPct]]&lt;0,Table1[[#This Row],[DiscountPct]]&gt;0.3),"Check","OK")</f>
        <v>OK</v>
      </c>
      <c r="U457" s="11">
        <v>0.111</v>
      </c>
      <c r="V457" s="15">
        <f t="shared" si="108"/>
        <v>0</v>
      </c>
      <c r="W457" s="11">
        <f t="shared" si="109"/>
        <v>0.37816425337472737</v>
      </c>
      <c r="X457" s="17">
        <f t="shared" si="110"/>
        <v>9173.76</v>
      </c>
      <c r="Y457" s="17">
        <f t="shared" si="111"/>
        <v>5578.9460800000015</v>
      </c>
      <c r="Z457" s="17">
        <f t="shared" si="112"/>
        <v>14752.706080000002</v>
      </c>
      <c r="AA457" s="17" t="str">
        <f t="shared" si="113"/>
        <v>Q4-2024</v>
      </c>
      <c r="AB457" s="12" t="str">
        <f t="shared" si="114"/>
        <v>Dec-2024</v>
      </c>
      <c r="AC457" s="12" t="str">
        <f t="shared" si="115"/>
        <v>High</v>
      </c>
      <c r="AD457">
        <v>8</v>
      </c>
      <c r="AE457" s="12">
        <f>_xlfn.MINIFS(Table1[MonthDate], Table1[Country], Table1[[#This Row],[Country]])</f>
        <v>44927</v>
      </c>
      <c r="AF457" s="12">
        <f t="shared" si="116"/>
        <v>45627</v>
      </c>
      <c r="AG457">
        <f>AD457*(1 + Scenario_Control!$B$4)</f>
        <v>8.8000000000000007</v>
      </c>
      <c r="AH457">
        <f>O457*(1 + Scenario_Control!$B$3)</f>
        <v>1204.056</v>
      </c>
      <c r="AI457">
        <f t="shared" si="117"/>
        <v>3245.5953376000007</v>
      </c>
      <c r="AJ457">
        <f t="shared" si="118"/>
        <v>-7350.0974624</v>
      </c>
      <c r="AK457" s="29">
        <f>MIN(Q457*(1-U457), Scenario_Control!$B$2*Q457)</f>
        <v>414.86800000000005</v>
      </c>
      <c r="AL457" s="15">
        <f t="shared" si="119"/>
        <v>1</v>
      </c>
      <c r="AM457" s="8">
        <f>DATEDIF(Table1[[#This Row],[Country_FirstMonth]], Table1[[#This Row],[MonthDate]], "m")</f>
        <v>23</v>
      </c>
    </row>
    <row r="458" spans="1:39" x14ac:dyDescent="0.25">
      <c r="A458" t="s">
        <v>470</v>
      </c>
      <c r="B458" s="12">
        <v>45265</v>
      </c>
      <c r="C458" s="12">
        <f t="shared" si="105"/>
        <v>45272</v>
      </c>
      <c r="D458" s="2" t="str">
        <f>IF(Table1[[#This Row],[RequiredDate]]&lt;Table1[[#This Row],[OrderDate]],"Check","OK")</f>
        <v>OK</v>
      </c>
      <c r="E458" s="2">
        <v>45272</v>
      </c>
      <c r="F458" s="15">
        <f t="shared" si="106"/>
        <v>7</v>
      </c>
      <c r="G458" t="s">
        <v>648</v>
      </c>
      <c r="H458" t="s">
        <v>655</v>
      </c>
      <c r="I458" t="s">
        <v>672</v>
      </c>
      <c r="J458" t="s">
        <v>701</v>
      </c>
      <c r="K458" t="s">
        <v>711</v>
      </c>
      <c r="L458" t="s">
        <v>721</v>
      </c>
      <c r="M458" t="s">
        <v>730</v>
      </c>
      <c r="N458" t="s">
        <v>1189</v>
      </c>
      <c r="O458" s="29">
        <v>307.43</v>
      </c>
      <c r="P458" t="str">
        <f>IF(Table1[[#This Row],[UnitPrice]]&lt;=0,"Check","OK")</f>
        <v>OK</v>
      </c>
      <c r="Q458" s="29">
        <f t="shared" si="107"/>
        <v>495.19</v>
      </c>
      <c r="R458">
        <v>495.19</v>
      </c>
      <c r="S458" s="5">
        <f>IF(Table1[[#This Row],[Discount_Flag]]="Check", MIN(MAX(Table1[[#This Row],[DiscountPct]],0),0.3), Table1[[#This Row],[DiscountPct]])</f>
        <v>0</v>
      </c>
      <c r="T458" t="str">
        <f>IF(OR(Table1[[#This Row],[DiscountPct]]&lt;0,Table1[[#This Row],[DiscountPct]]&gt;0.3),"Check","OK")</f>
        <v>OK</v>
      </c>
      <c r="U458" s="11">
        <v>0</v>
      </c>
      <c r="V458" s="15">
        <f t="shared" si="108"/>
        <v>0</v>
      </c>
      <c r="W458" s="11">
        <f t="shared" si="109"/>
        <v>0.37916759223732305</v>
      </c>
      <c r="X458" s="17">
        <f t="shared" si="110"/>
        <v>12912.06</v>
      </c>
      <c r="Y458" s="17">
        <f t="shared" si="111"/>
        <v>7885.92</v>
      </c>
      <c r="Z458" s="17">
        <f t="shared" si="112"/>
        <v>20797.98</v>
      </c>
      <c r="AA458" s="17" t="str">
        <f t="shared" si="113"/>
        <v>Q4-2023</v>
      </c>
      <c r="AB458" s="12" t="str">
        <f t="shared" si="114"/>
        <v>Dec-2023</v>
      </c>
      <c r="AC458" s="12" t="str">
        <f t="shared" si="115"/>
        <v>Low</v>
      </c>
      <c r="AD458">
        <v>42</v>
      </c>
      <c r="AE458" s="12">
        <f>_xlfn.MINIFS(Table1[MonthDate], Table1[Country], Table1[[#This Row],[Country]])</f>
        <v>44927</v>
      </c>
      <c r="AF458" s="12">
        <f t="shared" si="116"/>
        <v>45261</v>
      </c>
      <c r="AG458">
        <f>AD458*(1 + Scenario_Control!$B$4)</f>
        <v>46.2</v>
      </c>
      <c r="AH458">
        <f>O458*(1 + Scenario_Control!$B$3)</f>
        <v>322.80150000000003</v>
      </c>
      <c r="AI458">
        <f t="shared" si="117"/>
        <v>4575.5556000000006</v>
      </c>
      <c r="AJ458">
        <f t="shared" si="118"/>
        <v>-10337.8737</v>
      </c>
      <c r="AK458" s="29">
        <f>MIN(Q458*(1-U458), Scenario_Control!$B$2*Q458)</f>
        <v>99.038000000000011</v>
      </c>
      <c r="AL458" s="15">
        <f t="shared" si="119"/>
        <v>1</v>
      </c>
      <c r="AM458" s="8">
        <f>DATEDIF(Table1[[#This Row],[Country_FirstMonth]], Table1[[#This Row],[MonthDate]], "m")</f>
        <v>11</v>
      </c>
    </row>
    <row r="459" spans="1:39" x14ac:dyDescent="0.25">
      <c r="A459" t="s">
        <v>471</v>
      </c>
      <c r="B459" s="12">
        <v>45048</v>
      </c>
      <c r="C459" s="12">
        <f t="shared" si="105"/>
        <v>45065</v>
      </c>
      <c r="D459" s="2" t="str">
        <f>IF(Table1[[#This Row],[RequiredDate]]&lt;Table1[[#This Row],[OrderDate]],"Check","OK")</f>
        <v>OK</v>
      </c>
      <c r="E459" s="2">
        <v>45065</v>
      </c>
      <c r="F459" s="15">
        <f t="shared" si="106"/>
        <v>17</v>
      </c>
      <c r="G459" t="s">
        <v>647</v>
      </c>
      <c r="H459" t="s">
        <v>659</v>
      </c>
      <c r="I459" t="s">
        <v>685</v>
      </c>
      <c r="J459" t="s">
        <v>703</v>
      </c>
      <c r="K459" t="s">
        <v>711</v>
      </c>
      <c r="L459" t="s">
        <v>713</v>
      </c>
      <c r="M459" t="s">
        <v>732</v>
      </c>
      <c r="N459" t="s">
        <v>1190</v>
      </c>
      <c r="O459" s="29">
        <v>714.28</v>
      </c>
      <c r="P459" t="str">
        <f>IF(Table1[[#This Row],[UnitPrice]]&lt;=0,"Check","OK")</f>
        <v>OK</v>
      </c>
      <c r="Q459" s="29">
        <f t="shared" si="107"/>
        <v>757.59</v>
      </c>
      <c r="R459">
        <v>757.59</v>
      </c>
      <c r="S459" s="5">
        <f>IF(Table1[[#This Row],[Discount_Flag]]="Check", MIN(MAX(Table1[[#This Row],[DiscountPct]],0),0.3), Table1[[#This Row],[DiscountPct]])</f>
        <v>0.13600000000000001</v>
      </c>
      <c r="T459" t="str">
        <f>IF(OR(Table1[[#This Row],[DiscountPct]]&lt;0,Table1[[#This Row],[DiscountPct]]&gt;0.3),"Check","OK")</f>
        <v>OK</v>
      </c>
      <c r="U459" s="11">
        <v>0.13600000000000001</v>
      </c>
      <c r="V459" s="15">
        <f t="shared" si="108"/>
        <v>0</v>
      </c>
      <c r="W459" s="11">
        <f t="shared" si="109"/>
        <v>-9.1240595787910383E-2</v>
      </c>
      <c r="X459" s="17">
        <f t="shared" si="110"/>
        <v>8571.36</v>
      </c>
      <c r="Y459" s="17">
        <f t="shared" si="111"/>
        <v>-716.66688000000067</v>
      </c>
      <c r="Z459" s="17">
        <f t="shared" si="112"/>
        <v>7854.6931199999999</v>
      </c>
      <c r="AA459" s="17" t="str">
        <f t="shared" si="113"/>
        <v>Q2-2023</v>
      </c>
      <c r="AB459" s="12" t="str">
        <f t="shared" si="114"/>
        <v>May-2023</v>
      </c>
      <c r="AC459" s="12" t="str">
        <f t="shared" si="115"/>
        <v>Medium</v>
      </c>
      <c r="AD459">
        <v>12</v>
      </c>
      <c r="AE459" s="12">
        <f>_xlfn.MINIFS(Table1[MonthDate], Table1[Country], Table1[[#This Row],[Country]])</f>
        <v>44927</v>
      </c>
      <c r="AF459" s="12">
        <f t="shared" si="116"/>
        <v>45047</v>
      </c>
      <c r="AG459">
        <f>AD459*(1 + Scenario_Control!$B$4)</f>
        <v>13.200000000000001</v>
      </c>
      <c r="AH459">
        <f>O459*(1 + Scenario_Control!$B$3)</f>
        <v>749.99400000000003</v>
      </c>
      <c r="AI459">
        <f t="shared" si="117"/>
        <v>1728.0324864000002</v>
      </c>
      <c r="AJ459">
        <f t="shared" si="118"/>
        <v>-8171.8883136000013</v>
      </c>
      <c r="AK459" s="29">
        <f>MIN(Q459*(1-U459), Scenario_Control!$B$2*Q459)</f>
        <v>151.518</v>
      </c>
      <c r="AL459" s="15">
        <f t="shared" si="119"/>
        <v>0</v>
      </c>
      <c r="AM459" s="8">
        <f>DATEDIF(Table1[[#This Row],[Country_FirstMonth]], Table1[[#This Row],[MonthDate]], "m")</f>
        <v>4</v>
      </c>
    </row>
    <row r="460" spans="1:39" x14ac:dyDescent="0.25">
      <c r="A460" t="s">
        <v>472</v>
      </c>
      <c r="B460" s="12">
        <v>45260</v>
      </c>
      <c r="C460" s="12">
        <f t="shared" si="105"/>
        <v>45270</v>
      </c>
      <c r="D460" s="2" t="str">
        <f>IF(Table1[[#This Row],[RequiredDate]]&lt;Table1[[#This Row],[OrderDate]],"Check","OK")</f>
        <v>OK</v>
      </c>
      <c r="E460" s="2">
        <v>45270</v>
      </c>
      <c r="F460" s="15">
        <f t="shared" si="106"/>
        <v>10</v>
      </c>
      <c r="G460" t="s">
        <v>649</v>
      </c>
      <c r="H460" t="s">
        <v>656</v>
      </c>
      <c r="I460" t="s">
        <v>684</v>
      </c>
      <c r="J460" t="s">
        <v>705</v>
      </c>
      <c r="K460" t="s">
        <v>711</v>
      </c>
      <c r="L460" t="s">
        <v>721</v>
      </c>
      <c r="M460" t="s">
        <v>731</v>
      </c>
      <c r="N460" t="s">
        <v>1191</v>
      </c>
      <c r="O460" s="29">
        <v>174.74</v>
      </c>
      <c r="P460" t="str">
        <f>IF(Table1[[#This Row],[UnitPrice]]&lt;=0,"Check","OK")</f>
        <v>OK</v>
      </c>
      <c r="Q460" s="29">
        <f t="shared" si="107"/>
        <v>415.96</v>
      </c>
      <c r="R460">
        <v>415.96</v>
      </c>
      <c r="S460" s="5">
        <f>IF(Table1[[#This Row],[Discount_Flag]]="Check", MIN(MAX(Table1[[#This Row],[DiscountPct]],0),0.3), Table1[[#This Row],[DiscountPct]])</f>
        <v>0.125</v>
      </c>
      <c r="T460" t="str">
        <f>IF(OR(Table1[[#This Row],[DiscountPct]]&lt;0,Table1[[#This Row],[DiscountPct]]&gt;0.3),"Check","OK")</f>
        <v>OK</v>
      </c>
      <c r="U460" s="11">
        <v>0.125</v>
      </c>
      <c r="V460" s="15">
        <f t="shared" si="108"/>
        <v>0</v>
      </c>
      <c r="W460" s="11">
        <f t="shared" si="109"/>
        <v>0.51989889137691803</v>
      </c>
      <c r="X460" s="17">
        <f t="shared" si="110"/>
        <v>3669.54</v>
      </c>
      <c r="Y460" s="17">
        <f t="shared" si="111"/>
        <v>3973.7249999999995</v>
      </c>
      <c r="Z460" s="17">
        <f t="shared" si="112"/>
        <v>7643.2649999999994</v>
      </c>
      <c r="AA460" s="17" t="str">
        <f t="shared" si="113"/>
        <v>Q4-2023</v>
      </c>
      <c r="AB460" s="12" t="str">
        <f t="shared" si="114"/>
        <v>Nov-2023</v>
      </c>
      <c r="AC460" s="12" t="str">
        <f t="shared" si="115"/>
        <v>Low</v>
      </c>
      <c r="AD460">
        <v>21</v>
      </c>
      <c r="AE460" s="12">
        <f>_xlfn.MINIFS(Table1[MonthDate], Table1[Country], Table1[[#This Row],[Country]])</f>
        <v>44927</v>
      </c>
      <c r="AF460" s="12">
        <f t="shared" si="116"/>
        <v>45231</v>
      </c>
      <c r="AG460">
        <f>AD460*(1 + Scenario_Control!$B$4)</f>
        <v>23.1</v>
      </c>
      <c r="AH460">
        <f>O460*(1 + Scenario_Control!$B$3)</f>
        <v>183.477</v>
      </c>
      <c r="AI460">
        <f t="shared" si="117"/>
        <v>1681.5183000000002</v>
      </c>
      <c r="AJ460">
        <f t="shared" si="118"/>
        <v>-2556.8004000000005</v>
      </c>
      <c r="AK460" s="29">
        <f>MIN(Q460*(1-U460), Scenario_Control!$B$2*Q460)</f>
        <v>83.192000000000007</v>
      </c>
      <c r="AL460" s="15">
        <f t="shared" si="119"/>
        <v>0</v>
      </c>
      <c r="AM460" s="8">
        <f>DATEDIF(Table1[[#This Row],[Country_FirstMonth]], Table1[[#This Row],[MonthDate]], "m")</f>
        <v>10</v>
      </c>
    </row>
    <row r="461" spans="1:39" x14ac:dyDescent="0.25">
      <c r="A461" t="s">
        <v>473</v>
      </c>
      <c r="B461" s="12">
        <v>45417</v>
      </c>
      <c r="C461" s="12">
        <f t="shared" si="105"/>
        <v>45430</v>
      </c>
      <c r="D461" s="2" t="str">
        <f>IF(Table1[[#This Row],[RequiredDate]]&lt;Table1[[#This Row],[OrderDate]],"Check","OK")</f>
        <v>OK</v>
      </c>
      <c r="E461" s="2">
        <v>45430</v>
      </c>
      <c r="F461" s="15">
        <f t="shared" si="106"/>
        <v>13</v>
      </c>
      <c r="G461" t="s">
        <v>649</v>
      </c>
      <c r="H461" t="s">
        <v>657</v>
      </c>
      <c r="I461" t="s">
        <v>673</v>
      </c>
      <c r="J461" t="s">
        <v>701</v>
      </c>
      <c r="K461" t="s">
        <v>709</v>
      </c>
      <c r="L461" t="s">
        <v>720</v>
      </c>
      <c r="M461" t="s">
        <v>727</v>
      </c>
      <c r="N461" t="s">
        <v>1192</v>
      </c>
      <c r="O461" s="29">
        <v>1264.04</v>
      </c>
      <c r="P461" t="str">
        <f>IF(Table1[[#This Row],[UnitPrice]]&lt;=0,"Check","OK")</f>
        <v>OK</v>
      </c>
      <c r="Q461" s="29">
        <f t="shared" si="107"/>
        <v>1870.89</v>
      </c>
      <c r="R461">
        <v>1870.89</v>
      </c>
      <c r="S461" s="5">
        <f>IF(Table1[[#This Row],[Discount_Flag]]="Check", MIN(MAX(Table1[[#This Row],[DiscountPct]],0),0.3), Table1[[#This Row],[DiscountPct]])</f>
        <v>0</v>
      </c>
      <c r="T461" t="str">
        <f>IF(OR(Table1[[#This Row],[DiscountPct]]&lt;0,Table1[[#This Row],[DiscountPct]]&gt;0.3),"Check","OK")</f>
        <v>OK</v>
      </c>
      <c r="U461" s="11">
        <v>0</v>
      </c>
      <c r="V461" s="15">
        <f t="shared" si="108"/>
        <v>0</v>
      </c>
      <c r="W461" s="11">
        <f t="shared" si="109"/>
        <v>0.32436433996653996</v>
      </c>
      <c r="X461" s="17">
        <f t="shared" si="110"/>
        <v>16432.52</v>
      </c>
      <c r="Y461" s="17">
        <f t="shared" si="111"/>
        <v>7889.0499999999993</v>
      </c>
      <c r="Z461" s="17">
        <f t="shared" si="112"/>
        <v>24321.57</v>
      </c>
      <c r="AA461" s="17" t="str">
        <f t="shared" si="113"/>
        <v>Q2-2024</v>
      </c>
      <c r="AB461" s="12" t="str">
        <f t="shared" si="114"/>
        <v>May-2024</v>
      </c>
      <c r="AC461" s="12" t="str">
        <f t="shared" si="115"/>
        <v>Medium</v>
      </c>
      <c r="AD461">
        <v>13</v>
      </c>
      <c r="AE461" s="12">
        <f>_xlfn.MINIFS(Table1[MonthDate], Table1[Country], Table1[[#This Row],[Country]])</f>
        <v>44927</v>
      </c>
      <c r="AF461" s="12">
        <f t="shared" si="116"/>
        <v>45413</v>
      </c>
      <c r="AG461">
        <f>AD461*(1 + Scenario_Control!$B$4)</f>
        <v>14.3</v>
      </c>
      <c r="AH461">
        <f>O461*(1 + Scenario_Control!$B$3)</f>
        <v>1327.242</v>
      </c>
      <c r="AI461">
        <f t="shared" si="117"/>
        <v>5350.7454000000007</v>
      </c>
      <c r="AJ461">
        <f t="shared" si="118"/>
        <v>-13628.815200000001</v>
      </c>
      <c r="AK461" s="29">
        <f>MIN(Q461*(1-U461), Scenario_Control!$B$2*Q461)</f>
        <v>374.17800000000005</v>
      </c>
      <c r="AL461" s="15">
        <f t="shared" si="119"/>
        <v>0</v>
      </c>
      <c r="AM461" s="8">
        <f>DATEDIF(Table1[[#This Row],[Country_FirstMonth]], Table1[[#This Row],[MonthDate]], "m")</f>
        <v>16</v>
      </c>
    </row>
    <row r="462" spans="1:39" x14ac:dyDescent="0.25">
      <c r="A462" t="s">
        <v>474</v>
      </c>
      <c r="B462" s="12">
        <v>45116</v>
      </c>
      <c r="C462" s="12">
        <f t="shared" si="105"/>
        <v>45126</v>
      </c>
      <c r="D462" s="2" t="str">
        <f>IF(Table1[[#This Row],[RequiredDate]]&lt;Table1[[#This Row],[OrderDate]],"Check","OK")</f>
        <v>OK</v>
      </c>
      <c r="E462" s="2">
        <v>45126</v>
      </c>
      <c r="F462" s="15">
        <f t="shared" si="106"/>
        <v>10</v>
      </c>
      <c r="G462" t="s">
        <v>647</v>
      </c>
      <c r="H462" t="s">
        <v>652</v>
      </c>
      <c r="I462" t="s">
        <v>689</v>
      </c>
      <c r="J462" t="s">
        <v>706</v>
      </c>
      <c r="K462" t="s">
        <v>710</v>
      </c>
      <c r="L462" t="s">
        <v>725</v>
      </c>
      <c r="M462" t="s">
        <v>727</v>
      </c>
      <c r="N462" t="s">
        <v>1193</v>
      </c>
      <c r="O462" s="29">
        <v>141.26</v>
      </c>
      <c r="P462" t="str">
        <f>IF(Table1[[#This Row],[UnitPrice]]&lt;=0,"Check","OK")</f>
        <v>OK</v>
      </c>
      <c r="Q462" s="29">
        <f t="shared" si="107"/>
        <v>206.88</v>
      </c>
      <c r="R462">
        <v>206.88</v>
      </c>
      <c r="S462" s="5">
        <f>IF(Table1[[#This Row],[Discount_Flag]]="Check", MIN(MAX(Table1[[#This Row],[DiscountPct]],0),0.3), Table1[[#This Row],[DiscountPct]])</f>
        <v>0.107</v>
      </c>
      <c r="T462" t="str">
        <f>IF(OR(Table1[[#This Row],[DiscountPct]]&lt;0,Table1[[#This Row],[DiscountPct]]&gt;0.3),"Check","OK")</f>
        <v>OK</v>
      </c>
      <c r="U462" s="11">
        <v>0.107</v>
      </c>
      <c r="V462" s="15">
        <f t="shared" si="108"/>
        <v>0</v>
      </c>
      <c r="W462" s="11">
        <f t="shared" si="109"/>
        <v>0.23537369365062469</v>
      </c>
      <c r="X462" s="17">
        <f t="shared" si="110"/>
        <v>1271.3399999999999</v>
      </c>
      <c r="Y462" s="17">
        <f t="shared" si="111"/>
        <v>391.35456000000022</v>
      </c>
      <c r="Z462" s="17">
        <f t="shared" si="112"/>
        <v>1662.6945600000001</v>
      </c>
      <c r="AA462" s="17" t="str">
        <f t="shared" si="113"/>
        <v>Q3-2023</v>
      </c>
      <c r="AB462" s="12" t="str">
        <f t="shared" si="114"/>
        <v>Jul-2023</v>
      </c>
      <c r="AC462" s="12" t="str">
        <f t="shared" si="115"/>
        <v>Low</v>
      </c>
      <c r="AD462">
        <v>9</v>
      </c>
      <c r="AE462" s="12">
        <f>_xlfn.MINIFS(Table1[MonthDate], Table1[Country], Table1[[#This Row],[Country]])</f>
        <v>44986</v>
      </c>
      <c r="AF462" s="12">
        <f t="shared" si="116"/>
        <v>45108</v>
      </c>
      <c r="AG462">
        <f>AD462*(1 + Scenario_Control!$B$4)</f>
        <v>9.9</v>
      </c>
      <c r="AH462">
        <f>O462*(1 + Scenario_Control!$B$3)</f>
        <v>148.32300000000001</v>
      </c>
      <c r="AI462">
        <f t="shared" si="117"/>
        <v>365.79280320000009</v>
      </c>
      <c r="AJ462">
        <f t="shared" si="118"/>
        <v>-1102.6048968</v>
      </c>
      <c r="AK462" s="29">
        <f>MIN(Q462*(1-U462), Scenario_Control!$B$2*Q462)</f>
        <v>41.376000000000005</v>
      </c>
      <c r="AL462" s="15">
        <f t="shared" si="119"/>
        <v>0</v>
      </c>
      <c r="AM462" s="8">
        <f>DATEDIF(Table1[[#This Row],[Country_FirstMonth]], Table1[[#This Row],[MonthDate]], "m")</f>
        <v>4</v>
      </c>
    </row>
    <row r="463" spans="1:39" x14ac:dyDescent="0.25">
      <c r="A463" t="s">
        <v>475</v>
      </c>
      <c r="B463" s="12">
        <v>45063</v>
      </c>
      <c r="C463" s="12">
        <f t="shared" si="105"/>
        <v>45092</v>
      </c>
      <c r="D463" s="2" t="str">
        <f>IF(Table1[[#This Row],[RequiredDate]]&lt;Table1[[#This Row],[OrderDate]],"Check","OK")</f>
        <v>OK</v>
      </c>
      <c r="E463" s="2">
        <v>45092</v>
      </c>
      <c r="F463" s="15">
        <f t="shared" si="106"/>
        <v>29</v>
      </c>
      <c r="G463" t="s">
        <v>646</v>
      </c>
      <c r="H463" t="s">
        <v>661</v>
      </c>
      <c r="I463" t="s">
        <v>687</v>
      </c>
      <c r="J463" t="s">
        <v>706</v>
      </c>
      <c r="K463" t="s">
        <v>707</v>
      </c>
      <c r="L463" t="s">
        <v>723</v>
      </c>
      <c r="M463" t="s">
        <v>733</v>
      </c>
      <c r="N463" t="s">
        <v>1194</v>
      </c>
      <c r="O463" s="29">
        <v>40.89</v>
      </c>
      <c r="P463" t="str">
        <f>IF(Table1[[#This Row],[UnitPrice]]&lt;=0,"Check","OK")</f>
        <v>OK</v>
      </c>
      <c r="Q463" s="29">
        <f t="shared" si="107"/>
        <v>62.82</v>
      </c>
      <c r="R463">
        <v>62.82</v>
      </c>
      <c r="S463" s="5">
        <f>IF(Table1[[#This Row],[Discount_Flag]]="Check", MIN(MAX(Table1[[#This Row],[DiscountPct]],0),0.3), Table1[[#This Row],[DiscountPct]])</f>
        <v>0.129</v>
      </c>
      <c r="T463" t="str">
        <f>IF(OR(Table1[[#This Row],[DiscountPct]]&lt;0,Table1[[#This Row],[DiscountPct]]&gt;0.3),"Check","OK")</f>
        <v>OK</v>
      </c>
      <c r="U463" s="11">
        <v>0.129</v>
      </c>
      <c r="V463" s="15">
        <f t="shared" si="108"/>
        <v>0</v>
      </c>
      <c r="W463" s="11">
        <f t="shared" si="109"/>
        <v>0.25268960465470752</v>
      </c>
      <c r="X463" s="17">
        <f t="shared" si="110"/>
        <v>695.13</v>
      </c>
      <c r="Y463" s="17">
        <f t="shared" si="111"/>
        <v>235.04574000000002</v>
      </c>
      <c r="Z463" s="17">
        <f t="shared" si="112"/>
        <v>930.17574000000002</v>
      </c>
      <c r="AA463" s="17" t="str">
        <f t="shared" si="113"/>
        <v>Q2-2023</v>
      </c>
      <c r="AB463" s="12" t="str">
        <f t="shared" si="114"/>
        <v>May-2023</v>
      </c>
      <c r="AC463" s="12" t="str">
        <f t="shared" si="115"/>
        <v>Low</v>
      </c>
      <c r="AD463">
        <v>17</v>
      </c>
      <c r="AE463" s="12">
        <f>_xlfn.MINIFS(Table1[MonthDate], Table1[Country], Table1[[#This Row],[Country]])</f>
        <v>44927</v>
      </c>
      <c r="AF463" s="12">
        <f t="shared" si="116"/>
        <v>45047</v>
      </c>
      <c r="AG463">
        <f>AD463*(1 + Scenario_Control!$B$4)</f>
        <v>18.700000000000003</v>
      </c>
      <c r="AH463">
        <f>O463*(1 + Scenario_Control!$B$3)</f>
        <v>42.9345</v>
      </c>
      <c r="AI463">
        <f t="shared" si="117"/>
        <v>204.63866280000002</v>
      </c>
      <c r="AJ463">
        <f t="shared" si="118"/>
        <v>-598.23648720000006</v>
      </c>
      <c r="AK463" s="29">
        <f>MIN(Q463*(1-U463), Scenario_Control!$B$2*Q463)</f>
        <v>12.564</v>
      </c>
      <c r="AL463" s="15">
        <f t="shared" si="119"/>
        <v>0</v>
      </c>
      <c r="AM463" s="8">
        <f>DATEDIF(Table1[[#This Row],[Country_FirstMonth]], Table1[[#This Row],[MonthDate]], "m")</f>
        <v>4</v>
      </c>
    </row>
    <row r="464" spans="1:39" x14ac:dyDescent="0.25">
      <c r="A464" t="s">
        <v>476</v>
      </c>
      <c r="B464" s="12">
        <v>45358</v>
      </c>
      <c r="C464" s="12">
        <f t="shared" si="105"/>
        <v>45385</v>
      </c>
      <c r="D464" s="2" t="str">
        <f>IF(Table1[[#This Row],[RequiredDate]]&lt;Table1[[#This Row],[OrderDate]],"Check","OK")</f>
        <v>OK</v>
      </c>
      <c r="E464" s="2">
        <v>45385</v>
      </c>
      <c r="F464" s="15">
        <f t="shared" si="106"/>
        <v>27</v>
      </c>
      <c r="G464" t="s">
        <v>649</v>
      </c>
      <c r="H464" t="s">
        <v>656</v>
      </c>
      <c r="I464" t="s">
        <v>698</v>
      </c>
      <c r="J464" t="s">
        <v>701</v>
      </c>
      <c r="K464" t="s">
        <v>711</v>
      </c>
      <c r="L464" t="s">
        <v>724</v>
      </c>
      <c r="M464" t="s">
        <v>728</v>
      </c>
      <c r="N464" t="s">
        <v>1195</v>
      </c>
      <c r="O464" s="29">
        <v>738.16</v>
      </c>
      <c r="P464" t="str">
        <f>IF(Table1[[#This Row],[UnitPrice]]&lt;=0,"Check","OK")</f>
        <v>OK</v>
      </c>
      <c r="Q464" s="29">
        <f t="shared" si="107"/>
        <v>956.49</v>
      </c>
      <c r="R464">
        <v>956.49</v>
      </c>
      <c r="S464" s="5">
        <f>IF(Table1[[#This Row],[Discount_Flag]]="Check", MIN(MAX(Table1[[#This Row],[DiscountPct]],0),0.3), Table1[[#This Row],[DiscountPct]])</f>
        <v>0.152</v>
      </c>
      <c r="T464" t="str">
        <f>IF(OR(Table1[[#This Row],[DiscountPct]]&lt;0,Table1[[#This Row],[DiscountPct]]&gt;0.3),"Check","OK")</f>
        <v>OK</v>
      </c>
      <c r="U464" s="11">
        <v>0.152</v>
      </c>
      <c r="V464" s="15">
        <f t="shared" si="108"/>
        <v>0</v>
      </c>
      <c r="W464" s="11">
        <f t="shared" si="109"/>
        <v>8.9931208780847108E-2</v>
      </c>
      <c r="X464" s="17">
        <f t="shared" si="110"/>
        <v>3690.7999999999997</v>
      </c>
      <c r="Y464" s="17">
        <f t="shared" si="111"/>
        <v>364.71759999999995</v>
      </c>
      <c r="Z464" s="17">
        <f t="shared" si="112"/>
        <v>4055.5175999999997</v>
      </c>
      <c r="AA464" s="17" t="str">
        <f t="shared" si="113"/>
        <v>Q1-2024</v>
      </c>
      <c r="AB464" s="12" t="str">
        <f t="shared" si="114"/>
        <v>Mar-2024</v>
      </c>
      <c r="AC464" s="12" t="str">
        <f t="shared" si="115"/>
        <v>Medium</v>
      </c>
      <c r="AD464">
        <v>5</v>
      </c>
      <c r="AE464" s="12">
        <f>_xlfn.MINIFS(Table1[MonthDate], Table1[Country], Table1[[#This Row],[Country]])</f>
        <v>44927</v>
      </c>
      <c r="AF464" s="12">
        <f t="shared" si="116"/>
        <v>45352</v>
      </c>
      <c r="AG464">
        <f>AD464*(1 + Scenario_Control!$B$4)</f>
        <v>5.5</v>
      </c>
      <c r="AH464">
        <f>O464*(1 + Scenario_Control!$B$3)</f>
        <v>775.06799999999998</v>
      </c>
      <c r="AI464">
        <f t="shared" si="117"/>
        <v>892.21387200000004</v>
      </c>
      <c r="AJ464">
        <f t="shared" si="118"/>
        <v>-3370.6601279999995</v>
      </c>
      <c r="AK464" s="29">
        <f>MIN(Q464*(1-U464), Scenario_Control!$B$2*Q464)</f>
        <v>191.298</v>
      </c>
      <c r="AL464" s="15">
        <f t="shared" si="119"/>
        <v>0</v>
      </c>
      <c r="AM464" s="8">
        <f>DATEDIF(Table1[[#This Row],[Country_FirstMonth]], Table1[[#This Row],[MonthDate]], "m")</f>
        <v>14</v>
      </c>
    </row>
    <row r="465" spans="1:39" x14ac:dyDescent="0.25">
      <c r="A465" t="s">
        <v>477</v>
      </c>
      <c r="B465" s="12">
        <v>45757</v>
      </c>
      <c r="C465" s="12">
        <f t="shared" si="105"/>
        <v>45766</v>
      </c>
      <c r="D465" s="2" t="str">
        <f>IF(Table1[[#This Row],[RequiredDate]]&lt;Table1[[#This Row],[OrderDate]],"Check","OK")</f>
        <v>OK</v>
      </c>
      <c r="E465" s="2">
        <v>45766</v>
      </c>
      <c r="F465" s="15">
        <f t="shared" si="106"/>
        <v>9</v>
      </c>
      <c r="G465" t="s">
        <v>646</v>
      </c>
      <c r="H465" t="s">
        <v>661</v>
      </c>
      <c r="I465" t="s">
        <v>687</v>
      </c>
      <c r="J465" t="s">
        <v>706</v>
      </c>
      <c r="K465" t="s">
        <v>1428</v>
      </c>
      <c r="L465" t="s">
        <v>715</v>
      </c>
      <c r="M465" t="s">
        <v>729</v>
      </c>
      <c r="N465" t="s">
        <v>1196</v>
      </c>
      <c r="O465" s="29">
        <v>113.74</v>
      </c>
      <c r="P465" t="str">
        <f>IF(Table1[[#This Row],[UnitPrice]]&lt;=0,"Check","OK")</f>
        <v>OK</v>
      </c>
      <c r="Q465" s="29">
        <f t="shared" si="107"/>
        <v>165.7</v>
      </c>
      <c r="R465">
        <v>165.7</v>
      </c>
      <c r="S465" s="5">
        <f>IF(Table1[[#This Row],[Discount_Flag]]="Check", MIN(MAX(Table1[[#This Row],[DiscountPct]],0),0.3), Table1[[#This Row],[DiscountPct]])</f>
        <v>0.124</v>
      </c>
      <c r="T465" t="str">
        <f>IF(OR(Table1[[#This Row],[DiscountPct]]&lt;0,Table1[[#This Row],[DiscountPct]]&gt;0.3),"Check","OK")</f>
        <v>OK</v>
      </c>
      <c r="U465" s="11">
        <v>0.124</v>
      </c>
      <c r="V465" s="15">
        <f t="shared" si="108"/>
        <v>0</v>
      </c>
      <c r="W465" s="11">
        <f t="shared" si="109"/>
        <v>0.21641410592394794</v>
      </c>
      <c r="X465" s="17">
        <f t="shared" si="110"/>
        <v>1478.62</v>
      </c>
      <c r="Y465" s="17">
        <f t="shared" si="111"/>
        <v>408.37159999999994</v>
      </c>
      <c r="Z465" s="17">
        <f t="shared" si="112"/>
        <v>1886.9915999999998</v>
      </c>
      <c r="AA465" s="17" t="str">
        <f t="shared" si="113"/>
        <v>Q2-2025</v>
      </c>
      <c r="AB465" s="12" t="str">
        <f t="shared" si="114"/>
        <v>Apr-2025</v>
      </c>
      <c r="AC465" s="12" t="str">
        <f t="shared" si="115"/>
        <v>Low</v>
      </c>
      <c r="AD465">
        <v>13</v>
      </c>
      <c r="AE465" s="12">
        <f>_xlfn.MINIFS(Table1[MonthDate], Table1[Country], Table1[[#This Row],[Country]])</f>
        <v>44927</v>
      </c>
      <c r="AF465" s="12">
        <f t="shared" si="116"/>
        <v>45748</v>
      </c>
      <c r="AG465">
        <f>AD465*(1 + Scenario_Control!$B$4)</f>
        <v>14.3</v>
      </c>
      <c r="AH465">
        <f>O465*(1 + Scenario_Control!$B$3)</f>
        <v>119.42700000000001</v>
      </c>
      <c r="AI465">
        <f t="shared" si="117"/>
        <v>415.13815200000005</v>
      </c>
      <c r="AJ465">
        <f t="shared" si="118"/>
        <v>-1292.6679480000003</v>
      </c>
      <c r="AK465" s="29">
        <f>MIN(Q465*(1-U465), Scenario_Control!$B$2*Q465)</f>
        <v>33.14</v>
      </c>
      <c r="AL465" s="15">
        <f t="shared" si="119"/>
        <v>0</v>
      </c>
      <c r="AM465" s="8">
        <f>DATEDIF(Table1[[#This Row],[Country_FirstMonth]], Table1[[#This Row],[MonthDate]], "m")</f>
        <v>27</v>
      </c>
    </row>
    <row r="466" spans="1:39" x14ac:dyDescent="0.25">
      <c r="A466" t="s">
        <v>478</v>
      </c>
      <c r="B466" s="12">
        <v>45865</v>
      </c>
      <c r="C466" s="12">
        <f t="shared" si="105"/>
        <v>45884</v>
      </c>
      <c r="D466" s="2" t="str">
        <f>IF(Table1[[#This Row],[RequiredDate]]&lt;Table1[[#This Row],[OrderDate]],"Check","OK")</f>
        <v>OK</v>
      </c>
      <c r="E466" s="2">
        <v>45884</v>
      </c>
      <c r="F466" s="15">
        <f t="shared" si="106"/>
        <v>19</v>
      </c>
      <c r="G466" t="s">
        <v>647</v>
      </c>
      <c r="H466" t="s">
        <v>652</v>
      </c>
      <c r="I466" t="s">
        <v>689</v>
      </c>
      <c r="J466" t="s">
        <v>705</v>
      </c>
      <c r="K466" t="s">
        <v>709</v>
      </c>
      <c r="L466" t="s">
        <v>713</v>
      </c>
      <c r="M466" t="s">
        <v>727</v>
      </c>
      <c r="N466" t="s">
        <v>1197</v>
      </c>
      <c r="O466" s="29">
        <v>275.43</v>
      </c>
      <c r="P466" t="str">
        <f>IF(Table1[[#This Row],[UnitPrice]]&lt;=0,"Check","OK")</f>
        <v>OK</v>
      </c>
      <c r="Q466" s="29">
        <f t="shared" si="107"/>
        <v>608.36</v>
      </c>
      <c r="R466">
        <v>608.36</v>
      </c>
      <c r="S466" s="5">
        <f>IF(Table1[[#This Row],[Discount_Flag]]="Check", MIN(MAX(Table1[[#This Row],[DiscountPct]],0),0.3), Table1[[#This Row],[DiscountPct]])</f>
        <v>0.25700000000000001</v>
      </c>
      <c r="T466" t="str">
        <f>IF(OR(Table1[[#This Row],[DiscountPct]]&lt;0,Table1[[#This Row],[DiscountPct]]&gt;0.3),"Check","OK")</f>
        <v>OK</v>
      </c>
      <c r="U466" s="11">
        <v>0.25700000000000001</v>
      </c>
      <c r="V466" s="15">
        <f t="shared" si="108"/>
        <v>1</v>
      </c>
      <c r="W466" s="11">
        <f t="shared" si="109"/>
        <v>0.39065706915231446</v>
      </c>
      <c r="X466" s="17">
        <f t="shared" si="110"/>
        <v>1101.72</v>
      </c>
      <c r="Y466" s="17">
        <f t="shared" si="111"/>
        <v>706.32592</v>
      </c>
      <c r="Z466" s="17">
        <f t="shared" si="112"/>
        <v>1808.04592</v>
      </c>
      <c r="AA466" s="17" t="str">
        <f t="shared" si="113"/>
        <v>Q3-2025</v>
      </c>
      <c r="AB466" s="12" t="str">
        <f t="shared" si="114"/>
        <v>Jul-2025</v>
      </c>
      <c r="AC466" s="12" t="str">
        <f t="shared" si="115"/>
        <v>Medium</v>
      </c>
      <c r="AD466">
        <v>4</v>
      </c>
      <c r="AE466" s="12">
        <f>_xlfn.MINIFS(Table1[MonthDate], Table1[Country], Table1[[#This Row],[Country]])</f>
        <v>44986</v>
      </c>
      <c r="AF466" s="12">
        <f t="shared" si="116"/>
        <v>45839</v>
      </c>
      <c r="AG466">
        <f>AD466*(1 + Scenario_Control!$B$4)</f>
        <v>4.4000000000000004</v>
      </c>
      <c r="AH466">
        <f>O466*(1 + Scenario_Control!$B$3)</f>
        <v>289.20150000000001</v>
      </c>
      <c r="AI466">
        <f t="shared" si="117"/>
        <v>397.7701024000001</v>
      </c>
      <c r="AJ466">
        <f t="shared" si="118"/>
        <v>-874.71649760000014</v>
      </c>
      <c r="AK466" s="29">
        <f>MIN(Q466*(1-U466), Scenario_Control!$B$2*Q466)</f>
        <v>121.67200000000001</v>
      </c>
      <c r="AL466" s="15">
        <f t="shared" si="119"/>
        <v>0</v>
      </c>
      <c r="AM466" s="8">
        <f>DATEDIF(Table1[[#This Row],[Country_FirstMonth]], Table1[[#This Row],[MonthDate]], "m")</f>
        <v>28</v>
      </c>
    </row>
    <row r="467" spans="1:39" x14ac:dyDescent="0.25">
      <c r="A467" t="s">
        <v>479</v>
      </c>
      <c r="B467" s="12">
        <v>45618</v>
      </c>
      <c r="C467" s="12">
        <f t="shared" si="105"/>
        <v>45641</v>
      </c>
      <c r="D467" s="2" t="str">
        <f>IF(Table1[[#This Row],[RequiredDate]]&lt;Table1[[#This Row],[OrderDate]],"Check","OK")</f>
        <v>OK</v>
      </c>
      <c r="E467" s="2">
        <v>45641</v>
      </c>
      <c r="F467" s="15">
        <f t="shared" si="106"/>
        <v>23</v>
      </c>
      <c r="G467" t="s">
        <v>646</v>
      </c>
      <c r="H467" t="s">
        <v>650</v>
      </c>
      <c r="I467" t="s">
        <v>675</v>
      </c>
      <c r="J467" t="s">
        <v>703</v>
      </c>
      <c r="K467" t="s">
        <v>710</v>
      </c>
      <c r="L467" t="s">
        <v>712</v>
      </c>
      <c r="M467" t="s">
        <v>727</v>
      </c>
      <c r="N467" t="s">
        <v>1198</v>
      </c>
      <c r="O467" s="29">
        <v>1335.76</v>
      </c>
      <c r="P467" t="str">
        <f>IF(Table1[[#This Row],[UnitPrice]]&lt;=0,"Check","OK")</f>
        <v>OK</v>
      </c>
      <c r="Q467" s="29">
        <f t="shared" si="107"/>
        <v>2665.91</v>
      </c>
      <c r="R467">
        <v>2665.91</v>
      </c>
      <c r="S467" s="5">
        <f>IF(Table1[[#This Row],[Discount_Flag]]="Check", MIN(MAX(Table1[[#This Row],[DiscountPct]],0),0.3), Table1[[#This Row],[DiscountPct]])</f>
        <v>0.21099999999999999</v>
      </c>
      <c r="T467" t="str">
        <f>IF(OR(Table1[[#This Row],[DiscountPct]]&lt;0,Table1[[#This Row],[DiscountPct]]&gt;0.3),"Check","OK")</f>
        <v>OK</v>
      </c>
      <c r="U467" s="11">
        <v>0.21099999999999999</v>
      </c>
      <c r="V467" s="15">
        <f t="shared" si="108"/>
        <v>1</v>
      </c>
      <c r="W467" s="11">
        <f t="shared" si="109"/>
        <v>0.36495288522909253</v>
      </c>
      <c r="X467" s="17">
        <f t="shared" si="110"/>
        <v>53430.400000000001</v>
      </c>
      <c r="Y467" s="17">
        <f t="shared" si="111"/>
        <v>30705.719600000004</v>
      </c>
      <c r="Z467" s="17">
        <f t="shared" si="112"/>
        <v>84136.119600000005</v>
      </c>
      <c r="AA467" s="17" t="str">
        <f t="shared" si="113"/>
        <v>Q4-2024</v>
      </c>
      <c r="AB467" s="12" t="str">
        <f t="shared" si="114"/>
        <v>Nov-2024</v>
      </c>
      <c r="AC467" s="12" t="str">
        <f t="shared" si="115"/>
        <v>High</v>
      </c>
      <c r="AD467">
        <v>40</v>
      </c>
      <c r="AE467" s="12">
        <f>_xlfn.MINIFS(Table1[MonthDate], Table1[Country], Table1[[#This Row],[Country]])</f>
        <v>44927</v>
      </c>
      <c r="AF467" s="12">
        <f t="shared" si="116"/>
        <v>45597</v>
      </c>
      <c r="AG467">
        <f>AD467*(1 + Scenario_Control!$B$4)</f>
        <v>44</v>
      </c>
      <c r="AH467">
        <f>O467*(1 + Scenario_Control!$B$3)</f>
        <v>1402.548</v>
      </c>
      <c r="AI467">
        <f t="shared" si="117"/>
        <v>18509.946312000004</v>
      </c>
      <c r="AJ467">
        <f t="shared" si="118"/>
        <v>-43202.165687999994</v>
      </c>
      <c r="AK467" s="29">
        <f>MIN(Q467*(1-U467), Scenario_Control!$B$2*Q467)</f>
        <v>533.18200000000002</v>
      </c>
      <c r="AL467" s="15">
        <f t="shared" si="119"/>
        <v>0</v>
      </c>
      <c r="AM467" s="8">
        <f>DATEDIF(Table1[[#This Row],[Country_FirstMonth]], Table1[[#This Row],[MonthDate]], "m")</f>
        <v>22</v>
      </c>
    </row>
    <row r="468" spans="1:39" x14ac:dyDescent="0.25">
      <c r="A468" t="s">
        <v>480</v>
      </c>
      <c r="B468" s="12">
        <v>45466</v>
      </c>
      <c r="C468" s="12">
        <f t="shared" si="105"/>
        <v>45471</v>
      </c>
      <c r="D468" s="2" t="str">
        <f>IF(Table1[[#This Row],[RequiredDate]]&lt;Table1[[#This Row],[OrderDate]],"Check","OK")</f>
        <v>OK</v>
      </c>
      <c r="E468" s="2">
        <v>45471</v>
      </c>
      <c r="F468" s="15">
        <f t="shared" si="106"/>
        <v>5</v>
      </c>
      <c r="G468" t="s">
        <v>646</v>
      </c>
      <c r="H468" t="s">
        <v>651</v>
      </c>
      <c r="I468" t="s">
        <v>663</v>
      </c>
      <c r="J468" t="s">
        <v>703</v>
      </c>
      <c r="K468" t="s">
        <v>711</v>
      </c>
      <c r="L468" t="s">
        <v>724</v>
      </c>
      <c r="M468" t="s">
        <v>733</v>
      </c>
      <c r="N468" t="s">
        <v>1199</v>
      </c>
      <c r="O468" s="29">
        <v>242.31</v>
      </c>
      <c r="P468" t="str">
        <f>IF(Table1[[#This Row],[UnitPrice]]&lt;=0,"Check","OK")</f>
        <v>OK</v>
      </c>
      <c r="Q468" s="29">
        <f t="shared" si="107"/>
        <v>587.95000000000005</v>
      </c>
      <c r="R468">
        <v>587.95000000000005</v>
      </c>
      <c r="S468" s="5">
        <f>IF(Table1[[#This Row],[Discount_Flag]]="Check", MIN(MAX(Table1[[#This Row],[DiscountPct]],0),0.3), Table1[[#This Row],[DiscountPct]])</f>
        <v>0.22900000000000001</v>
      </c>
      <c r="T468" t="str">
        <f>IF(OR(Table1[[#This Row],[DiscountPct]]&lt;0,Table1[[#This Row],[DiscountPct]]&gt;0.3),"Check","OK")</f>
        <v>OK</v>
      </c>
      <c r="U468" s="11">
        <v>0.22900000000000001</v>
      </c>
      <c r="V468" s="15">
        <f t="shared" si="108"/>
        <v>1</v>
      </c>
      <c r="W468" s="11">
        <f t="shared" si="109"/>
        <v>0.46546448568411714</v>
      </c>
      <c r="X468" s="17">
        <f t="shared" si="110"/>
        <v>1453.8600000000001</v>
      </c>
      <c r="Y468" s="17">
        <f t="shared" si="111"/>
        <v>1265.9967000000001</v>
      </c>
      <c r="Z468" s="17">
        <f t="shared" si="112"/>
        <v>2719.8567000000003</v>
      </c>
      <c r="AA468" s="17" t="str">
        <f t="shared" si="113"/>
        <v>Q2-2024</v>
      </c>
      <c r="AB468" s="12" t="str">
        <f t="shared" si="114"/>
        <v>Jun-2024</v>
      </c>
      <c r="AC468" s="12" t="str">
        <f t="shared" si="115"/>
        <v>Low</v>
      </c>
      <c r="AD468">
        <v>6</v>
      </c>
      <c r="AE468" s="12">
        <f>_xlfn.MINIFS(Table1[MonthDate], Table1[Country], Table1[[#This Row],[Country]])</f>
        <v>44927</v>
      </c>
      <c r="AF468" s="12">
        <f t="shared" si="116"/>
        <v>45444</v>
      </c>
      <c r="AG468">
        <f>AD468*(1 + Scenario_Control!$B$4)</f>
        <v>6.6000000000000005</v>
      </c>
      <c r="AH468">
        <f>O468*(1 + Scenario_Control!$B$3)</f>
        <v>254.4255</v>
      </c>
      <c r="AI468">
        <f t="shared" si="117"/>
        <v>598.36847400000011</v>
      </c>
      <c r="AJ468">
        <f t="shared" si="118"/>
        <v>-1080.8398260000001</v>
      </c>
      <c r="AK468" s="29">
        <f>MIN(Q468*(1-U468), Scenario_Control!$B$2*Q468)</f>
        <v>117.59000000000002</v>
      </c>
      <c r="AL468" s="15">
        <f t="shared" si="119"/>
        <v>1</v>
      </c>
      <c r="AM468" s="8">
        <f>DATEDIF(Table1[[#This Row],[Country_FirstMonth]], Table1[[#This Row],[MonthDate]], "m")</f>
        <v>17</v>
      </c>
    </row>
    <row r="469" spans="1:39" x14ac:dyDescent="0.25">
      <c r="A469" t="s">
        <v>481</v>
      </c>
      <c r="B469" s="12">
        <v>45278</v>
      </c>
      <c r="C469" s="12">
        <f t="shared" si="105"/>
        <v>45305</v>
      </c>
      <c r="D469" s="2" t="str">
        <f>IF(Table1[[#This Row],[RequiredDate]]&lt;Table1[[#This Row],[OrderDate]],"Check","OK")</f>
        <v>OK</v>
      </c>
      <c r="E469" s="2">
        <v>45305</v>
      </c>
      <c r="F469" s="15">
        <f t="shared" si="106"/>
        <v>27</v>
      </c>
      <c r="G469" t="s">
        <v>647</v>
      </c>
      <c r="H469" t="s">
        <v>654</v>
      </c>
      <c r="I469" t="s">
        <v>691</v>
      </c>
      <c r="J469" t="s">
        <v>704</v>
      </c>
      <c r="K469" t="s">
        <v>710</v>
      </c>
      <c r="L469" t="s">
        <v>726</v>
      </c>
      <c r="M469" t="s">
        <v>729</v>
      </c>
      <c r="N469" t="s">
        <v>1200</v>
      </c>
      <c r="O469" s="29">
        <v>1408.3</v>
      </c>
      <c r="P469" t="str">
        <f>IF(Table1[[#This Row],[UnitPrice]]&lt;=0,"Check","OK")</f>
        <v>OK</v>
      </c>
      <c r="Q469" s="29">
        <f t="shared" si="107"/>
        <v>2193.13</v>
      </c>
      <c r="R469">
        <v>2193.13</v>
      </c>
      <c r="S469" s="5">
        <f>IF(Table1[[#This Row],[Discount_Flag]]="Check", MIN(MAX(Table1[[#This Row],[DiscountPct]],0),0.3), Table1[[#This Row],[DiscountPct]])</f>
        <v>7.0999999999999994E-2</v>
      </c>
      <c r="T469" t="str">
        <f>IF(OR(Table1[[#This Row],[DiscountPct]]&lt;0,Table1[[#This Row],[DiscountPct]]&gt;0.3),"Check","OK")</f>
        <v>OK</v>
      </c>
      <c r="U469" s="11">
        <v>7.0999999999999994E-2</v>
      </c>
      <c r="V469" s="15">
        <f t="shared" si="108"/>
        <v>0</v>
      </c>
      <c r="W469" s="11">
        <f t="shared" si="109"/>
        <v>0.30878191957656281</v>
      </c>
      <c r="X469" s="17">
        <f t="shared" si="110"/>
        <v>9858.1</v>
      </c>
      <c r="Y469" s="17">
        <f t="shared" si="111"/>
        <v>4403.8243899999998</v>
      </c>
      <c r="Z469" s="17">
        <f t="shared" si="112"/>
        <v>14261.92439</v>
      </c>
      <c r="AA469" s="17" t="str">
        <f t="shared" si="113"/>
        <v>Q4-2023</v>
      </c>
      <c r="AB469" s="12" t="str">
        <f t="shared" si="114"/>
        <v>Dec-2023</v>
      </c>
      <c r="AC469" s="12" t="str">
        <f t="shared" si="115"/>
        <v>High</v>
      </c>
      <c r="AD469">
        <v>7</v>
      </c>
      <c r="AE469" s="12">
        <f>_xlfn.MINIFS(Table1[MonthDate], Table1[Country], Table1[[#This Row],[Country]])</f>
        <v>44927</v>
      </c>
      <c r="AF469" s="12">
        <f t="shared" si="116"/>
        <v>45261</v>
      </c>
      <c r="AG469">
        <f>AD469*(1 + Scenario_Control!$B$4)</f>
        <v>7.7000000000000011</v>
      </c>
      <c r="AH469">
        <f>O469*(1 + Scenario_Control!$B$3)</f>
        <v>1478.7149999999999</v>
      </c>
      <c r="AI469">
        <f t="shared" si="117"/>
        <v>3137.623365800001</v>
      </c>
      <c r="AJ469">
        <f t="shared" si="118"/>
        <v>-8248.4821341999996</v>
      </c>
      <c r="AK469" s="29">
        <f>MIN(Q469*(1-U469), Scenario_Control!$B$2*Q469)</f>
        <v>438.62600000000003</v>
      </c>
      <c r="AL469" s="15">
        <f t="shared" si="119"/>
        <v>0</v>
      </c>
      <c r="AM469" s="8">
        <f>DATEDIF(Table1[[#This Row],[Country_FirstMonth]], Table1[[#This Row],[MonthDate]], "m")</f>
        <v>11</v>
      </c>
    </row>
    <row r="470" spans="1:39" x14ac:dyDescent="0.25">
      <c r="A470" t="s">
        <v>482</v>
      </c>
      <c r="B470" s="12">
        <v>45809</v>
      </c>
      <c r="C470" s="12">
        <f t="shared" si="105"/>
        <v>45813</v>
      </c>
      <c r="D470" s="2" t="str">
        <f>IF(Table1[[#This Row],[RequiredDate]]&lt;Table1[[#This Row],[OrderDate]],"Check","OK")</f>
        <v>OK</v>
      </c>
      <c r="E470" s="2">
        <v>45813</v>
      </c>
      <c r="F470" s="15">
        <f t="shared" si="106"/>
        <v>4</v>
      </c>
      <c r="G470" t="s">
        <v>649</v>
      </c>
      <c r="H470" t="s">
        <v>656</v>
      </c>
      <c r="I470" t="s">
        <v>684</v>
      </c>
      <c r="J470" t="s">
        <v>706</v>
      </c>
      <c r="K470" t="s">
        <v>711</v>
      </c>
      <c r="L470" t="s">
        <v>724</v>
      </c>
      <c r="M470" t="s">
        <v>727</v>
      </c>
      <c r="N470" t="s">
        <v>1201</v>
      </c>
      <c r="O470" s="29">
        <v>1171.42</v>
      </c>
      <c r="P470" t="str">
        <f>IF(Table1[[#This Row],[UnitPrice]]&lt;=0,"Check","OK")</f>
        <v>OK</v>
      </c>
      <c r="Q470" s="29">
        <f t="shared" si="107"/>
        <v>2187.8000000000002</v>
      </c>
      <c r="R470">
        <v>2187.8000000000002</v>
      </c>
      <c r="S470" s="5">
        <f>IF(Table1[[#This Row],[Discount_Flag]]="Check", MIN(MAX(Table1[[#This Row],[DiscountPct]],0),0.3), Table1[[#This Row],[DiscountPct]])</f>
        <v>0.23</v>
      </c>
      <c r="T470" t="str">
        <f>IF(OR(Table1[[#This Row],[DiscountPct]]&lt;0,Table1[[#This Row],[DiscountPct]]&gt;0.3),"Check","OK")</f>
        <v>OK</v>
      </c>
      <c r="U470" s="11">
        <v>0.23</v>
      </c>
      <c r="V470" s="15">
        <f t="shared" si="108"/>
        <v>1</v>
      </c>
      <c r="W470" s="11">
        <f t="shared" si="109"/>
        <v>0.30463265594447592</v>
      </c>
      <c r="X470" s="17">
        <f t="shared" si="110"/>
        <v>17571.300000000003</v>
      </c>
      <c r="Y470" s="17">
        <f t="shared" si="111"/>
        <v>7697.7899999999972</v>
      </c>
      <c r="Z470" s="17">
        <f t="shared" si="112"/>
        <v>25269.09</v>
      </c>
      <c r="AA470" s="17" t="str">
        <f t="shared" si="113"/>
        <v>Q2-2025</v>
      </c>
      <c r="AB470" s="12" t="str">
        <f t="shared" si="114"/>
        <v>Jun-2025</v>
      </c>
      <c r="AC470" s="12" t="str">
        <f t="shared" si="115"/>
        <v>High</v>
      </c>
      <c r="AD470">
        <v>15</v>
      </c>
      <c r="AE470" s="12">
        <f>_xlfn.MINIFS(Table1[MonthDate], Table1[Country], Table1[[#This Row],[Country]])</f>
        <v>44927</v>
      </c>
      <c r="AF470" s="12">
        <f t="shared" si="116"/>
        <v>45809</v>
      </c>
      <c r="AG470">
        <f>AD470*(1 + Scenario_Control!$B$4)</f>
        <v>16.5</v>
      </c>
      <c r="AH470">
        <f>O470*(1 + Scenario_Control!$B$3)</f>
        <v>1229.9910000000002</v>
      </c>
      <c r="AI470">
        <f t="shared" si="117"/>
        <v>5559.1998000000003</v>
      </c>
      <c r="AJ470">
        <f t="shared" si="118"/>
        <v>-14735.651700000004</v>
      </c>
      <c r="AK470" s="29">
        <f>MIN(Q470*(1-U470), Scenario_Control!$B$2*Q470)</f>
        <v>437.56000000000006</v>
      </c>
      <c r="AL470" s="15">
        <f t="shared" si="119"/>
        <v>1</v>
      </c>
      <c r="AM470" s="8">
        <f>DATEDIF(Table1[[#This Row],[Country_FirstMonth]], Table1[[#This Row],[MonthDate]], "m")</f>
        <v>29</v>
      </c>
    </row>
    <row r="471" spans="1:39" x14ac:dyDescent="0.25">
      <c r="A471" t="s">
        <v>483</v>
      </c>
      <c r="B471" s="12">
        <v>45739</v>
      </c>
      <c r="C471" s="12">
        <f t="shared" si="105"/>
        <v>45749</v>
      </c>
      <c r="D471" s="2" t="str">
        <f>IF(Table1[[#This Row],[RequiredDate]]&lt;Table1[[#This Row],[OrderDate]],"Check","OK")</f>
        <v>OK</v>
      </c>
      <c r="E471" s="2">
        <v>45749</v>
      </c>
      <c r="F471" s="15">
        <f t="shared" si="106"/>
        <v>10</v>
      </c>
      <c r="G471" t="s">
        <v>649</v>
      </c>
      <c r="H471" t="s">
        <v>656</v>
      </c>
      <c r="I471" t="s">
        <v>671</v>
      </c>
      <c r="J471" t="s">
        <v>706</v>
      </c>
      <c r="K471" t="s">
        <v>708</v>
      </c>
      <c r="L471" t="s">
        <v>718</v>
      </c>
      <c r="M471" t="s">
        <v>728</v>
      </c>
      <c r="N471" t="s">
        <v>1202</v>
      </c>
      <c r="O471" s="29">
        <v>663.61</v>
      </c>
      <c r="P471" t="str">
        <f>IF(Table1[[#This Row],[UnitPrice]]&lt;=0,"Check","OK")</f>
        <v>OK</v>
      </c>
      <c r="Q471" s="29">
        <f t="shared" si="107"/>
        <v>1002.11</v>
      </c>
      <c r="R471">
        <v>1002.11</v>
      </c>
      <c r="S471" s="5">
        <f>IF(Table1[[#This Row],[Discount_Flag]]="Check", MIN(MAX(Table1[[#This Row],[DiscountPct]],0),0.3), Table1[[#This Row],[DiscountPct]])</f>
        <v>4.5999999999999999E-2</v>
      </c>
      <c r="T471" t="str">
        <f>IF(OR(Table1[[#This Row],[DiscountPct]]&lt;0,Table1[[#This Row],[DiscountPct]]&gt;0.3),"Check","OK")</f>
        <v>OK</v>
      </c>
      <c r="U471" s="11">
        <v>4.5999999999999999E-2</v>
      </c>
      <c r="V471" s="15">
        <f t="shared" si="108"/>
        <v>0</v>
      </c>
      <c r="W471" s="11">
        <f t="shared" si="109"/>
        <v>0.30585667595670812</v>
      </c>
      <c r="X471" s="17">
        <f t="shared" si="110"/>
        <v>11281.37</v>
      </c>
      <c r="Y471" s="17">
        <f t="shared" si="111"/>
        <v>4970.8499799999972</v>
      </c>
      <c r="Z471" s="17">
        <f t="shared" si="112"/>
        <v>16252.219979999998</v>
      </c>
      <c r="AA471" s="17" t="str">
        <f t="shared" si="113"/>
        <v>Q1-2025</v>
      </c>
      <c r="AB471" s="12" t="str">
        <f t="shared" si="114"/>
        <v>Mar-2025</v>
      </c>
      <c r="AC471" s="12" t="str">
        <f t="shared" si="115"/>
        <v>Medium</v>
      </c>
      <c r="AD471">
        <v>17</v>
      </c>
      <c r="AE471" s="12">
        <f>_xlfn.MINIFS(Table1[MonthDate], Table1[Country], Table1[[#This Row],[Country]])</f>
        <v>44927</v>
      </c>
      <c r="AF471" s="12">
        <f t="shared" si="116"/>
        <v>45717</v>
      </c>
      <c r="AG471">
        <f>AD471*(1 + Scenario_Control!$B$4)</f>
        <v>18.700000000000003</v>
      </c>
      <c r="AH471">
        <f>O471*(1 + Scenario_Control!$B$3)</f>
        <v>696.79050000000007</v>
      </c>
      <c r="AI471">
        <f t="shared" si="117"/>
        <v>3575.4883956000008</v>
      </c>
      <c r="AJ471">
        <f t="shared" si="118"/>
        <v>-9454.4939544000026</v>
      </c>
      <c r="AK471" s="29">
        <f>MIN(Q471*(1-U471), Scenario_Control!$B$2*Q471)</f>
        <v>200.42200000000003</v>
      </c>
      <c r="AL471" s="15">
        <f t="shared" si="119"/>
        <v>0</v>
      </c>
      <c r="AM471" s="8">
        <f>DATEDIF(Table1[[#This Row],[Country_FirstMonth]], Table1[[#This Row],[MonthDate]], "m")</f>
        <v>26</v>
      </c>
    </row>
    <row r="472" spans="1:39" x14ac:dyDescent="0.25">
      <c r="A472" t="s">
        <v>484</v>
      </c>
      <c r="B472" s="12">
        <v>45060</v>
      </c>
      <c r="C472" s="12">
        <f t="shared" si="105"/>
        <v>45068</v>
      </c>
      <c r="D472" s="2" t="str">
        <f>IF(Table1[[#This Row],[RequiredDate]]&lt;Table1[[#This Row],[OrderDate]],"Check","OK")</f>
        <v>OK</v>
      </c>
      <c r="E472" s="2">
        <v>45068</v>
      </c>
      <c r="F472" s="15">
        <f t="shared" si="106"/>
        <v>8</v>
      </c>
      <c r="G472" t="s">
        <v>646</v>
      </c>
      <c r="H472" t="s">
        <v>650</v>
      </c>
      <c r="I472" t="s">
        <v>675</v>
      </c>
      <c r="J472" t="s">
        <v>705</v>
      </c>
      <c r="K472" t="s">
        <v>710</v>
      </c>
      <c r="L472" t="s">
        <v>721</v>
      </c>
      <c r="M472" t="s">
        <v>728</v>
      </c>
      <c r="N472" t="s">
        <v>1203</v>
      </c>
      <c r="O472" s="29">
        <v>432.01</v>
      </c>
      <c r="P472" t="str">
        <f>IF(Table1[[#This Row],[UnitPrice]]&lt;=0,"Check","OK")</f>
        <v>OK</v>
      </c>
      <c r="Q472" s="29">
        <f t="shared" si="107"/>
        <v>913.78</v>
      </c>
      <c r="R472">
        <v>913.78</v>
      </c>
      <c r="S472" s="5">
        <f>IF(Table1[[#This Row],[Discount_Flag]]="Check", MIN(MAX(Table1[[#This Row],[DiscountPct]],0),0.3), Table1[[#This Row],[DiscountPct]])</f>
        <v>4.9000000000000002E-2</v>
      </c>
      <c r="T472" t="str">
        <f>IF(OR(Table1[[#This Row],[DiscountPct]]&lt;0,Table1[[#This Row],[DiscountPct]]&gt;0.3),"Check","OK")</f>
        <v>OK</v>
      </c>
      <c r="U472" s="11">
        <v>4.9000000000000002E-2</v>
      </c>
      <c r="V472" s="15">
        <f t="shared" si="108"/>
        <v>0</v>
      </c>
      <c r="W472" s="11">
        <f t="shared" si="109"/>
        <v>0.50286809699711899</v>
      </c>
      <c r="X472" s="17">
        <f t="shared" si="110"/>
        <v>5184.12</v>
      </c>
      <c r="Y472" s="17">
        <f t="shared" si="111"/>
        <v>5243.9373600000008</v>
      </c>
      <c r="Z472" s="17">
        <f t="shared" si="112"/>
        <v>10428.057360000001</v>
      </c>
      <c r="AA472" s="17" t="str">
        <f t="shared" si="113"/>
        <v>Q2-2023</v>
      </c>
      <c r="AB472" s="12" t="str">
        <f t="shared" si="114"/>
        <v>May-2023</v>
      </c>
      <c r="AC472" s="12" t="str">
        <f t="shared" si="115"/>
        <v>Medium</v>
      </c>
      <c r="AD472">
        <v>12</v>
      </c>
      <c r="AE472" s="12">
        <f>_xlfn.MINIFS(Table1[MonthDate], Table1[Country], Table1[[#This Row],[Country]])</f>
        <v>44927</v>
      </c>
      <c r="AF472" s="12">
        <f t="shared" si="116"/>
        <v>45047</v>
      </c>
      <c r="AG472">
        <f>AD472*(1 + Scenario_Control!$B$4)</f>
        <v>13.200000000000001</v>
      </c>
      <c r="AH472">
        <f>O472*(1 + Scenario_Control!$B$3)</f>
        <v>453.6105</v>
      </c>
      <c r="AI472">
        <f t="shared" si="117"/>
        <v>2294.1726192000001</v>
      </c>
      <c r="AJ472">
        <f t="shared" si="118"/>
        <v>-3693.4859808000006</v>
      </c>
      <c r="AK472" s="29">
        <f>MIN(Q472*(1-U472), Scenario_Control!$B$2*Q472)</f>
        <v>182.756</v>
      </c>
      <c r="AL472" s="15">
        <f t="shared" si="119"/>
        <v>0</v>
      </c>
      <c r="AM472" s="8">
        <f>DATEDIF(Table1[[#This Row],[Country_FirstMonth]], Table1[[#This Row],[MonthDate]], "m")</f>
        <v>4</v>
      </c>
    </row>
    <row r="473" spans="1:39" x14ac:dyDescent="0.25">
      <c r="A473" t="s">
        <v>485</v>
      </c>
      <c r="B473" s="12">
        <v>45167</v>
      </c>
      <c r="C473" s="12">
        <f t="shared" si="105"/>
        <v>45188</v>
      </c>
      <c r="D473" s="2" t="str">
        <f>IF(Table1[[#This Row],[RequiredDate]]&lt;Table1[[#This Row],[OrderDate]],"Check","OK")</f>
        <v>OK</v>
      </c>
      <c r="E473" s="2">
        <v>45188</v>
      </c>
      <c r="F473" s="15">
        <f t="shared" si="106"/>
        <v>21</v>
      </c>
      <c r="G473" t="s">
        <v>649</v>
      </c>
      <c r="H473" t="s">
        <v>657</v>
      </c>
      <c r="I473" t="s">
        <v>679</v>
      </c>
      <c r="J473" t="s">
        <v>705</v>
      </c>
      <c r="K473" t="s">
        <v>711</v>
      </c>
      <c r="L473" t="s">
        <v>717</v>
      </c>
      <c r="M473" t="s">
        <v>728</v>
      </c>
      <c r="N473" t="s">
        <v>1204</v>
      </c>
      <c r="O473" s="29">
        <v>784.46</v>
      </c>
      <c r="P473" t="str">
        <f>IF(Table1[[#This Row],[UnitPrice]]&lt;=0,"Check","OK")</f>
        <v>OK</v>
      </c>
      <c r="Q473" s="29">
        <f t="shared" si="107"/>
        <v>1843.51</v>
      </c>
      <c r="R473">
        <v>1843.51</v>
      </c>
      <c r="S473" s="5">
        <f>IF(Table1[[#This Row],[Discount_Flag]]="Check", MIN(MAX(Table1[[#This Row],[DiscountPct]],0),0.3), Table1[[#This Row],[DiscountPct]])</f>
        <v>0.13800000000000001</v>
      </c>
      <c r="T473" t="str">
        <f>IF(OR(Table1[[#This Row],[DiscountPct]]&lt;0,Table1[[#This Row],[DiscountPct]]&gt;0.3),"Check","OK")</f>
        <v>OK</v>
      </c>
      <c r="U473" s="11">
        <v>0.13800000000000001</v>
      </c>
      <c r="V473" s="15">
        <f t="shared" si="108"/>
        <v>0</v>
      </c>
      <c r="W473" s="11">
        <f t="shared" si="109"/>
        <v>0.50635125184441798</v>
      </c>
      <c r="X473" s="17">
        <f t="shared" si="110"/>
        <v>18042.580000000002</v>
      </c>
      <c r="Y473" s="17">
        <f t="shared" si="111"/>
        <v>18506.849260000003</v>
      </c>
      <c r="Z473" s="17">
        <f t="shared" si="112"/>
        <v>36549.429260000004</v>
      </c>
      <c r="AA473" s="17" t="str">
        <f t="shared" si="113"/>
        <v>Q3-2023</v>
      </c>
      <c r="AB473" s="12" t="str">
        <f t="shared" si="114"/>
        <v>Aug-2023</v>
      </c>
      <c r="AC473" s="12" t="str">
        <f t="shared" si="115"/>
        <v>Medium</v>
      </c>
      <c r="AD473">
        <v>23</v>
      </c>
      <c r="AE473" s="12">
        <f>_xlfn.MINIFS(Table1[MonthDate], Table1[Country], Table1[[#This Row],[Country]])</f>
        <v>44927</v>
      </c>
      <c r="AF473" s="12">
        <f t="shared" si="116"/>
        <v>45139</v>
      </c>
      <c r="AG473">
        <f>AD473*(1 + Scenario_Control!$B$4)</f>
        <v>25.3</v>
      </c>
      <c r="AH473">
        <f>O473*(1 + Scenario_Control!$B$3)</f>
        <v>823.68300000000011</v>
      </c>
      <c r="AI473">
        <f t="shared" si="117"/>
        <v>8040.874437200001</v>
      </c>
      <c r="AJ473">
        <f t="shared" si="118"/>
        <v>-12798.305462800003</v>
      </c>
      <c r="AK473" s="29">
        <f>MIN(Q473*(1-U473), Scenario_Control!$B$2*Q473)</f>
        <v>368.702</v>
      </c>
      <c r="AL473" s="15">
        <f t="shared" si="119"/>
        <v>0</v>
      </c>
      <c r="AM473" s="8">
        <f>DATEDIF(Table1[[#This Row],[Country_FirstMonth]], Table1[[#This Row],[MonthDate]], "m")</f>
        <v>7</v>
      </c>
    </row>
    <row r="474" spans="1:39" x14ac:dyDescent="0.25">
      <c r="A474" t="s">
        <v>486</v>
      </c>
      <c r="B474" s="12">
        <v>45841</v>
      </c>
      <c r="C474" s="12">
        <f t="shared" si="105"/>
        <v>45861</v>
      </c>
      <c r="D474" s="2" t="str">
        <f>IF(Table1[[#This Row],[RequiredDate]]&lt;Table1[[#This Row],[OrderDate]],"Check","OK")</f>
        <v>OK</v>
      </c>
      <c r="E474" s="2">
        <v>45861</v>
      </c>
      <c r="F474" s="15">
        <f t="shared" si="106"/>
        <v>20</v>
      </c>
      <c r="G474" t="s">
        <v>647</v>
      </c>
      <c r="H474" t="s">
        <v>659</v>
      </c>
      <c r="I474" t="s">
        <v>699</v>
      </c>
      <c r="J474" t="s">
        <v>705</v>
      </c>
      <c r="K474" t="s">
        <v>708</v>
      </c>
      <c r="L474" t="s">
        <v>724</v>
      </c>
      <c r="M474" t="s">
        <v>727</v>
      </c>
      <c r="N474" t="s">
        <v>1205</v>
      </c>
      <c r="O474" s="29">
        <v>647.36</v>
      </c>
      <c r="P474" t="str">
        <f>IF(Table1[[#This Row],[UnitPrice]]&lt;=0,"Check","OK")</f>
        <v>OK</v>
      </c>
      <c r="Q474" s="29">
        <f t="shared" si="107"/>
        <v>1383.6</v>
      </c>
      <c r="R474">
        <v>1383.6</v>
      </c>
      <c r="S474" s="5">
        <f>IF(Table1[[#This Row],[Discount_Flag]]="Check", MIN(MAX(Table1[[#This Row],[DiscountPct]],0),0.3), Table1[[#This Row],[DiscountPct]])</f>
        <v>7.3999999999999996E-2</v>
      </c>
      <c r="T474" t="str">
        <f>IF(OR(Table1[[#This Row],[DiscountPct]]&lt;0,Table1[[#This Row],[DiscountPct]]&gt;0.3),"Check","OK")</f>
        <v>OK</v>
      </c>
      <c r="U474" s="11">
        <v>7.3999999999999996E-2</v>
      </c>
      <c r="V474" s="15">
        <f t="shared" si="108"/>
        <v>0</v>
      </c>
      <c r="W474" s="11">
        <f t="shared" si="109"/>
        <v>0.49472906000997802</v>
      </c>
      <c r="X474" s="17">
        <f t="shared" si="110"/>
        <v>7768.32</v>
      </c>
      <c r="Y474" s="17">
        <f t="shared" si="111"/>
        <v>7606.243199999999</v>
      </c>
      <c r="Z474" s="17">
        <f t="shared" si="112"/>
        <v>15374.563199999999</v>
      </c>
      <c r="AA474" s="17" t="str">
        <f t="shared" si="113"/>
        <v>Q3-2025</v>
      </c>
      <c r="AB474" s="12" t="str">
        <f t="shared" si="114"/>
        <v>Jul-2025</v>
      </c>
      <c r="AC474" s="12" t="str">
        <f t="shared" si="115"/>
        <v>Medium</v>
      </c>
      <c r="AD474">
        <v>12</v>
      </c>
      <c r="AE474" s="12">
        <f>_xlfn.MINIFS(Table1[MonthDate], Table1[Country], Table1[[#This Row],[Country]])</f>
        <v>44927</v>
      </c>
      <c r="AF474" s="12">
        <f t="shared" si="116"/>
        <v>45839</v>
      </c>
      <c r="AG474">
        <f>AD474*(1 + Scenario_Control!$B$4)</f>
        <v>13.200000000000001</v>
      </c>
      <c r="AH474">
        <f>O474*(1 + Scenario_Control!$B$3)</f>
        <v>679.72800000000007</v>
      </c>
      <c r="AI474">
        <f t="shared" si="117"/>
        <v>3382.4039039999998</v>
      </c>
      <c r="AJ474">
        <f t="shared" si="118"/>
        <v>-5590.0056960000011</v>
      </c>
      <c r="AK474" s="29">
        <f>MIN(Q474*(1-U474), Scenario_Control!$B$2*Q474)</f>
        <v>276.71999999999997</v>
      </c>
      <c r="AL474" s="15">
        <f t="shared" si="119"/>
        <v>0</v>
      </c>
      <c r="AM474" s="8">
        <f>DATEDIF(Table1[[#This Row],[Country_FirstMonth]], Table1[[#This Row],[MonthDate]], "m")</f>
        <v>30</v>
      </c>
    </row>
    <row r="475" spans="1:39" x14ac:dyDescent="0.25">
      <c r="A475" t="s">
        <v>487</v>
      </c>
      <c r="B475" s="12">
        <v>45328</v>
      </c>
      <c r="C475" s="12">
        <f t="shared" si="105"/>
        <v>45350</v>
      </c>
      <c r="D475" s="2" t="str">
        <f>IF(Table1[[#This Row],[RequiredDate]]&lt;Table1[[#This Row],[OrderDate]],"Check","OK")</f>
        <v>OK</v>
      </c>
      <c r="E475" s="2">
        <v>45350</v>
      </c>
      <c r="F475" s="15">
        <f t="shared" si="106"/>
        <v>22</v>
      </c>
      <c r="G475" t="s">
        <v>646</v>
      </c>
      <c r="H475" t="s">
        <v>650</v>
      </c>
      <c r="I475" t="s">
        <v>662</v>
      </c>
      <c r="J475" t="s">
        <v>703</v>
      </c>
      <c r="K475" t="s">
        <v>708</v>
      </c>
      <c r="L475" t="s">
        <v>723</v>
      </c>
      <c r="M475" t="s">
        <v>732</v>
      </c>
      <c r="N475" t="s">
        <v>1206</v>
      </c>
      <c r="O475" s="29">
        <v>834.93</v>
      </c>
      <c r="P475" t="str">
        <f>IF(Table1[[#This Row],[UnitPrice]]&lt;=0,"Check","OK")</f>
        <v>OK</v>
      </c>
      <c r="Q475" s="29">
        <f t="shared" si="107"/>
        <v>1588.53</v>
      </c>
      <c r="R475">
        <v>1588.53</v>
      </c>
      <c r="S475" s="5">
        <f>IF(Table1[[#This Row],[Discount_Flag]]="Check", MIN(MAX(Table1[[#This Row],[DiscountPct]],0),0.3), Table1[[#This Row],[DiscountPct]])</f>
        <v>0.126</v>
      </c>
      <c r="T475" t="str">
        <f>IF(OR(Table1[[#This Row],[DiscountPct]]&lt;0,Table1[[#This Row],[DiscountPct]]&gt;0.3),"Check","OK")</f>
        <v>OK</v>
      </c>
      <c r="U475" s="11">
        <v>0.126</v>
      </c>
      <c r="V475" s="15">
        <f t="shared" si="108"/>
        <v>0</v>
      </c>
      <c r="W475" s="11">
        <f t="shared" si="109"/>
        <v>0.39862798761274343</v>
      </c>
      <c r="X475" s="17">
        <f t="shared" si="110"/>
        <v>5009.58</v>
      </c>
      <c r="Y475" s="17">
        <f t="shared" si="111"/>
        <v>3320.6713199999995</v>
      </c>
      <c r="Z475" s="17">
        <f t="shared" si="112"/>
        <v>8330.2513199999994</v>
      </c>
      <c r="AA475" s="17" t="str">
        <f t="shared" si="113"/>
        <v>Q1-2024</v>
      </c>
      <c r="AB475" s="12" t="str">
        <f t="shared" si="114"/>
        <v>Feb-2024</v>
      </c>
      <c r="AC475" s="12" t="str">
        <f t="shared" si="115"/>
        <v>Medium</v>
      </c>
      <c r="AD475">
        <v>6</v>
      </c>
      <c r="AE475" s="12">
        <f>_xlfn.MINIFS(Table1[MonthDate], Table1[Country], Table1[[#This Row],[Country]])</f>
        <v>44927</v>
      </c>
      <c r="AF475" s="12">
        <f t="shared" si="116"/>
        <v>45323</v>
      </c>
      <c r="AG475">
        <f>AD475*(1 + Scenario_Control!$B$4)</f>
        <v>6.6000000000000005</v>
      </c>
      <c r="AH475">
        <f>O475*(1 + Scenario_Control!$B$3)</f>
        <v>876.67650000000003</v>
      </c>
      <c r="AI475">
        <f t="shared" si="117"/>
        <v>1832.6552904000002</v>
      </c>
      <c r="AJ475">
        <f t="shared" si="118"/>
        <v>-3953.4096096000003</v>
      </c>
      <c r="AK475" s="29">
        <f>MIN(Q475*(1-U475), Scenario_Control!$B$2*Q475)</f>
        <v>317.70600000000002</v>
      </c>
      <c r="AL475" s="15">
        <f t="shared" si="119"/>
        <v>0</v>
      </c>
      <c r="AM475" s="8">
        <f>DATEDIF(Table1[[#This Row],[Country_FirstMonth]], Table1[[#This Row],[MonthDate]], "m")</f>
        <v>13</v>
      </c>
    </row>
    <row r="476" spans="1:39" x14ac:dyDescent="0.25">
      <c r="A476" t="s">
        <v>488</v>
      </c>
      <c r="B476" s="12">
        <v>45882</v>
      </c>
      <c r="C476" s="12">
        <f t="shared" si="105"/>
        <v>45903</v>
      </c>
      <c r="D476" s="2" t="str">
        <f>IF(Table1[[#This Row],[RequiredDate]]&lt;Table1[[#This Row],[OrderDate]],"Check","OK")</f>
        <v>OK</v>
      </c>
      <c r="E476" s="2">
        <v>45903</v>
      </c>
      <c r="F476" s="15">
        <f t="shared" si="106"/>
        <v>21</v>
      </c>
      <c r="G476" t="s">
        <v>649</v>
      </c>
      <c r="H476" t="s">
        <v>657</v>
      </c>
      <c r="I476" t="s">
        <v>690</v>
      </c>
      <c r="J476" t="s">
        <v>702</v>
      </c>
      <c r="K476" t="s">
        <v>707</v>
      </c>
      <c r="L476" t="s">
        <v>714</v>
      </c>
      <c r="M476" t="s">
        <v>730</v>
      </c>
      <c r="N476" t="s">
        <v>1207</v>
      </c>
      <c r="O476" s="29">
        <v>603.47</v>
      </c>
      <c r="P476" t="str">
        <f>IF(Table1[[#This Row],[UnitPrice]]&lt;=0,"Check","OK")</f>
        <v>OK</v>
      </c>
      <c r="Q476" s="29">
        <f t="shared" si="107"/>
        <v>1344.05</v>
      </c>
      <c r="R476">
        <v>1344.05</v>
      </c>
      <c r="S476" s="5">
        <f>IF(Table1[[#This Row],[Discount_Flag]]="Check", MIN(MAX(Table1[[#This Row],[DiscountPct]],0),0.3), Table1[[#This Row],[DiscountPct]])</f>
        <v>0.20499999999999999</v>
      </c>
      <c r="T476" t="str">
        <f>IF(OR(Table1[[#This Row],[DiscountPct]]&lt;0,Table1[[#This Row],[DiscountPct]]&gt;0.3),"Check","OK")</f>
        <v>OK</v>
      </c>
      <c r="U476" s="11">
        <v>0.20499999999999999</v>
      </c>
      <c r="V476" s="15">
        <f t="shared" si="108"/>
        <v>1</v>
      </c>
      <c r="W476" s="11">
        <f t="shared" si="109"/>
        <v>0.43522803392262976</v>
      </c>
      <c r="X476" s="17">
        <f t="shared" si="110"/>
        <v>10862.460000000001</v>
      </c>
      <c r="Y476" s="17">
        <f t="shared" si="111"/>
        <v>8370.8954999999969</v>
      </c>
      <c r="Z476" s="17">
        <f t="shared" si="112"/>
        <v>19233.355499999998</v>
      </c>
      <c r="AA476" s="17" t="str">
        <f t="shared" si="113"/>
        <v>Q3-2025</v>
      </c>
      <c r="AB476" s="12" t="str">
        <f t="shared" si="114"/>
        <v>Aug-2025</v>
      </c>
      <c r="AC476" s="12" t="str">
        <f t="shared" si="115"/>
        <v>Medium</v>
      </c>
      <c r="AD476">
        <v>18</v>
      </c>
      <c r="AE476" s="12">
        <f>_xlfn.MINIFS(Table1[MonthDate], Table1[Country], Table1[[#This Row],[Country]])</f>
        <v>44927</v>
      </c>
      <c r="AF476" s="12">
        <f t="shared" si="116"/>
        <v>45870</v>
      </c>
      <c r="AG476">
        <f>AD476*(1 + Scenario_Control!$B$4)</f>
        <v>19.8</v>
      </c>
      <c r="AH476">
        <f>O476*(1 + Scenario_Control!$B$3)</f>
        <v>633.64350000000002</v>
      </c>
      <c r="AI476">
        <f t="shared" si="117"/>
        <v>4231.3382099999999</v>
      </c>
      <c r="AJ476">
        <f t="shared" si="118"/>
        <v>-8314.8030900000012</v>
      </c>
      <c r="AK476" s="29">
        <f>MIN(Q476*(1-U476), Scenario_Control!$B$2*Q476)</f>
        <v>268.81</v>
      </c>
      <c r="AL476" s="15">
        <f t="shared" si="119"/>
        <v>0</v>
      </c>
      <c r="AM476" s="8">
        <f>DATEDIF(Table1[[#This Row],[Country_FirstMonth]], Table1[[#This Row],[MonthDate]], "m")</f>
        <v>31</v>
      </c>
    </row>
    <row r="477" spans="1:39" x14ac:dyDescent="0.25">
      <c r="A477" t="s">
        <v>489</v>
      </c>
      <c r="B477" s="12">
        <v>45069</v>
      </c>
      <c r="C477" s="12">
        <f t="shared" si="105"/>
        <v>45071</v>
      </c>
      <c r="D477" s="2" t="str">
        <f>IF(Table1[[#This Row],[RequiredDate]]&lt;Table1[[#This Row],[OrderDate]],"Check","OK")</f>
        <v>OK</v>
      </c>
      <c r="E477" s="2">
        <v>45071</v>
      </c>
      <c r="F477" s="15">
        <f t="shared" si="106"/>
        <v>2</v>
      </c>
      <c r="G477" t="s">
        <v>648</v>
      </c>
      <c r="H477" t="s">
        <v>655</v>
      </c>
      <c r="I477" t="s">
        <v>692</v>
      </c>
      <c r="J477" t="s">
        <v>706</v>
      </c>
      <c r="K477" t="s">
        <v>707</v>
      </c>
      <c r="L477" t="s">
        <v>724</v>
      </c>
      <c r="M477" t="s">
        <v>728</v>
      </c>
      <c r="N477" t="s">
        <v>1208</v>
      </c>
      <c r="O477" s="29">
        <v>690.49</v>
      </c>
      <c r="P477" t="str">
        <f>IF(Table1[[#This Row],[UnitPrice]]&lt;=0,"Check","OK")</f>
        <v>OK</v>
      </c>
      <c r="Q477" s="29">
        <f t="shared" si="107"/>
        <v>1290.29</v>
      </c>
      <c r="R477">
        <v>1290.29</v>
      </c>
      <c r="S477" s="5">
        <f>IF(Table1[[#This Row],[Discount_Flag]]="Check", MIN(MAX(Table1[[#This Row],[DiscountPct]],0),0.3), Table1[[#This Row],[DiscountPct]])</f>
        <v>4.2000000000000003E-2</v>
      </c>
      <c r="T477" t="str">
        <f>IF(OR(Table1[[#This Row],[DiscountPct]]&lt;0,Table1[[#This Row],[DiscountPct]]&gt;0.3),"Check","OK")</f>
        <v>OK</v>
      </c>
      <c r="U477" s="11">
        <v>4.2000000000000003E-2</v>
      </c>
      <c r="V477" s="15">
        <f t="shared" si="108"/>
        <v>0</v>
      </c>
      <c r="W477" s="11">
        <f t="shared" si="109"/>
        <v>0.44139534199647718</v>
      </c>
      <c r="X477" s="17">
        <f t="shared" si="110"/>
        <v>15190.78</v>
      </c>
      <c r="Y477" s="17">
        <f t="shared" si="111"/>
        <v>12003.372039999997</v>
      </c>
      <c r="Z477" s="17">
        <f t="shared" si="112"/>
        <v>27194.152039999997</v>
      </c>
      <c r="AA477" s="17" t="str">
        <f t="shared" si="113"/>
        <v>Q2-2023</v>
      </c>
      <c r="AB477" s="12" t="str">
        <f t="shared" si="114"/>
        <v>May-2023</v>
      </c>
      <c r="AC477" s="12" t="str">
        <f t="shared" si="115"/>
        <v>Medium</v>
      </c>
      <c r="AD477">
        <v>22</v>
      </c>
      <c r="AE477" s="12">
        <f>_xlfn.MINIFS(Table1[MonthDate], Table1[Country], Table1[[#This Row],[Country]])</f>
        <v>44927</v>
      </c>
      <c r="AF477" s="12">
        <f t="shared" si="116"/>
        <v>45047</v>
      </c>
      <c r="AG477">
        <f>AD477*(1 + Scenario_Control!$B$4)</f>
        <v>24.200000000000003</v>
      </c>
      <c r="AH477">
        <f>O477*(1 + Scenario_Control!$B$3)</f>
        <v>725.0145</v>
      </c>
      <c r="AI477">
        <f t="shared" si="117"/>
        <v>5982.7134488000011</v>
      </c>
      <c r="AJ477">
        <f t="shared" si="118"/>
        <v>-11562.6374512</v>
      </c>
      <c r="AK477" s="29">
        <f>MIN(Q477*(1-U477), Scenario_Control!$B$2*Q477)</f>
        <v>258.05799999999999</v>
      </c>
      <c r="AL477" s="15">
        <f t="shared" si="119"/>
        <v>1</v>
      </c>
      <c r="AM477" s="8">
        <f>DATEDIF(Table1[[#This Row],[Country_FirstMonth]], Table1[[#This Row],[MonthDate]], "m")</f>
        <v>4</v>
      </c>
    </row>
    <row r="478" spans="1:39" x14ac:dyDescent="0.25">
      <c r="A478" t="s">
        <v>490</v>
      </c>
      <c r="B478" s="12">
        <v>45422</v>
      </c>
      <c r="C478" s="12">
        <f t="shared" si="105"/>
        <v>45428</v>
      </c>
      <c r="D478" s="2" t="str">
        <f>IF(Table1[[#This Row],[RequiredDate]]&lt;Table1[[#This Row],[OrderDate]],"Check","OK")</f>
        <v>OK</v>
      </c>
      <c r="E478" s="2">
        <v>45428</v>
      </c>
      <c r="F478" s="15">
        <f t="shared" si="106"/>
        <v>6</v>
      </c>
      <c r="G478" t="s">
        <v>649</v>
      </c>
      <c r="H478" t="s">
        <v>658</v>
      </c>
      <c r="I478" t="s">
        <v>674</v>
      </c>
      <c r="J478" t="s">
        <v>703</v>
      </c>
      <c r="K478" t="s">
        <v>711</v>
      </c>
      <c r="L478" t="s">
        <v>715</v>
      </c>
      <c r="M478" t="s">
        <v>731</v>
      </c>
      <c r="N478" t="s">
        <v>1209</v>
      </c>
      <c r="O478" s="29">
        <v>210.76</v>
      </c>
      <c r="P478" t="str">
        <f>IF(Table1[[#This Row],[UnitPrice]]&lt;=0,"Check","OK")</f>
        <v>OK</v>
      </c>
      <c r="Q478" s="29">
        <f t="shared" si="107"/>
        <v>221.58</v>
      </c>
      <c r="R478">
        <v>221.58</v>
      </c>
      <c r="S478" s="5">
        <f>IF(Table1[[#This Row],[Discount_Flag]]="Check", MIN(MAX(Table1[[#This Row],[DiscountPct]],0),0.3), Table1[[#This Row],[DiscountPct]])</f>
        <v>8.8999999999999996E-2</v>
      </c>
      <c r="T478" t="str">
        <f>IF(OR(Table1[[#This Row],[DiscountPct]]&lt;0,Table1[[#This Row],[DiscountPct]]&gt;0.3),"Check","OK")</f>
        <v>OK</v>
      </c>
      <c r="U478" s="11">
        <v>8.8999999999999996E-2</v>
      </c>
      <c r="V478" s="15">
        <f t="shared" si="108"/>
        <v>0</v>
      </c>
      <c r="W478" s="11">
        <f t="shared" si="109"/>
        <v>-4.4093170205912434E-2</v>
      </c>
      <c r="X478" s="17">
        <f t="shared" si="110"/>
        <v>1053.8</v>
      </c>
      <c r="Y478" s="17">
        <f t="shared" si="111"/>
        <v>-44.50309999999979</v>
      </c>
      <c r="Z478" s="17">
        <f t="shared" si="112"/>
        <v>1009.2969000000002</v>
      </c>
      <c r="AA478" s="17" t="str">
        <f t="shared" si="113"/>
        <v>Q2-2024</v>
      </c>
      <c r="AB478" s="12" t="str">
        <f t="shared" si="114"/>
        <v>May-2024</v>
      </c>
      <c r="AC478" s="12" t="str">
        <f t="shared" si="115"/>
        <v>Low</v>
      </c>
      <c r="AD478">
        <v>5</v>
      </c>
      <c r="AE478" s="12">
        <f>_xlfn.MINIFS(Table1[MonthDate], Table1[Country], Table1[[#This Row],[Country]])</f>
        <v>44927</v>
      </c>
      <c r="AF478" s="12">
        <f t="shared" si="116"/>
        <v>45413</v>
      </c>
      <c r="AG478">
        <f>AD478*(1 + Scenario_Control!$B$4)</f>
        <v>5.5</v>
      </c>
      <c r="AH478">
        <f>O478*(1 + Scenario_Control!$B$3)</f>
        <v>221.298</v>
      </c>
      <c r="AI478">
        <f t="shared" si="117"/>
        <v>222.04531800000001</v>
      </c>
      <c r="AJ478">
        <f t="shared" si="118"/>
        <v>-995.09368200000017</v>
      </c>
      <c r="AK478" s="29">
        <f>MIN(Q478*(1-U478), Scenario_Control!$B$2*Q478)</f>
        <v>44.316000000000003</v>
      </c>
      <c r="AL478" s="15">
        <f t="shared" si="119"/>
        <v>1</v>
      </c>
      <c r="AM478" s="8">
        <f>DATEDIF(Table1[[#This Row],[Country_FirstMonth]], Table1[[#This Row],[MonthDate]], "m")</f>
        <v>16</v>
      </c>
    </row>
    <row r="479" spans="1:39" x14ac:dyDescent="0.25">
      <c r="A479" t="s">
        <v>491</v>
      </c>
      <c r="B479" s="12">
        <v>44999</v>
      </c>
      <c r="C479" s="12">
        <f t="shared" si="105"/>
        <v>45003</v>
      </c>
      <c r="D479" s="2" t="str">
        <f>IF(Table1[[#This Row],[RequiredDate]]&lt;Table1[[#This Row],[OrderDate]],"Check","OK")</f>
        <v>OK</v>
      </c>
      <c r="E479" s="2">
        <v>45003</v>
      </c>
      <c r="F479" s="15">
        <f t="shared" si="106"/>
        <v>4</v>
      </c>
      <c r="G479" t="s">
        <v>649</v>
      </c>
      <c r="H479" t="s">
        <v>656</v>
      </c>
      <c r="I479" t="s">
        <v>698</v>
      </c>
      <c r="J479" t="s">
        <v>706</v>
      </c>
      <c r="K479" t="s">
        <v>711</v>
      </c>
      <c r="L479" t="s">
        <v>720</v>
      </c>
      <c r="M479" t="s">
        <v>727</v>
      </c>
      <c r="N479" t="s">
        <v>1210</v>
      </c>
      <c r="O479" s="29">
        <v>472.33</v>
      </c>
      <c r="P479" t="str">
        <f>IF(Table1[[#This Row],[UnitPrice]]&lt;=0,"Check","OK")</f>
        <v>OK</v>
      </c>
      <c r="Q479" s="29">
        <f t="shared" si="107"/>
        <v>360.34</v>
      </c>
      <c r="R479">
        <v>360.34</v>
      </c>
      <c r="S479" s="5">
        <f>IF(Table1[[#This Row],[Discount_Flag]]="Check", MIN(MAX(Table1[[#This Row],[DiscountPct]],0),0.3), Table1[[#This Row],[DiscountPct]])</f>
        <v>0.16500000000000001</v>
      </c>
      <c r="T479" t="str">
        <f>IF(OR(Table1[[#This Row],[DiscountPct]]&lt;0,Table1[[#This Row],[DiscountPct]]&gt;0.3),"Check","OK")</f>
        <v>OK</v>
      </c>
      <c r="U479" s="11">
        <v>0.16500000000000001</v>
      </c>
      <c r="V479" s="15">
        <f t="shared" si="108"/>
        <v>0</v>
      </c>
      <c r="W479" s="11">
        <f t="shared" si="109"/>
        <v>-0.56980815523861561</v>
      </c>
      <c r="X479" s="17">
        <f t="shared" si="110"/>
        <v>6612.62</v>
      </c>
      <c r="Y479" s="17">
        <f t="shared" si="111"/>
        <v>-2400.2454000000007</v>
      </c>
      <c r="Z479" s="17">
        <f t="shared" si="112"/>
        <v>4212.3745999999992</v>
      </c>
      <c r="AA479" s="17" t="str">
        <f t="shared" si="113"/>
        <v>Q1-2023</v>
      </c>
      <c r="AB479" s="12" t="str">
        <f t="shared" si="114"/>
        <v>Mar-2023</v>
      </c>
      <c r="AC479" s="12" t="str">
        <f t="shared" si="115"/>
        <v>Low</v>
      </c>
      <c r="AD479">
        <v>14</v>
      </c>
      <c r="AE479" s="12">
        <f>_xlfn.MINIFS(Table1[MonthDate], Table1[Country], Table1[[#This Row],[Country]])</f>
        <v>44927</v>
      </c>
      <c r="AF479" s="12">
        <f t="shared" si="116"/>
        <v>44986</v>
      </c>
      <c r="AG479">
        <f>AD479*(1 + Scenario_Control!$B$4)</f>
        <v>15.400000000000002</v>
      </c>
      <c r="AH479">
        <f>O479*(1 + Scenario_Control!$B$3)</f>
        <v>495.94650000000001</v>
      </c>
      <c r="AI479">
        <f t="shared" si="117"/>
        <v>926.72241200000008</v>
      </c>
      <c r="AJ479">
        <f t="shared" si="118"/>
        <v>-6710.8536880000011</v>
      </c>
      <c r="AK479" s="29">
        <f>MIN(Q479*(1-U479), Scenario_Control!$B$2*Q479)</f>
        <v>72.067999999999998</v>
      </c>
      <c r="AL479" s="15">
        <f t="shared" si="119"/>
        <v>1</v>
      </c>
      <c r="AM479" s="8">
        <f>DATEDIF(Table1[[#This Row],[Country_FirstMonth]], Table1[[#This Row],[MonthDate]], "m")</f>
        <v>2</v>
      </c>
    </row>
    <row r="480" spans="1:39" x14ac:dyDescent="0.25">
      <c r="A480" t="s">
        <v>492</v>
      </c>
      <c r="B480" s="12">
        <v>45123</v>
      </c>
      <c r="C480" s="12">
        <f t="shared" si="105"/>
        <v>45151</v>
      </c>
      <c r="D480" s="2" t="str">
        <f>IF(Table1[[#This Row],[RequiredDate]]&lt;Table1[[#This Row],[OrderDate]],"Check","OK")</f>
        <v>OK</v>
      </c>
      <c r="E480" s="2">
        <v>45151</v>
      </c>
      <c r="F480" s="15">
        <f t="shared" si="106"/>
        <v>28</v>
      </c>
      <c r="G480" t="s">
        <v>649</v>
      </c>
      <c r="H480" t="s">
        <v>658</v>
      </c>
      <c r="I480" t="s">
        <v>693</v>
      </c>
      <c r="J480" t="s">
        <v>703</v>
      </c>
      <c r="K480" t="s">
        <v>708</v>
      </c>
      <c r="L480" t="s">
        <v>713</v>
      </c>
      <c r="M480" t="s">
        <v>731</v>
      </c>
      <c r="N480" t="s">
        <v>1211</v>
      </c>
      <c r="O480" s="29">
        <v>1039.03</v>
      </c>
      <c r="P480" t="str">
        <f>IF(Table1[[#This Row],[UnitPrice]]&lt;=0,"Check","OK")</f>
        <v>OK</v>
      </c>
      <c r="Q480" s="29">
        <f t="shared" si="107"/>
        <v>2545.81</v>
      </c>
      <c r="R480">
        <v>2545.81</v>
      </c>
      <c r="S480" s="5">
        <f>IF(Table1[[#This Row],[Discount_Flag]]="Check", MIN(MAX(Table1[[#This Row],[DiscountPct]],0),0.3), Table1[[#This Row],[DiscountPct]])</f>
        <v>0.216</v>
      </c>
      <c r="T480" t="str">
        <f>IF(OR(Table1[[#This Row],[DiscountPct]]&lt;0,Table1[[#This Row],[DiscountPct]]&gt;0.3),"Check","OK")</f>
        <v>OK</v>
      </c>
      <c r="U480" s="11">
        <v>0.216</v>
      </c>
      <c r="V480" s="15">
        <f t="shared" si="108"/>
        <v>1</v>
      </c>
      <c r="W480" s="11">
        <f t="shared" si="109"/>
        <v>0.47942172929364774</v>
      </c>
      <c r="X480" s="17">
        <f t="shared" si="110"/>
        <v>21819.63</v>
      </c>
      <c r="Y480" s="17">
        <f t="shared" si="111"/>
        <v>20094.585840000003</v>
      </c>
      <c r="Z480" s="17">
        <f t="shared" si="112"/>
        <v>41914.215840000004</v>
      </c>
      <c r="AA480" s="17" t="str">
        <f t="shared" si="113"/>
        <v>Q3-2023</v>
      </c>
      <c r="AB480" s="12" t="str">
        <f t="shared" si="114"/>
        <v>Jul-2023</v>
      </c>
      <c r="AC480" s="12" t="str">
        <f t="shared" si="115"/>
        <v>High</v>
      </c>
      <c r="AD480">
        <v>21</v>
      </c>
      <c r="AE480" s="12">
        <f>_xlfn.MINIFS(Table1[MonthDate], Table1[Country], Table1[[#This Row],[Country]])</f>
        <v>44927</v>
      </c>
      <c r="AF480" s="12">
        <f t="shared" si="116"/>
        <v>45108</v>
      </c>
      <c r="AG480">
        <f>AD480*(1 + Scenario_Control!$B$4)</f>
        <v>23.1</v>
      </c>
      <c r="AH480">
        <f>O480*(1 + Scenario_Control!$B$3)</f>
        <v>1090.9815000000001</v>
      </c>
      <c r="AI480">
        <f t="shared" si="117"/>
        <v>9221.1274848000012</v>
      </c>
      <c r="AJ480">
        <f t="shared" si="118"/>
        <v>-15980.545165200003</v>
      </c>
      <c r="AK480" s="29">
        <f>MIN(Q480*(1-U480), Scenario_Control!$B$2*Q480)</f>
        <v>509.16200000000003</v>
      </c>
      <c r="AL480" s="15">
        <f t="shared" si="119"/>
        <v>0</v>
      </c>
      <c r="AM480" s="8">
        <f>DATEDIF(Table1[[#This Row],[Country_FirstMonth]], Table1[[#This Row],[MonthDate]], "m")</f>
        <v>6</v>
      </c>
    </row>
    <row r="481" spans="1:39" x14ac:dyDescent="0.25">
      <c r="A481" t="s">
        <v>493</v>
      </c>
      <c r="B481" s="12">
        <v>45032</v>
      </c>
      <c r="C481" s="12">
        <f t="shared" si="105"/>
        <v>45035</v>
      </c>
      <c r="D481" s="2" t="str">
        <f>IF(Table1[[#This Row],[RequiredDate]]&lt;Table1[[#This Row],[OrderDate]],"Check","OK")</f>
        <v>OK</v>
      </c>
      <c r="E481" s="2">
        <v>45035</v>
      </c>
      <c r="F481" s="15">
        <f t="shared" si="106"/>
        <v>3</v>
      </c>
      <c r="G481" t="s">
        <v>649</v>
      </c>
      <c r="H481" t="s">
        <v>656</v>
      </c>
      <c r="I481" t="s">
        <v>684</v>
      </c>
      <c r="J481" t="s">
        <v>701</v>
      </c>
      <c r="K481" t="s">
        <v>711</v>
      </c>
      <c r="L481" t="s">
        <v>717</v>
      </c>
      <c r="M481" t="s">
        <v>733</v>
      </c>
      <c r="N481" t="s">
        <v>1212</v>
      </c>
      <c r="O481" s="29">
        <v>553.61</v>
      </c>
      <c r="P481" t="str">
        <f>IF(Table1[[#This Row],[UnitPrice]]&lt;=0,"Check","OK")</f>
        <v>OK</v>
      </c>
      <c r="Q481" s="29">
        <f t="shared" si="107"/>
        <v>699.47</v>
      </c>
      <c r="R481">
        <v>699.47</v>
      </c>
      <c r="S481" s="5">
        <f>IF(Table1[[#This Row],[Discount_Flag]]="Check", MIN(MAX(Table1[[#This Row],[DiscountPct]],0),0.3), Table1[[#This Row],[DiscountPct]])</f>
        <v>0.02</v>
      </c>
      <c r="T481" t="str">
        <f>IF(OR(Table1[[#This Row],[DiscountPct]]&lt;0,Table1[[#This Row],[DiscountPct]]&gt;0.3),"Check","OK")</f>
        <v>OK</v>
      </c>
      <c r="U481" s="11">
        <v>0.02</v>
      </c>
      <c r="V481" s="15">
        <f t="shared" si="108"/>
        <v>0</v>
      </c>
      <c r="W481" s="11">
        <f t="shared" si="109"/>
        <v>0.19237685209472014</v>
      </c>
      <c r="X481" s="17">
        <f t="shared" si="110"/>
        <v>18269.13</v>
      </c>
      <c r="Y481" s="17">
        <f t="shared" si="111"/>
        <v>4351.729800000001</v>
      </c>
      <c r="Z481" s="17">
        <f t="shared" si="112"/>
        <v>22620.859800000002</v>
      </c>
      <c r="AA481" s="17" t="str">
        <f t="shared" si="113"/>
        <v>Q2-2023</v>
      </c>
      <c r="AB481" s="12" t="str">
        <f t="shared" si="114"/>
        <v>Apr-2023</v>
      </c>
      <c r="AC481" s="12" t="str">
        <f t="shared" si="115"/>
        <v>Medium</v>
      </c>
      <c r="AD481">
        <v>33</v>
      </c>
      <c r="AE481" s="12">
        <f>_xlfn.MINIFS(Table1[MonthDate], Table1[Country], Table1[[#This Row],[Country]])</f>
        <v>44927</v>
      </c>
      <c r="AF481" s="12">
        <f t="shared" si="116"/>
        <v>45017</v>
      </c>
      <c r="AG481">
        <f>AD481*(1 + Scenario_Control!$B$4)</f>
        <v>36.300000000000004</v>
      </c>
      <c r="AH481">
        <f>O481*(1 + Scenario_Control!$B$3)</f>
        <v>581.29050000000007</v>
      </c>
      <c r="AI481">
        <f t="shared" si="117"/>
        <v>4976.589156</v>
      </c>
      <c r="AJ481">
        <f t="shared" si="118"/>
        <v>-16124.255994000005</v>
      </c>
      <c r="AK481" s="29">
        <f>MIN(Q481*(1-U481), Scenario_Control!$B$2*Q481)</f>
        <v>139.89400000000001</v>
      </c>
      <c r="AL481" s="15">
        <f t="shared" si="119"/>
        <v>1</v>
      </c>
      <c r="AM481" s="8">
        <f>DATEDIF(Table1[[#This Row],[Country_FirstMonth]], Table1[[#This Row],[MonthDate]], "m")</f>
        <v>3</v>
      </c>
    </row>
    <row r="482" spans="1:39" x14ac:dyDescent="0.25">
      <c r="A482" t="s">
        <v>494</v>
      </c>
      <c r="B482" s="12">
        <v>45293</v>
      </c>
      <c r="C482" s="12">
        <f t="shared" si="105"/>
        <v>45306</v>
      </c>
      <c r="D482" s="2" t="str">
        <f>IF(Table1[[#This Row],[RequiredDate]]&lt;Table1[[#This Row],[OrderDate]],"Check","OK")</f>
        <v>OK</v>
      </c>
      <c r="E482" s="2">
        <v>45306</v>
      </c>
      <c r="F482" s="15">
        <f t="shared" si="106"/>
        <v>13</v>
      </c>
      <c r="G482" t="s">
        <v>647</v>
      </c>
      <c r="H482" t="s">
        <v>652</v>
      </c>
      <c r="I482" t="s">
        <v>694</v>
      </c>
      <c r="J482" t="s">
        <v>705</v>
      </c>
      <c r="K482" t="s">
        <v>709</v>
      </c>
      <c r="L482" t="s">
        <v>715</v>
      </c>
      <c r="M482" t="s">
        <v>729</v>
      </c>
      <c r="N482" t="s">
        <v>1213</v>
      </c>
      <c r="O482" s="29">
        <v>1219.06</v>
      </c>
      <c r="P482" t="str">
        <f>IF(Table1[[#This Row],[UnitPrice]]&lt;=0,"Check","OK")</f>
        <v>OK</v>
      </c>
      <c r="Q482" s="29">
        <f t="shared" si="107"/>
        <v>2738.69</v>
      </c>
      <c r="R482">
        <v>2738.69</v>
      </c>
      <c r="S482" s="5">
        <f>IF(Table1[[#This Row],[Discount_Flag]]="Check", MIN(MAX(Table1[[#This Row],[DiscountPct]],0),0.3), Table1[[#This Row],[DiscountPct]])</f>
        <v>7.5999999999999998E-2</v>
      </c>
      <c r="T482" t="str">
        <f>IF(OR(Table1[[#This Row],[DiscountPct]]&lt;0,Table1[[#This Row],[DiscountPct]]&gt;0.3),"Check","OK")</f>
        <v>OK</v>
      </c>
      <c r="U482" s="11">
        <v>7.5999999999999998E-2</v>
      </c>
      <c r="V482" s="15">
        <f t="shared" si="108"/>
        <v>0</v>
      </c>
      <c r="W482" s="11">
        <f t="shared" si="109"/>
        <v>0.51826274447673737</v>
      </c>
      <c r="X482" s="17">
        <f t="shared" si="110"/>
        <v>19504.96</v>
      </c>
      <c r="Y482" s="17">
        <f t="shared" si="111"/>
        <v>20983.832960000007</v>
      </c>
      <c r="Z482" s="17">
        <f t="shared" si="112"/>
        <v>40488.792960000006</v>
      </c>
      <c r="AA482" s="17" t="str">
        <f t="shared" si="113"/>
        <v>Q1-2024</v>
      </c>
      <c r="AB482" s="12" t="str">
        <f t="shared" si="114"/>
        <v>Jan-2024</v>
      </c>
      <c r="AC482" s="12" t="str">
        <f t="shared" si="115"/>
        <v>High</v>
      </c>
      <c r="AD482">
        <v>16</v>
      </c>
      <c r="AE482" s="12">
        <f>_xlfn.MINIFS(Table1[MonthDate], Table1[Country], Table1[[#This Row],[Country]])</f>
        <v>44986</v>
      </c>
      <c r="AF482" s="12">
        <f t="shared" si="116"/>
        <v>45292</v>
      </c>
      <c r="AG482">
        <f>AD482*(1 + Scenario_Control!$B$4)</f>
        <v>17.600000000000001</v>
      </c>
      <c r="AH482">
        <f>O482*(1 + Scenario_Control!$B$3)</f>
        <v>1280.0129999999999</v>
      </c>
      <c r="AI482">
        <f t="shared" si="117"/>
        <v>8907.5344512000029</v>
      </c>
      <c r="AJ482">
        <f t="shared" si="118"/>
        <v>-13620.694348799998</v>
      </c>
      <c r="AK482" s="29">
        <f>MIN(Q482*(1-U482), Scenario_Control!$B$2*Q482)</f>
        <v>547.73800000000006</v>
      </c>
      <c r="AL482" s="15">
        <f t="shared" si="119"/>
        <v>0</v>
      </c>
      <c r="AM482" s="8">
        <f>DATEDIF(Table1[[#This Row],[Country_FirstMonth]], Table1[[#This Row],[MonthDate]], "m")</f>
        <v>10</v>
      </c>
    </row>
    <row r="483" spans="1:39" x14ac:dyDescent="0.25">
      <c r="A483" t="s">
        <v>495</v>
      </c>
      <c r="B483" s="12">
        <v>45538</v>
      </c>
      <c r="C483" s="12">
        <f t="shared" si="105"/>
        <v>45542</v>
      </c>
      <c r="D483" s="2" t="str">
        <f>IF(Table1[[#This Row],[RequiredDate]]&lt;Table1[[#This Row],[OrderDate]],"Check","OK")</f>
        <v>OK</v>
      </c>
      <c r="E483" s="2">
        <v>45542</v>
      </c>
      <c r="F483" s="15">
        <f t="shared" si="106"/>
        <v>4</v>
      </c>
      <c r="G483" t="s">
        <v>647</v>
      </c>
      <c r="H483" t="s">
        <v>652</v>
      </c>
      <c r="I483" t="s">
        <v>689</v>
      </c>
      <c r="J483" t="s">
        <v>705</v>
      </c>
      <c r="K483" t="s">
        <v>710</v>
      </c>
      <c r="L483" t="s">
        <v>725</v>
      </c>
      <c r="M483" t="s">
        <v>728</v>
      </c>
      <c r="N483" t="s">
        <v>1214</v>
      </c>
      <c r="O483" s="29">
        <v>43.23</v>
      </c>
      <c r="P483" t="str">
        <f>IF(Table1[[#This Row],[UnitPrice]]&lt;=0,"Check","OK")</f>
        <v>OK</v>
      </c>
      <c r="Q483" s="29">
        <f t="shared" si="107"/>
        <v>94.78</v>
      </c>
      <c r="R483">
        <v>94.78</v>
      </c>
      <c r="S483" s="5">
        <f>IF(Table1[[#This Row],[Discount_Flag]]="Check", MIN(MAX(Table1[[#This Row],[DiscountPct]],0),0.3), Table1[[#This Row],[DiscountPct]])</f>
        <v>9.0999999999999998E-2</v>
      </c>
      <c r="T483" t="str">
        <f>IF(OR(Table1[[#This Row],[DiscountPct]]&lt;0,Table1[[#This Row],[DiscountPct]]&gt;0.3),"Check","OK")</f>
        <v>OK</v>
      </c>
      <c r="U483" s="11">
        <v>9.0999999999999998E-2</v>
      </c>
      <c r="V483" s="15">
        <f t="shared" si="108"/>
        <v>0</v>
      </c>
      <c r="W483" s="11">
        <f t="shared" si="109"/>
        <v>0.49823005090127082</v>
      </c>
      <c r="X483" s="17">
        <f t="shared" si="110"/>
        <v>2377.6499999999996</v>
      </c>
      <c r="Y483" s="17">
        <f t="shared" si="111"/>
        <v>2360.8761000000004</v>
      </c>
      <c r="Z483" s="17">
        <f t="shared" si="112"/>
        <v>4738.5261</v>
      </c>
      <c r="AA483" s="17" t="str">
        <f t="shared" si="113"/>
        <v>Q3-2024</v>
      </c>
      <c r="AB483" s="12" t="str">
        <f t="shared" si="114"/>
        <v>Sept-2024</v>
      </c>
      <c r="AC483" s="12" t="str">
        <f t="shared" si="115"/>
        <v>Low</v>
      </c>
      <c r="AD483">
        <v>55</v>
      </c>
      <c r="AE483" s="12">
        <f>_xlfn.MINIFS(Table1[MonthDate], Table1[Country], Table1[[#This Row],[Country]])</f>
        <v>44986</v>
      </c>
      <c r="AF483" s="12">
        <f t="shared" si="116"/>
        <v>45536</v>
      </c>
      <c r="AG483">
        <f>AD483*(1 + Scenario_Control!$B$4)</f>
        <v>60.500000000000007</v>
      </c>
      <c r="AH483">
        <f>O483*(1 + Scenario_Control!$B$3)</f>
        <v>45.391500000000001</v>
      </c>
      <c r="AI483">
        <f t="shared" si="117"/>
        <v>1042.4757420000003</v>
      </c>
      <c r="AJ483">
        <f t="shared" si="118"/>
        <v>-1703.7100080000002</v>
      </c>
      <c r="AK483" s="29">
        <f>MIN(Q483*(1-U483), Scenario_Control!$B$2*Q483)</f>
        <v>18.956</v>
      </c>
      <c r="AL483" s="15">
        <f t="shared" si="119"/>
        <v>1</v>
      </c>
      <c r="AM483" s="8">
        <f>DATEDIF(Table1[[#This Row],[Country_FirstMonth]], Table1[[#This Row],[MonthDate]], "m")</f>
        <v>18</v>
      </c>
    </row>
    <row r="484" spans="1:39" x14ac:dyDescent="0.25">
      <c r="A484" t="s">
        <v>496</v>
      </c>
      <c r="B484" s="12">
        <v>45899</v>
      </c>
      <c r="C484" s="12">
        <f t="shared" si="105"/>
        <v>45903</v>
      </c>
      <c r="D484" s="2" t="str">
        <f>IF(Table1[[#This Row],[RequiredDate]]&lt;Table1[[#This Row],[OrderDate]],"Check","OK")</f>
        <v>OK</v>
      </c>
      <c r="E484" s="2">
        <v>45903</v>
      </c>
      <c r="F484" s="15">
        <f t="shared" si="106"/>
        <v>4</v>
      </c>
      <c r="G484" t="s">
        <v>649</v>
      </c>
      <c r="H484" t="s">
        <v>657</v>
      </c>
      <c r="I484" t="s">
        <v>673</v>
      </c>
      <c r="J484" t="s">
        <v>705</v>
      </c>
      <c r="K484" t="s">
        <v>709</v>
      </c>
      <c r="L484" t="s">
        <v>713</v>
      </c>
      <c r="M484" t="s">
        <v>731</v>
      </c>
      <c r="N484" t="s">
        <v>1215</v>
      </c>
      <c r="O484" s="29">
        <v>1286.56</v>
      </c>
      <c r="P484" t="str">
        <f>IF(Table1[[#This Row],[UnitPrice]]&lt;=0,"Check","OK")</f>
        <v>OK</v>
      </c>
      <c r="Q484" s="29">
        <f t="shared" si="107"/>
        <v>2777.35</v>
      </c>
      <c r="R484">
        <v>2777.35</v>
      </c>
      <c r="S484" s="5">
        <f>IF(Table1[[#This Row],[Discount_Flag]]="Check", MIN(MAX(Table1[[#This Row],[DiscountPct]],0),0.3), Table1[[#This Row],[DiscountPct]])</f>
        <v>0.13200000000000001</v>
      </c>
      <c r="T484" t="str">
        <f>IF(OR(Table1[[#This Row],[DiscountPct]]&lt;0,Table1[[#This Row],[DiscountPct]]&gt;0.3),"Check","OK")</f>
        <v>OK</v>
      </c>
      <c r="U484" s="11">
        <v>0.13200000000000001</v>
      </c>
      <c r="V484" s="15">
        <f t="shared" si="108"/>
        <v>0</v>
      </c>
      <c r="W484" s="11">
        <f t="shared" si="109"/>
        <v>0.46632150014696744</v>
      </c>
      <c r="X484" s="17">
        <f t="shared" si="110"/>
        <v>19298.399999999998</v>
      </c>
      <c r="Y484" s="17">
        <f t="shared" si="111"/>
        <v>16862.697000000004</v>
      </c>
      <c r="Z484" s="17">
        <f t="shared" si="112"/>
        <v>36161.097000000002</v>
      </c>
      <c r="AA484" s="17" t="str">
        <f t="shared" si="113"/>
        <v>Q3-2025</v>
      </c>
      <c r="AB484" s="12" t="str">
        <f t="shared" si="114"/>
        <v>Aug-2025</v>
      </c>
      <c r="AC484" s="12" t="str">
        <f t="shared" si="115"/>
        <v>High</v>
      </c>
      <c r="AD484">
        <v>15</v>
      </c>
      <c r="AE484" s="12">
        <f>_xlfn.MINIFS(Table1[MonthDate], Table1[Country], Table1[[#This Row],[Country]])</f>
        <v>44927</v>
      </c>
      <c r="AF484" s="12">
        <f t="shared" si="116"/>
        <v>45870</v>
      </c>
      <c r="AG484">
        <f>AD484*(1 + Scenario_Control!$B$4)</f>
        <v>16.5</v>
      </c>
      <c r="AH484">
        <f>O484*(1 + Scenario_Control!$B$3)</f>
        <v>1350.8879999999999</v>
      </c>
      <c r="AI484">
        <f t="shared" si="117"/>
        <v>7955.4413400000012</v>
      </c>
      <c r="AJ484">
        <f t="shared" si="118"/>
        <v>-14334.210659999997</v>
      </c>
      <c r="AK484" s="29">
        <f>MIN(Q484*(1-U484), Scenario_Control!$B$2*Q484)</f>
        <v>555.47</v>
      </c>
      <c r="AL484" s="15">
        <f t="shared" si="119"/>
        <v>1</v>
      </c>
      <c r="AM484" s="8">
        <f>DATEDIF(Table1[[#This Row],[Country_FirstMonth]], Table1[[#This Row],[MonthDate]], "m")</f>
        <v>31</v>
      </c>
    </row>
    <row r="485" spans="1:39" x14ac:dyDescent="0.25">
      <c r="A485" t="s">
        <v>497</v>
      </c>
      <c r="B485" s="12">
        <v>45775</v>
      </c>
      <c r="C485" s="12">
        <f t="shared" si="105"/>
        <v>45796</v>
      </c>
      <c r="D485" s="2" t="str">
        <f>IF(Table1[[#This Row],[RequiredDate]]&lt;Table1[[#This Row],[OrderDate]],"Check","OK")</f>
        <v>OK</v>
      </c>
      <c r="E485" s="2">
        <v>45796</v>
      </c>
      <c r="F485" s="15">
        <f t="shared" si="106"/>
        <v>21</v>
      </c>
      <c r="G485" t="s">
        <v>649</v>
      </c>
      <c r="H485" t="s">
        <v>656</v>
      </c>
      <c r="I485" t="s">
        <v>671</v>
      </c>
      <c r="J485" t="s">
        <v>701</v>
      </c>
      <c r="K485" t="s">
        <v>710</v>
      </c>
      <c r="L485" t="s">
        <v>717</v>
      </c>
      <c r="M485" t="s">
        <v>730</v>
      </c>
      <c r="N485" t="s">
        <v>1216</v>
      </c>
      <c r="O485" s="29">
        <v>350.76</v>
      </c>
      <c r="P485" t="str">
        <f>IF(Table1[[#This Row],[UnitPrice]]&lt;=0,"Check","OK")</f>
        <v>OK</v>
      </c>
      <c r="Q485" s="29">
        <f t="shared" si="107"/>
        <v>492.18</v>
      </c>
      <c r="R485">
        <v>492.18</v>
      </c>
      <c r="S485" s="5">
        <f>IF(Table1[[#This Row],[Discount_Flag]]="Check", MIN(MAX(Table1[[#This Row],[DiscountPct]],0),0.3), Table1[[#This Row],[DiscountPct]])</f>
        <v>5.2999999999999999E-2</v>
      </c>
      <c r="T485" t="str">
        <f>IF(OR(Table1[[#This Row],[DiscountPct]]&lt;0,Table1[[#This Row],[DiscountPct]]&gt;0.3),"Check","OK")</f>
        <v>OK</v>
      </c>
      <c r="U485" s="11">
        <v>5.2999999999999999E-2</v>
      </c>
      <c r="V485" s="15">
        <f t="shared" si="108"/>
        <v>0</v>
      </c>
      <c r="W485" s="11">
        <f t="shared" si="109"/>
        <v>0.24744868239798437</v>
      </c>
      <c r="X485" s="17">
        <f t="shared" si="110"/>
        <v>3858.3599999999997</v>
      </c>
      <c r="Y485" s="17">
        <f t="shared" si="111"/>
        <v>1268.6790600000004</v>
      </c>
      <c r="Z485" s="17">
        <f t="shared" si="112"/>
        <v>5127.0390600000001</v>
      </c>
      <c r="AA485" s="17" t="str">
        <f t="shared" si="113"/>
        <v>Q2-2025</v>
      </c>
      <c r="AB485" s="12" t="str">
        <f t="shared" si="114"/>
        <v>Apr-2025</v>
      </c>
      <c r="AC485" s="12" t="str">
        <f t="shared" si="115"/>
        <v>Low</v>
      </c>
      <c r="AD485">
        <v>11</v>
      </c>
      <c r="AE485" s="12">
        <f>_xlfn.MINIFS(Table1[MonthDate], Table1[Country], Table1[[#This Row],[Country]])</f>
        <v>44927</v>
      </c>
      <c r="AF485" s="12">
        <f t="shared" si="116"/>
        <v>45748</v>
      </c>
      <c r="AG485">
        <f>AD485*(1 + Scenario_Control!$B$4)</f>
        <v>12.100000000000001</v>
      </c>
      <c r="AH485">
        <f>O485*(1 + Scenario_Control!$B$3)</f>
        <v>368.298</v>
      </c>
      <c r="AI485">
        <f t="shared" si="117"/>
        <v>1127.9485932</v>
      </c>
      <c r="AJ485">
        <f t="shared" si="118"/>
        <v>-3328.4572068000007</v>
      </c>
      <c r="AK485" s="29">
        <f>MIN(Q485*(1-U485), Scenario_Control!$B$2*Q485)</f>
        <v>98.436000000000007</v>
      </c>
      <c r="AL485" s="15">
        <f t="shared" si="119"/>
        <v>0</v>
      </c>
      <c r="AM485" s="8">
        <f>DATEDIF(Table1[[#This Row],[Country_FirstMonth]], Table1[[#This Row],[MonthDate]], "m")</f>
        <v>27</v>
      </c>
    </row>
    <row r="486" spans="1:39" x14ac:dyDescent="0.25">
      <c r="A486" t="s">
        <v>498</v>
      </c>
      <c r="B486" s="12">
        <v>45148</v>
      </c>
      <c r="C486" s="12">
        <f t="shared" si="105"/>
        <v>45153</v>
      </c>
      <c r="D486" s="2" t="str">
        <f>IF(Table1[[#This Row],[RequiredDate]]&lt;Table1[[#This Row],[OrderDate]],"Check","OK")</f>
        <v>OK</v>
      </c>
      <c r="E486" s="2">
        <v>45153</v>
      </c>
      <c r="F486" s="15">
        <f t="shared" si="106"/>
        <v>5</v>
      </c>
      <c r="G486" t="s">
        <v>648</v>
      </c>
      <c r="H486" t="s">
        <v>655</v>
      </c>
      <c r="I486" t="s">
        <v>670</v>
      </c>
      <c r="J486" t="s">
        <v>702</v>
      </c>
      <c r="K486" t="s">
        <v>711</v>
      </c>
      <c r="L486" t="s">
        <v>715</v>
      </c>
      <c r="M486" t="s">
        <v>729</v>
      </c>
      <c r="N486" t="s">
        <v>1217</v>
      </c>
      <c r="O486" s="29">
        <v>1307.52</v>
      </c>
      <c r="P486" t="str">
        <f>IF(Table1[[#This Row],[UnitPrice]]&lt;=0,"Check","OK")</f>
        <v>OK</v>
      </c>
      <c r="Q486" s="29">
        <f t="shared" si="107"/>
        <v>1921.65</v>
      </c>
      <c r="R486">
        <v>1921.65</v>
      </c>
      <c r="S486" s="5">
        <f>IF(Table1[[#This Row],[Discount_Flag]]="Check", MIN(MAX(Table1[[#This Row],[DiscountPct]],0),0.3), Table1[[#This Row],[DiscountPct]])</f>
        <v>0.123</v>
      </c>
      <c r="T486" t="str">
        <f>IF(OR(Table1[[#This Row],[DiscountPct]]&lt;0,Table1[[#This Row],[DiscountPct]]&gt;0.3),"Check","OK")</f>
        <v>OK</v>
      </c>
      <c r="U486" s="11">
        <v>0.123</v>
      </c>
      <c r="V486" s="15">
        <f t="shared" si="108"/>
        <v>0</v>
      </c>
      <c r="W486" s="11">
        <f t="shared" si="109"/>
        <v>0.22415590863289445</v>
      </c>
      <c r="X486" s="17">
        <f t="shared" si="110"/>
        <v>16997.759999999998</v>
      </c>
      <c r="Y486" s="17">
        <f t="shared" si="111"/>
        <v>4910.9716500000031</v>
      </c>
      <c r="Z486" s="17">
        <f t="shared" si="112"/>
        <v>21908.731650000002</v>
      </c>
      <c r="AA486" s="17" t="str">
        <f t="shared" si="113"/>
        <v>Q3-2023</v>
      </c>
      <c r="AB486" s="12" t="str">
        <f t="shared" si="114"/>
        <v>Aug-2023</v>
      </c>
      <c r="AC486" s="12" t="str">
        <f t="shared" si="115"/>
        <v>High</v>
      </c>
      <c r="AD486">
        <v>13</v>
      </c>
      <c r="AE486" s="12">
        <f>_xlfn.MINIFS(Table1[MonthDate], Table1[Country], Table1[[#This Row],[Country]])</f>
        <v>44927</v>
      </c>
      <c r="AF486" s="12">
        <f t="shared" si="116"/>
        <v>45139</v>
      </c>
      <c r="AG486">
        <f>AD486*(1 + Scenario_Control!$B$4)</f>
        <v>14.3</v>
      </c>
      <c r="AH486">
        <f>O486*(1 + Scenario_Control!$B$3)</f>
        <v>1372.896</v>
      </c>
      <c r="AI486">
        <f t="shared" si="117"/>
        <v>4819.9209630000005</v>
      </c>
      <c r="AJ486">
        <f t="shared" si="118"/>
        <v>-14812.491837000001</v>
      </c>
      <c r="AK486" s="29">
        <f>MIN(Q486*(1-U486), Scenario_Control!$B$2*Q486)</f>
        <v>384.33000000000004</v>
      </c>
      <c r="AL486" s="15">
        <f t="shared" si="119"/>
        <v>1</v>
      </c>
      <c r="AM486" s="8">
        <f>DATEDIF(Table1[[#This Row],[Country_FirstMonth]], Table1[[#This Row],[MonthDate]], "m")</f>
        <v>7</v>
      </c>
    </row>
    <row r="487" spans="1:39" x14ac:dyDescent="0.25">
      <c r="A487" t="s">
        <v>499</v>
      </c>
      <c r="B487" s="12">
        <v>45634</v>
      </c>
      <c r="C487" s="12">
        <f t="shared" si="105"/>
        <v>45634</v>
      </c>
      <c r="D487" s="2" t="str">
        <f>IF(Table1[[#This Row],[RequiredDate]]&lt;Table1[[#This Row],[OrderDate]],"Check","OK")</f>
        <v>OK</v>
      </c>
      <c r="E487" s="2">
        <v>45634</v>
      </c>
      <c r="F487" s="15">
        <f t="shared" si="106"/>
        <v>0</v>
      </c>
      <c r="G487" t="s">
        <v>649</v>
      </c>
      <c r="H487" t="s">
        <v>657</v>
      </c>
      <c r="I487" t="s">
        <v>679</v>
      </c>
      <c r="J487" t="s">
        <v>706</v>
      </c>
      <c r="K487" t="s">
        <v>707</v>
      </c>
      <c r="L487" t="s">
        <v>722</v>
      </c>
      <c r="M487" t="s">
        <v>727</v>
      </c>
      <c r="N487" t="s">
        <v>1218</v>
      </c>
      <c r="O487" s="29">
        <v>257.44</v>
      </c>
      <c r="P487" t="str">
        <f>IF(Table1[[#This Row],[UnitPrice]]&lt;=0,"Check","OK")</f>
        <v>OK</v>
      </c>
      <c r="Q487" s="29">
        <f t="shared" si="107"/>
        <v>290.33</v>
      </c>
      <c r="R487">
        <v>290.33</v>
      </c>
      <c r="S487" s="5">
        <f>IF(Table1[[#This Row],[Discount_Flag]]="Check", MIN(MAX(Table1[[#This Row],[DiscountPct]],0),0.3), Table1[[#This Row],[DiscountPct]])</f>
        <v>9.1999999999999998E-2</v>
      </c>
      <c r="T487" t="str">
        <f>IF(OR(Table1[[#This Row],[DiscountPct]]&lt;0,Table1[[#This Row],[DiscountPct]]&gt;0.3),"Check","OK")</f>
        <v>OK</v>
      </c>
      <c r="U487" s="11">
        <v>9.1999999999999998E-2</v>
      </c>
      <c r="V487" s="15">
        <f t="shared" si="108"/>
        <v>0</v>
      </c>
      <c r="W487" s="11">
        <f t="shared" si="109"/>
        <v>2.3441500792581216E-2</v>
      </c>
      <c r="X487" s="17">
        <f t="shared" si="110"/>
        <v>5921.12</v>
      </c>
      <c r="Y487" s="17">
        <f t="shared" si="111"/>
        <v>142.1317199999994</v>
      </c>
      <c r="Z487" s="17">
        <f t="shared" si="112"/>
        <v>6063.2517199999993</v>
      </c>
      <c r="AA487" s="17" t="str">
        <f t="shared" si="113"/>
        <v>Q4-2024</v>
      </c>
      <c r="AB487" s="12" t="str">
        <f t="shared" si="114"/>
        <v>Dec-2024</v>
      </c>
      <c r="AC487" s="12" t="str">
        <f t="shared" si="115"/>
        <v>Low</v>
      </c>
      <c r="AD487">
        <v>23</v>
      </c>
      <c r="AE487" s="12">
        <f>_xlfn.MINIFS(Table1[MonthDate], Table1[Country], Table1[[#This Row],[Country]])</f>
        <v>44927</v>
      </c>
      <c r="AF487" s="12">
        <f t="shared" si="116"/>
        <v>45627</v>
      </c>
      <c r="AG487">
        <f>AD487*(1 + Scenario_Control!$B$4)</f>
        <v>25.3</v>
      </c>
      <c r="AH487">
        <f>O487*(1 + Scenario_Control!$B$3)</f>
        <v>270.31200000000001</v>
      </c>
      <c r="AI487">
        <f t="shared" si="117"/>
        <v>1333.9153784000002</v>
      </c>
      <c r="AJ487">
        <f t="shared" si="118"/>
        <v>-5504.9782216000003</v>
      </c>
      <c r="AK487" s="29">
        <f>MIN(Q487*(1-U487), Scenario_Control!$B$2*Q487)</f>
        <v>58.066000000000003</v>
      </c>
      <c r="AL487" s="15">
        <f t="shared" si="119"/>
        <v>1</v>
      </c>
      <c r="AM487" s="8">
        <f>DATEDIF(Table1[[#This Row],[Country_FirstMonth]], Table1[[#This Row],[MonthDate]], "m")</f>
        <v>23</v>
      </c>
    </row>
    <row r="488" spans="1:39" x14ac:dyDescent="0.25">
      <c r="A488" t="s">
        <v>500</v>
      </c>
      <c r="B488" s="12">
        <v>45224</v>
      </c>
      <c r="C488" s="12">
        <f t="shared" si="105"/>
        <v>45254</v>
      </c>
      <c r="D488" s="2" t="str">
        <f>IF(Table1[[#This Row],[RequiredDate]]&lt;Table1[[#This Row],[OrderDate]],"Check","OK")</f>
        <v>OK</v>
      </c>
      <c r="E488" s="2">
        <v>45254</v>
      </c>
      <c r="F488" s="15">
        <f t="shared" si="106"/>
        <v>30</v>
      </c>
      <c r="G488" t="s">
        <v>649</v>
      </c>
      <c r="H488" t="s">
        <v>657</v>
      </c>
      <c r="I488" t="s">
        <v>690</v>
      </c>
      <c r="J488" t="s">
        <v>706</v>
      </c>
      <c r="K488" t="s">
        <v>710</v>
      </c>
      <c r="L488" t="s">
        <v>712</v>
      </c>
      <c r="M488" t="s">
        <v>730</v>
      </c>
      <c r="N488" t="s">
        <v>1219</v>
      </c>
      <c r="O488" s="29">
        <v>287.85000000000002</v>
      </c>
      <c r="P488" t="str">
        <f>IF(Table1[[#This Row],[UnitPrice]]&lt;=0,"Check","OK")</f>
        <v>OK</v>
      </c>
      <c r="Q488" s="29">
        <f t="shared" si="107"/>
        <v>602.91999999999996</v>
      </c>
      <c r="R488">
        <v>602.91999999999996</v>
      </c>
      <c r="S488" s="5">
        <f>IF(Table1[[#This Row],[Discount_Flag]]="Check", MIN(MAX(Table1[[#This Row],[DiscountPct]],0),0.3), Table1[[#This Row],[DiscountPct]])</f>
        <v>0.222</v>
      </c>
      <c r="T488" t="str">
        <f>IF(OR(Table1[[#This Row],[DiscountPct]]&lt;0,Table1[[#This Row],[DiscountPct]]&gt;0.3),"Check","OK")</f>
        <v>OK</v>
      </c>
      <c r="U488" s="11">
        <v>0.222</v>
      </c>
      <c r="V488" s="15">
        <f t="shared" si="108"/>
        <v>1</v>
      </c>
      <c r="W488" s="11">
        <f t="shared" si="109"/>
        <v>0.38634122847216373</v>
      </c>
      <c r="X488" s="17">
        <f t="shared" si="110"/>
        <v>3166.3500000000004</v>
      </c>
      <c r="Y488" s="17">
        <f t="shared" si="111"/>
        <v>1993.4393599999994</v>
      </c>
      <c r="Z488" s="17">
        <f t="shared" si="112"/>
        <v>5159.7893599999998</v>
      </c>
      <c r="AA488" s="17" t="str">
        <f t="shared" si="113"/>
        <v>Q4-2023</v>
      </c>
      <c r="AB488" s="12" t="str">
        <f t="shared" si="114"/>
        <v>Oct-2023</v>
      </c>
      <c r="AC488" s="12" t="str">
        <f t="shared" si="115"/>
        <v>Low</v>
      </c>
      <c r="AD488">
        <v>11</v>
      </c>
      <c r="AE488" s="12">
        <f>_xlfn.MINIFS(Table1[MonthDate], Table1[Country], Table1[[#This Row],[Country]])</f>
        <v>44927</v>
      </c>
      <c r="AF488" s="12">
        <f t="shared" si="116"/>
        <v>45200</v>
      </c>
      <c r="AG488">
        <f>AD488*(1 + Scenario_Control!$B$4)</f>
        <v>12.100000000000001</v>
      </c>
      <c r="AH488">
        <f>O488*(1 + Scenario_Control!$B$3)</f>
        <v>302.24250000000006</v>
      </c>
      <c r="AI488">
        <f t="shared" si="117"/>
        <v>1135.1536592000002</v>
      </c>
      <c r="AJ488">
        <f t="shared" si="118"/>
        <v>-2521.9805908000008</v>
      </c>
      <c r="AK488" s="29">
        <f>MIN(Q488*(1-U488), Scenario_Control!$B$2*Q488)</f>
        <v>120.584</v>
      </c>
      <c r="AL488" s="15">
        <f t="shared" si="119"/>
        <v>0</v>
      </c>
      <c r="AM488" s="8">
        <f>DATEDIF(Table1[[#This Row],[Country_FirstMonth]], Table1[[#This Row],[MonthDate]], "m")</f>
        <v>9</v>
      </c>
    </row>
    <row r="489" spans="1:39" x14ac:dyDescent="0.25">
      <c r="A489" t="s">
        <v>501</v>
      </c>
      <c r="B489" s="12">
        <v>45613</v>
      </c>
      <c r="C489" s="12">
        <f t="shared" si="105"/>
        <v>45624</v>
      </c>
      <c r="D489" s="2" t="str">
        <f>IF(Table1[[#This Row],[RequiredDate]]&lt;Table1[[#This Row],[OrderDate]],"Check","OK")</f>
        <v>OK</v>
      </c>
      <c r="E489" s="2">
        <v>45624</v>
      </c>
      <c r="F489" s="15">
        <f t="shared" si="106"/>
        <v>11</v>
      </c>
      <c r="G489" t="s">
        <v>648</v>
      </c>
      <c r="H489" t="s">
        <v>653</v>
      </c>
      <c r="I489" t="s">
        <v>1425</v>
      </c>
      <c r="J489" t="s">
        <v>704</v>
      </c>
      <c r="K489" t="s">
        <v>710</v>
      </c>
      <c r="L489" t="s">
        <v>720</v>
      </c>
      <c r="M489" t="s">
        <v>728</v>
      </c>
      <c r="N489" t="s">
        <v>1220</v>
      </c>
      <c r="O489" s="29">
        <v>1008.16</v>
      </c>
      <c r="P489" t="str">
        <f>IF(Table1[[#This Row],[UnitPrice]]&lt;=0,"Check","OK")</f>
        <v>OK</v>
      </c>
      <c r="Q489" s="29">
        <f t="shared" si="107"/>
        <v>2077.5</v>
      </c>
      <c r="R489">
        <v>2077.5</v>
      </c>
      <c r="S489" s="5">
        <f>IF(Table1[[#This Row],[Discount_Flag]]="Check", MIN(MAX(Table1[[#This Row],[DiscountPct]],0),0.3), Table1[[#This Row],[DiscountPct]])</f>
        <v>7.3999999999999996E-2</v>
      </c>
      <c r="T489" t="str">
        <f>IF(OR(Table1[[#This Row],[DiscountPct]]&lt;0,Table1[[#This Row],[DiscountPct]]&gt;0.3),"Check","OK")</f>
        <v>OK</v>
      </c>
      <c r="U489" s="11">
        <v>7.3999999999999996E-2</v>
      </c>
      <c r="V489" s="15">
        <f t="shared" si="108"/>
        <v>0</v>
      </c>
      <c r="W489" s="11">
        <f t="shared" si="109"/>
        <v>0.47594430712691005</v>
      </c>
      <c r="X489" s="17">
        <f t="shared" si="110"/>
        <v>15122.4</v>
      </c>
      <c r="Y489" s="17">
        <f t="shared" si="111"/>
        <v>13734.075000000003</v>
      </c>
      <c r="Z489" s="17">
        <f t="shared" si="112"/>
        <v>28856.475000000002</v>
      </c>
      <c r="AA489" s="17" t="str">
        <f t="shared" si="113"/>
        <v>Q4-2024</v>
      </c>
      <c r="AB489" s="12" t="str">
        <f t="shared" si="114"/>
        <v>Nov-2024</v>
      </c>
      <c r="AC489" s="12" t="str">
        <f t="shared" si="115"/>
        <v>High</v>
      </c>
      <c r="AD489">
        <v>15</v>
      </c>
      <c r="AE489" s="12">
        <f>_xlfn.MINIFS(Table1[MonthDate], Table1[Country], Table1[[#This Row],[Country]])</f>
        <v>44927</v>
      </c>
      <c r="AF489" s="12">
        <f t="shared" si="116"/>
        <v>45597</v>
      </c>
      <c r="AG489">
        <f>AD489*(1 + Scenario_Control!$B$4)</f>
        <v>16.5</v>
      </c>
      <c r="AH489">
        <f>O489*(1 + Scenario_Control!$B$3)</f>
        <v>1058.568</v>
      </c>
      <c r="AI489">
        <f t="shared" si="117"/>
        <v>6348.4245000000001</v>
      </c>
      <c r="AJ489">
        <f t="shared" si="118"/>
        <v>-11117.947499999998</v>
      </c>
      <c r="AK489" s="29">
        <f>MIN(Q489*(1-U489), Scenario_Control!$B$2*Q489)</f>
        <v>415.5</v>
      </c>
      <c r="AL489" s="15">
        <f t="shared" si="119"/>
        <v>0</v>
      </c>
      <c r="AM489" s="8">
        <f>DATEDIF(Table1[[#This Row],[Country_FirstMonth]], Table1[[#This Row],[MonthDate]], "m")</f>
        <v>22</v>
      </c>
    </row>
    <row r="490" spans="1:39" x14ac:dyDescent="0.25">
      <c r="A490" t="s">
        <v>502</v>
      </c>
      <c r="B490" s="12">
        <v>45424</v>
      </c>
      <c r="C490" s="12">
        <f t="shared" si="105"/>
        <v>45436</v>
      </c>
      <c r="D490" s="2" t="str">
        <f>IF(Table1[[#This Row],[RequiredDate]]&lt;Table1[[#This Row],[OrderDate]],"Check","OK")</f>
        <v>OK</v>
      </c>
      <c r="E490" s="2">
        <v>45436</v>
      </c>
      <c r="F490" s="15">
        <f t="shared" si="106"/>
        <v>12</v>
      </c>
      <c r="G490" t="s">
        <v>649</v>
      </c>
      <c r="H490" t="s">
        <v>658</v>
      </c>
      <c r="I490" t="s">
        <v>693</v>
      </c>
      <c r="J490" t="s">
        <v>702</v>
      </c>
      <c r="K490" t="s">
        <v>709</v>
      </c>
      <c r="L490" t="s">
        <v>723</v>
      </c>
      <c r="M490" t="s">
        <v>728</v>
      </c>
      <c r="N490" t="s">
        <v>1221</v>
      </c>
      <c r="O490" s="29">
        <v>111.02</v>
      </c>
      <c r="P490" t="str">
        <f>IF(Table1[[#This Row],[UnitPrice]]&lt;=0,"Check","OK")</f>
        <v>OK</v>
      </c>
      <c r="Q490" s="29">
        <f t="shared" si="107"/>
        <v>172.88</v>
      </c>
      <c r="R490">
        <v>172.88</v>
      </c>
      <c r="S490" s="5">
        <f>IF(Table1[[#This Row],[Discount_Flag]]="Check", MIN(MAX(Table1[[#This Row],[DiscountPct]],0),0.3), Table1[[#This Row],[DiscountPct]])</f>
        <v>0.19700000000000001</v>
      </c>
      <c r="T490" t="str">
        <f>IF(OR(Table1[[#This Row],[DiscountPct]]&lt;0,Table1[[#This Row],[DiscountPct]]&gt;0.3),"Check","OK")</f>
        <v>OK</v>
      </c>
      <c r="U490" s="11">
        <v>0.19700000000000001</v>
      </c>
      <c r="V490" s="15">
        <f t="shared" si="108"/>
        <v>0</v>
      </c>
      <c r="W490" s="11">
        <f t="shared" si="109"/>
        <v>0.20027453735212053</v>
      </c>
      <c r="X490" s="17">
        <f t="shared" si="110"/>
        <v>3219.58</v>
      </c>
      <c r="Y490" s="17">
        <f t="shared" si="111"/>
        <v>806.27655999999934</v>
      </c>
      <c r="Z490" s="17">
        <f t="shared" si="112"/>
        <v>4025.8565599999993</v>
      </c>
      <c r="AA490" s="17" t="str">
        <f t="shared" si="113"/>
        <v>Q2-2024</v>
      </c>
      <c r="AB490" s="12" t="str">
        <f t="shared" si="114"/>
        <v>May-2024</v>
      </c>
      <c r="AC490" s="12" t="str">
        <f t="shared" si="115"/>
        <v>Low</v>
      </c>
      <c r="AD490">
        <v>29</v>
      </c>
      <c r="AE490" s="12">
        <f>_xlfn.MINIFS(Table1[MonthDate], Table1[Country], Table1[[#This Row],[Country]])</f>
        <v>44927</v>
      </c>
      <c r="AF490" s="12">
        <f t="shared" si="116"/>
        <v>45413</v>
      </c>
      <c r="AG490">
        <f>AD490*(1 + Scenario_Control!$B$4)</f>
        <v>31.900000000000002</v>
      </c>
      <c r="AH490">
        <f>O490*(1 + Scenario_Control!$B$3)</f>
        <v>116.571</v>
      </c>
      <c r="AI490">
        <f t="shared" si="117"/>
        <v>885.68844319999994</v>
      </c>
      <c r="AJ490">
        <f t="shared" si="118"/>
        <v>-2832.9264567999999</v>
      </c>
      <c r="AK490" s="29">
        <f>MIN(Q490*(1-U490), Scenario_Control!$B$2*Q490)</f>
        <v>34.576000000000001</v>
      </c>
      <c r="AL490" s="15">
        <f t="shared" si="119"/>
        <v>0</v>
      </c>
      <c r="AM490" s="8">
        <f>DATEDIF(Table1[[#This Row],[Country_FirstMonth]], Table1[[#This Row],[MonthDate]], "m")</f>
        <v>16</v>
      </c>
    </row>
    <row r="491" spans="1:39" x14ac:dyDescent="0.25">
      <c r="A491" t="s">
        <v>503</v>
      </c>
      <c r="B491" s="12">
        <v>45792</v>
      </c>
      <c r="C491" s="12">
        <f t="shared" si="105"/>
        <v>45813</v>
      </c>
      <c r="D491" s="2" t="str">
        <f>IF(Table1[[#This Row],[RequiredDate]]&lt;Table1[[#This Row],[OrderDate]],"Check","OK")</f>
        <v>OK</v>
      </c>
      <c r="E491" s="2">
        <v>45813</v>
      </c>
      <c r="F491" s="15">
        <f t="shared" si="106"/>
        <v>21</v>
      </c>
      <c r="G491" t="s">
        <v>647</v>
      </c>
      <c r="H491" t="s">
        <v>652</v>
      </c>
      <c r="I491" t="s">
        <v>666</v>
      </c>
      <c r="J491" t="s">
        <v>706</v>
      </c>
      <c r="K491" t="s">
        <v>711</v>
      </c>
      <c r="L491" t="s">
        <v>722</v>
      </c>
      <c r="M491" t="s">
        <v>730</v>
      </c>
      <c r="N491" t="s">
        <v>1222</v>
      </c>
      <c r="O491" s="29">
        <v>1466.5</v>
      </c>
      <c r="P491" t="str">
        <f>IF(Table1[[#This Row],[UnitPrice]]&lt;=0,"Check","OK")</f>
        <v>OK</v>
      </c>
      <c r="Q491" s="29">
        <f t="shared" si="107"/>
        <v>2778.74</v>
      </c>
      <c r="R491">
        <v>2778.74</v>
      </c>
      <c r="S491" s="5">
        <f>IF(Table1[[#This Row],[Discount_Flag]]="Check", MIN(MAX(Table1[[#This Row],[DiscountPct]],0),0.3), Table1[[#This Row],[DiscountPct]])</f>
        <v>0.13500000000000001</v>
      </c>
      <c r="T491" t="str">
        <f>IF(OR(Table1[[#This Row],[DiscountPct]]&lt;0,Table1[[#This Row],[DiscountPct]]&gt;0.3),"Check","OK")</f>
        <v>OK</v>
      </c>
      <c r="U491" s="11">
        <v>0.13500000000000001</v>
      </c>
      <c r="V491" s="15">
        <f t="shared" si="108"/>
        <v>0</v>
      </c>
      <c r="W491" s="11">
        <f t="shared" si="109"/>
        <v>0.38987608680792279</v>
      </c>
      <c r="X491" s="17">
        <f t="shared" si="110"/>
        <v>5866</v>
      </c>
      <c r="Y491" s="17">
        <f t="shared" si="111"/>
        <v>3748.4403999999995</v>
      </c>
      <c r="Z491" s="17">
        <f t="shared" si="112"/>
        <v>9614.4403999999995</v>
      </c>
      <c r="AA491" s="17" t="str">
        <f t="shared" si="113"/>
        <v>Q2-2025</v>
      </c>
      <c r="AB491" s="12" t="str">
        <f t="shared" si="114"/>
        <v>May-2025</v>
      </c>
      <c r="AC491" s="12" t="str">
        <f t="shared" si="115"/>
        <v>High</v>
      </c>
      <c r="AD491">
        <v>4</v>
      </c>
      <c r="AE491" s="12">
        <f>_xlfn.MINIFS(Table1[MonthDate], Table1[Country], Table1[[#This Row],[Country]])</f>
        <v>44986</v>
      </c>
      <c r="AF491" s="12">
        <f t="shared" si="116"/>
        <v>45778</v>
      </c>
      <c r="AG491">
        <f>AD491*(1 + Scenario_Control!$B$4)</f>
        <v>4.4000000000000004</v>
      </c>
      <c r="AH491">
        <f>O491*(1 + Scenario_Control!$B$3)</f>
        <v>1539.825</v>
      </c>
      <c r="AI491">
        <f t="shared" si="117"/>
        <v>2115.176888</v>
      </c>
      <c r="AJ491">
        <f t="shared" si="118"/>
        <v>-4660.0531120000005</v>
      </c>
      <c r="AK491" s="29">
        <f>MIN(Q491*(1-U491), Scenario_Control!$B$2*Q491)</f>
        <v>555.74799999999993</v>
      </c>
      <c r="AL491" s="15">
        <f t="shared" si="119"/>
        <v>0</v>
      </c>
      <c r="AM491" s="8">
        <f>DATEDIF(Table1[[#This Row],[Country_FirstMonth]], Table1[[#This Row],[MonthDate]], "m")</f>
        <v>26</v>
      </c>
    </row>
    <row r="492" spans="1:39" x14ac:dyDescent="0.25">
      <c r="A492" t="s">
        <v>504</v>
      </c>
      <c r="B492" s="12">
        <v>45403</v>
      </c>
      <c r="C492" s="12">
        <f t="shared" si="105"/>
        <v>45431</v>
      </c>
      <c r="D492" s="2" t="str">
        <f>IF(Table1[[#This Row],[RequiredDate]]&lt;Table1[[#This Row],[OrderDate]],"Check","OK")</f>
        <v>OK</v>
      </c>
      <c r="E492" s="2">
        <v>45431</v>
      </c>
      <c r="F492" s="15">
        <f t="shared" si="106"/>
        <v>28</v>
      </c>
      <c r="G492" t="s">
        <v>646</v>
      </c>
      <c r="H492" t="s">
        <v>651</v>
      </c>
      <c r="I492" t="s">
        <v>665</v>
      </c>
      <c r="J492" t="s">
        <v>701</v>
      </c>
      <c r="K492" t="s">
        <v>710</v>
      </c>
      <c r="L492" t="s">
        <v>720</v>
      </c>
      <c r="M492" t="s">
        <v>733</v>
      </c>
      <c r="N492" t="s">
        <v>1223</v>
      </c>
      <c r="O492" s="29">
        <v>187.22</v>
      </c>
      <c r="P492" t="str">
        <f>IF(Table1[[#This Row],[UnitPrice]]&lt;=0,"Check","OK")</f>
        <v>OK</v>
      </c>
      <c r="Q492" s="29">
        <f t="shared" si="107"/>
        <v>309.47000000000003</v>
      </c>
      <c r="R492">
        <v>309.47000000000003</v>
      </c>
      <c r="S492" s="5">
        <f>IF(Table1[[#This Row],[Discount_Flag]]="Check", MIN(MAX(Table1[[#This Row],[DiscountPct]],0),0.3), Table1[[#This Row],[DiscountPct]])</f>
        <v>0</v>
      </c>
      <c r="T492" t="str">
        <f>IF(OR(Table1[[#This Row],[DiscountPct]]&lt;0,Table1[[#This Row],[DiscountPct]]&gt;0.3),"Check","OK")</f>
        <v>OK</v>
      </c>
      <c r="U492" s="11">
        <v>0</v>
      </c>
      <c r="V492" s="15">
        <f t="shared" si="108"/>
        <v>0</v>
      </c>
      <c r="W492" s="11">
        <f t="shared" si="109"/>
        <v>0.39503021294471197</v>
      </c>
      <c r="X492" s="17">
        <f t="shared" si="110"/>
        <v>936.1</v>
      </c>
      <c r="Y492" s="17">
        <f t="shared" si="111"/>
        <v>611.25000000000011</v>
      </c>
      <c r="Z492" s="17">
        <f t="shared" si="112"/>
        <v>1547.3500000000001</v>
      </c>
      <c r="AA492" s="17" t="str">
        <f t="shared" si="113"/>
        <v>Q2-2024</v>
      </c>
      <c r="AB492" s="12" t="str">
        <f t="shared" si="114"/>
        <v>Apr-2024</v>
      </c>
      <c r="AC492" s="12" t="str">
        <f t="shared" si="115"/>
        <v>Low</v>
      </c>
      <c r="AD492">
        <v>5</v>
      </c>
      <c r="AE492" s="12">
        <f>_xlfn.MINIFS(Table1[MonthDate], Table1[Country], Table1[[#This Row],[Country]])</f>
        <v>44927</v>
      </c>
      <c r="AF492" s="12">
        <f t="shared" si="116"/>
        <v>45383</v>
      </c>
      <c r="AG492">
        <f>AD492*(1 + Scenario_Control!$B$4)</f>
        <v>5.5</v>
      </c>
      <c r="AH492">
        <f>O492*(1 + Scenario_Control!$B$3)</f>
        <v>196.58100000000002</v>
      </c>
      <c r="AI492">
        <f t="shared" si="117"/>
        <v>340.41700000000003</v>
      </c>
      <c r="AJ492">
        <f t="shared" si="118"/>
        <v>-740.77850000000001</v>
      </c>
      <c r="AK492" s="29">
        <f>MIN(Q492*(1-U492), Scenario_Control!$B$2*Q492)</f>
        <v>61.894000000000005</v>
      </c>
      <c r="AL492" s="15">
        <f t="shared" si="119"/>
        <v>0</v>
      </c>
      <c r="AM492" s="8">
        <f>DATEDIF(Table1[[#This Row],[Country_FirstMonth]], Table1[[#This Row],[MonthDate]], "m")</f>
        <v>15</v>
      </c>
    </row>
    <row r="493" spans="1:39" x14ac:dyDescent="0.25">
      <c r="A493" t="s">
        <v>505</v>
      </c>
      <c r="B493" s="12">
        <v>45523</v>
      </c>
      <c r="C493" s="12">
        <f t="shared" si="105"/>
        <v>45542</v>
      </c>
      <c r="D493" s="2" t="str">
        <f>IF(Table1[[#This Row],[RequiredDate]]&lt;Table1[[#This Row],[OrderDate]],"Check","OK")</f>
        <v>OK</v>
      </c>
      <c r="E493" s="2">
        <v>45542</v>
      </c>
      <c r="F493" s="15">
        <f t="shared" si="106"/>
        <v>19</v>
      </c>
      <c r="G493" t="s">
        <v>649</v>
      </c>
      <c r="H493" t="s">
        <v>657</v>
      </c>
      <c r="I493" t="s">
        <v>679</v>
      </c>
      <c r="J493" t="s">
        <v>701</v>
      </c>
      <c r="K493" t="s">
        <v>711</v>
      </c>
      <c r="L493" t="s">
        <v>713</v>
      </c>
      <c r="M493" t="s">
        <v>727</v>
      </c>
      <c r="N493" t="s">
        <v>1224</v>
      </c>
      <c r="O493" s="29">
        <v>297.58999999999997</v>
      </c>
      <c r="P493" t="str">
        <f>IF(Table1[[#This Row],[UnitPrice]]&lt;=0,"Check","OK")</f>
        <v>OK</v>
      </c>
      <c r="Q493" s="29">
        <f t="shared" si="107"/>
        <v>666.41</v>
      </c>
      <c r="R493">
        <v>666.41</v>
      </c>
      <c r="S493" s="5">
        <f>IF(Table1[[#This Row],[Discount_Flag]]="Check", MIN(MAX(Table1[[#This Row],[DiscountPct]],0),0.3), Table1[[#This Row],[DiscountPct]])</f>
        <v>0</v>
      </c>
      <c r="T493" t="str">
        <f>IF(OR(Table1[[#This Row],[DiscountPct]]&lt;0,Table1[[#This Row],[DiscountPct]]&gt;0.3),"Check","OK")</f>
        <v>OK</v>
      </c>
      <c r="U493" s="11">
        <v>0</v>
      </c>
      <c r="V493" s="15">
        <f t="shared" si="108"/>
        <v>0</v>
      </c>
      <c r="W493" s="11">
        <f t="shared" si="109"/>
        <v>0.55344307558409989</v>
      </c>
      <c r="X493" s="17">
        <f t="shared" si="110"/>
        <v>2975.8999999999996</v>
      </c>
      <c r="Y493" s="17">
        <f t="shared" si="111"/>
        <v>3688.2</v>
      </c>
      <c r="Z493" s="17">
        <f t="shared" si="112"/>
        <v>6664.0999999999995</v>
      </c>
      <c r="AA493" s="17" t="str">
        <f t="shared" si="113"/>
        <v>Q3-2024</v>
      </c>
      <c r="AB493" s="12" t="str">
        <f t="shared" si="114"/>
        <v>Aug-2024</v>
      </c>
      <c r="AC493" s="12" t="str">
        <f t="shared" si="115"/>
        <v>Medium</v>
      </c>
      <c r="AD493">
        <v>10</v>
      </c>
      <c r="AE493" s="12">
        <f>_xlfn.MINIFS(Table1[MonthDate], Table1[Country], Table1[[#This Row],[Country]])</f>
        <v>44927</v>
      </c>
      <c r="AF493" s="12">
        <f t="shared" si="116"/>
        <v>45505</v>
      </c>
      <c r="AG493">
        <f>AD493*(1 + Scenario_Control!$B$4)</f>
        <v>11</v>
      </c>
      <c r="AH493">
        <f>O493*(1 + Scenario_Control!$B$3)</f>
        <v>312.46949999999998</v>
      </c>
      <c r="AI493">
        <f t="shared" si="117"/>
        <v>1466.1020000000001</v>
      </c>
      <c r="AJ493">
        <f t="shared" si="118"/>
        <v>-1971.0624999999998</v>
      </c>
      <c r="AK493" s="29">
        <f>MIN(Q493*(1-U493), Scenario_Control!$B$2*Q493)</f>
        <v>133.28200000000001</v>
      </c>
      <c r="AL493" s="15">
        <f t="shared" si="119"/>
        <v>0</v>
      </c>
      <c r="AM493" s="8">
        <f>DATEDIF(Table1[[#This Row],[Country_FirstMonth]], Table1[[#This Row],[MonthDate]], "m")</f>
        <v>19</v>
      </c>
    </row>
    <row r="494" spans="1:39" x14ac:dyDescent="0.25">
      <c r="A494" t="s">
        <v>506</v>
      </c>
      <c r="B494" s="12">
        <v>45861</v>
      </c>
      <c r="C494" s="12">
        <f t="shared" si="105"/>
        <v>45888</v>
      </c>
      <c r="D494" s="2" t="str">
        <f>IF(Table1[[#This Row],[RequiredDate]]&lt;Table1[[#This Row],[OrderDate]],"Check","OK")</f>
        <v>OK</v>
      </c>
      <c r="E494" s="2">
        <v>45888</v>
      </c>
      <c r="F494" s="15">
        <f t="shared" si="106"/>
        <v>27</v>
      </c>
      <c r="G494" t="s">
        <v>647</v>
      </c>
      <c r="H494" t="s">
        <v>652</v>
      </c>
      <c r="I494" t="s">
        <v>694</v>
      </c>
      <c r="J494" t="s">
        <v>704</v>
      </c>
      <c r="K494" t="s">
        <v>709</v>
      </c>
      <c r="L494" t="s">
        <v>717</v>
      </c>
      <c r="M494" t="s">
        <v>733</v>
      </c>
      <c r="N494" t="s">
        <v>1225</v>
      </c>
      <c r="O494" s="29">
        <v>896.09</v>
      </c>
      <c r="P494" t="str">
        <f>IF(Table1[[#This Row],[UnitPrice]]&lt;=0,"Check","OK")</f>
        <v>OK</v>
      </c>
      <c r="Q494" s="29">
        <f t="shared" si="107"/>
        <v>744.27</v>
      </c>
      <c r="R494">
        <v>744.27</v>
      </c>
      <c r="S494" s="5">
        <f>IF(Table1[[#This Row],[Discount_Flag]]="Check", MIN(MAX(Table1[[#This Row],[DiscountPct]],0),0.3), Table1[[#This Row],[DiscountPct]])</f>
        <v>8.3000000000000004E-2</v>
      </c>
      <c r="T494" t="str">
        <f>IF(OR(Table1[[#This Row],[DiscountPct]]&lt;0,Table1[[#This Row],[DiscountPct]]&gt;0.3),"Check","OK")</f>
        <v>OK</v>
      </c>
      <c r="U494" s="11">
        <v>8.3000000000000004E-2</v>
      </c>
      <c r="V494" s="15">
        <f t="shared" si="108"/>
        <v>0</v>
      </c>
      <c r="W494" s="11">
        <f t="shared" si="109"/>
        <v>-0.31296086469950679</v>
      </c>
      <c r="X494" s="17">
        <f t="shared" si="110"/>
        <v>9856.99</v>
      </c>
      <c r="Y494" s="17">
        <f t="shared" si="111"/>
        <v>-2349.5385100000003</v>
      </c>
      <c r="Z494" s="17">
        <f t="shared" si="112"/>
        <v>7507.4514899999995</v>
      </c>
      <c r="AA494" s="17" t="str">
        <f t="shared" si="113"/>
        <v>Q3-2025</v>
      </c>
      <c r="AB494" s="12" t="str">
        <f t="shared" si="114"/>
        <v>Jul-2025</v>
      </c>
      <c r="AC494" s="12" t="str">
        <f t="shared" si="115"/>
        <v>Medium</v>
      </c>
      <c r="AD494">
        <v>11</v>
      </c>
      <c r="AE494" s="12">
        <f>_xlfn.MINIFS(Table1[MonthDate], Table1[Country], Table1[[#This Row],[Country]])</f>
        <v>44986</v>
      </c>
      <c r="AF494" s="12">
        <f t="shared" si="116"/>
        <v>45839</v>
      </c>
      <c r="AG494">
        <f>AD494*(1 + Scenario_Control!$B$4)</f>
        <v>12.100000000000001</v>
      </c>
      <c r="AH494">
        <f>O494*(1 + Scenario_Control!$B$3)</f>
        <v>940.89450000000011</v>
      </c>
      <c r="AI494">
        <f t="shared" si="117"/>
        <v>1651.6393278000005</v>
      </c>
      <c r="AJ494">
        <f t="shared" si="118"/>
        <v>-9733.1841222000039</v>
      </c>
      <c r="AK494" s="29">
        <f>MIN(Q494*(1-U494), Scenario_Control!$B$2*Q494)</f>
        <v>148.85400000000001</v>
      </c>
      <c r="AL494" s="15">
        <f t="shared" si="119"/>
        <v>0</v>
      </c>
      <c r="AM494" s="8">
        <f>DATEDIF(Table1[[#This Row],[Country_FirstMonth]], Table1[[#This Row],[MonthDate]], "m")</f>
        <v>28</v>
      </c>
    </row>
    <row r="495" spans="1:39" x14ac:dyDescent="0.25">
      <c r="A495" t="s">
        <v>507</v>
      </c>
      <c r="B495" s="12">
        <v>45352</v>
      </c>
      <c r="C495" s="12">
        <f t="shared" si="105"/>
        <v>45359</v>
      </c>
      <c r="D495" s="2" t="str">
        <f>IF(Table1[[#This Row],[RequiredDate]]&lt;Table1[[#This Row],[OrderDate]],"Check","OK")</f>
        <v>Check</v>
      </c>
      <c r="E495" s="2">
        <v>45351</v>
      </c>
      <c r="F495" s="15">
        <f t="shared" si="106"/>
        <v>7</v>
      </c>
      <c r="G495" t="s">
        <v>648</v>
      </c>
      <c r="H495" t="s">
        <v>655</v>
      </c>
      <c r="I495" t="s">
        <v>670</v>
      </c>
      <c r="J495" t="s">
        <v>703</v>
      </c>
      <c r="K495" t="s">
        <v>711</v>
      </c>
      <c r="L495" t="s">
        <v>714</v>
      </c>
      <c r="M495" t="s">
        <v>730</v>
      </c>
      <c r="N495" t="s">
        <v>1226</v>
      </c>
      <c r="O495" s="29">
        <v>5.34</v>
      </c>
      <c r="P495" t="str">
        <f>IF(Table1[[#This Row],[UnitPrice]]&lt;=0,"Check","OK")</f>
        <v>OK</v>
      </c>
      <c r="Q495" s="29">
        <f t="shared" si="107"/>
        <v>12.69</v>
      </c>
      <c r="R495">
        <v>12.69</v>
      </c>
      <c r="S495" s="5">
        <f>IF(Table1[[#This Row],[Discount_Flag]]="Check", MIN(MAX(Table1[[#This Row],[DiscountPct]],0),0.3), Table1[[#This Row],[DiscountPct]])</f>
        <v>0.13200000000000001</v>
      </c>
      <c r="T495" t="str">
        <f>IF(OR(Table1[[#This Row],[DiscountPct]]&lt;0,Table1[[#This Row],[DiscountPct]]&gt;0.3),"Check","OK")</f>
        <v>OK</v>
      </c>
      <c r="U495" s="11">
        <v>0.13200000000000001</v>
      </c>
      <c r="V495" s="15">
        <f t="shared" si="108"/>
        <v>0</v>
      </c>
      <c r="W495" s="11">
        <f t="shared" si="109"/>
        <v>0.51520301554618642</v>
      </c>
      <c r="X495" s="17">
        <f t="shared" si="110"/>
        <v>53.4</v>
      </c>
      <c r="Y495" s="17">
        <f t="shared" si="111"/>
        <v>56.749199999999995</v>
      </c>
      <c r="Z495" s="17">
        <f t="shared" si="112"/>
        <v>110.14919999999999</v>
      </c>
      <c r="AA495" s="17" t="str">
        <f t="shared" si="113"/>
        <v>Q1-2024</v>
      </c>
      <c r="AB495" s="12" t="str">
        <f t="shared" si="114"/>
        <v>Mar-2024</v>
      </c>
      <c r="AC495" s="12" t="str">
        <f t="shared" si="115"/>
        <v>Low</v>
      </c>
      <c r="AD495">
        <v>10</v>
      </c>
      <c r="AE495" s="12">
        <f>_xlfn.MINIFS(Table1[MonthDate], Table1[Country], Table1[[#This Row],[Country]])</f>
        <v>44927</v>
      </c>
      <c r="AF495" s="12">
        <f t="shared" si="116"/>
        <v>45352</v>
      </c>
      <c r="AG495">
        <f>AD495*(1 + Scenario_Control!$B$4)</f>
        <v>11</v>
      </c>
      <c r="AH495">
        <f>O495*(1 + Scenario_Control!$B$3)</f>
        <v>5.6070000000000002</v>
      </c>
      <c r="AI495">
        <f t="shared" si="117"/>
        <v>24.232824000000001</v>
      </c>
      <c r="AJ495">
        <f t="shared" si="118"/>
        <v>-37.444175999999999</v>
      </c>
      <c r="AK495" s="29">
        <f>MIN(Q495*(1-U495), Scenario_Control!$B$2*Q495)</f>
        <v>2.5380000000000003</v>
      </c>
      <c r="AL495" s="15">
        <f t="shared" si="119"/>
        <v>1</v>
      </c>
      <c r="AM495" s="8">
        <f>DATEDIF(Table1[[#This Row],[Country_FirstMonth]], Table1[[#This Row],[MonthDate]], "m")</f>
        <v>14</v>
      </c>
    </row>
    <row r="496" spans="1:39" x14ac:dyDescent="0.25">
      <c r="A496" t="s">
        <v>508</v>
      </c>
      <c r="B496" s="12">
        <v>45439</v>
      </c>
      <c r="C496" s="12">
        <f t="shared" si="105"/>
        <v>45460</v>
      </c>
      <c r="D496" s="2" t="str">
        <f>IF(Table1[[#This Row],[RequiredDate]]&lt;Table1[[#This Row],[OrderDate]],"Check","OK")</f>
        <v>OK</v>
      </c>
      <c r="E496" s="2">
        <v>45460</v>
      </c>
      <c r="F496" s="15">
        <f t="shared" si="106"/>
        <v>21</v>
      </c>
      <c r="G496" t="s">
        <v>647</v>
      </c>
      <c r="H496" t="s">
        <v>654</v>
      </c>
      <c r="I496" t="s">
        <v>680</v>
      </c>
      <c r="J496" t="s">
        <v>705</v>
      </c>
      <c r="K496" t="s">
        <v>708</v>
      </c>
      <c r="L496" t="s">
        <v>722</v>
      </c>
      <c r="M496" t="s">
        <v>733</v>
      </c>
      <c r="N496" t="s">
        <v>1227</v>
      </c>
      <c r="O496" s="29">
        <v>465.02</v>
      </c>
      <c r="P496" t="str">
        <f>IF(Table1[[#This Row],[UnitPrice]]&lt;=0,"Check","OK")</f>
        <v>OK</v>
      </c>
      <c r="Q496" s="29">
        <f t="shared" si="107"/>
        <v>651.55999999999995</v>
      </c>
      <c r="R496">
        <v>651.55999999999995</v>
      </c>
      <c r="S496" s="5">
        <f>IF(Table1[[#This Row],[Discount_Flag]]="Check", MIN(MAX(Table1[[#This Row],[DiscountPct]],0),0.3), Table1[[#This Row],[DiscountPct]])</f>
        <v>4.2000000000000003E-2</v>
      </c>
      <c r="T496" t="str">
        <f>IF(OR(Table1[[#This Row],[DiscountPct]]&lt;0,Table1[[#This Row],[DiscountPct]]&gt;0.3),"Check","OK")</f>
        <v>OK</v>
      </c>
      <c r="U496" s="11">
        <v>4.2000000000000003E-2</v>
      </c>
      <c r="V496" s="15">
        <f t="shared" si="108"/>
        <v>0</v>
      </c>
      <c r="W496" s="11">
        <f t="shared" si="109"/>
        <v>0.25500783025187918</v>
      </c>
      <c r="X496" s="17">
        <f t="shared" si="110"/>
        <v>8835.3799999999992</v>
      </c>
      <c r="Y496" s="17">
        <f t="shared" si="111"/>
        <v>3024.3151199999993</v>
      </c>
      <c r="Z496" s="17">
        <f t="shared" si="112"/>
        <v>11859.695119999998</v>
      </c>
      <c r="AA496" s="17" t="str">
        <f t="shared" si="113"/>
        <v>Q2-2024</v>
      </c>
      <c r="AB496" s="12" t="str">
        <f t="shared" si="114"/>
        <v>May-2024</v>
      </c>
      <c r="AC496" s="12" t="str">
        <f t="shared" si="115"/>
        <v>Medium</v>
      </c>
      <c r="AD496">
        <v>19</v>
      </c>
      <c r="AE496" s="12">
        <f>_xlfn.MINIFS(Table1[MonthDate], Table1[Country], Table1[[#This Row],[Country]])</f>
        <v>44927</v>
      </c>
      <c r="AF496" s="12">
        <f t="shared" si="116"/>
        <v>45413</v>
      </c>
      <c r="AG496">
        <f>AD496*(1 + Scenario_Control!$B$4)</f>
        <v>20.900000000000002</v>
      </c>
      <c r="AH496">
        <f>O496*(1 + Scenario_Control!$B$3)</f>
        <v>488.27100000000002</v>
      </c>
      <c r="AI496">
        <f t="shared" si="117"/>
        <v>2609.1329263999996</v>
      </c>
      <c r="AJ496">
        <f t="shared" si="118"/>
        <v>-7595.7309736000025</v>
      </c>
      <c r="AK496" s="29">
        <f>MIN(Q496*(1-U496), Scenario_Control!$B$2*Q496)</f>
        <v>130.31199999999998</v>
      </c>
      <c r="AL496" s="15">
        <f t="shared" si="119"/>
        <v>0</v>
      </c>
      <c r="AM496" s="8">
        <f>DATEDIF(Table1[[#This Row],[Country_FirstMonth]], Table1[[#This Row],[MonthDate]], "m")</f>
        <v>16</v>
      </c>
    </row>
    <row r="497" spans="1:39" x14ac:dyDescent="0.25">
      <c r="A497" t="s">
        <v>509</v>
      </c>
      <c r="B497" s="12">
        <v>45508</v>
      </c>
      <c r="C497" s="12">
        <f t="shared" si="105"/>
        <v>45521</v>
      </c>
      <c r="D497" s="2" t="str">
        <f>IF(Table1[[#This Row],[RequiredDate]]&lt;Table1[[#This Row],[OrderDate]],"Check","OK")</f>
        <v>OK</v>
      </c>
      <c r="E497" s="2">
        <v>45521</v>
      </c>
      <c r="F497" s="15">
        <f t="shared" si="106"/>
        <v>13</v>
      </c>
      <c r="G497" t="s">
        <v>648</v>
      </c>
      <c r="H497" t="s">
        <v>660</v>
      </c>
      <c r="I497" t="s">
        <v>697</v>
      </c>
      <c r="J497" t="s">
        <v>704</v>
      </c>
      <c r="K497" t="s">
        <v>707</v>
      </c>
      <c r="L497" t="s">
        <v>726</v>
      </c>
      <c r="M497" t="s">
        <v>732</v>
      </c>
      <c r="N497" t="s">
        <v>1228</v>
      </c>
      <c r="O497" s="29">
        <v>352.79</v>
      </c>
      <c r="P497" t="str">
        <f>IF(Table1[[#This Row],[UnitPrice]]&lt;=0,"Check","OK")</f>
        <v>OK</v>
      </c>
      <c r="Q497" s="29">
        <f t="shared" si="107"/>
        <v>754.22</v>
      </c>
      <c r="R497">
        <v>754.22</v>
      </c>
      <c r="S497" s="5">
        <f>IF(Table1[[#This Row],[Discount_Flag]]="Check", MIN(MAX(Table1[[#This Row],[DiscountPct]],0),0.3), Table1[[#This Row],[DiscountPct]])</f>
        <v>0.113</v>
      </c>
      <c r="T497" t="str">
        <f>IF(OR(Table1[[#This Row],[DiscountPct]]&lt;0,Table1[[#This Row],[DiscountPct]]&gt;0.3),"Check","OK")</f>
        <v>OK</v>
      </c>
      <c r="U497" s="11">
        <v>0.113</v>
      </c>
      <c r="V497" s="15">
        <f t="shared" si="108"/>
        <v>0</v>
      </c>
      <c r="W497" s="11">
        <f t="shared" si="109"/>
        <v>0.47265528014233443</v>
      </c>
      <c r="X497" s="17">
        <f t="shared" si="110"/>
        <v>2469.5300000000002</v>
      </c>
      <c r="Y497" s="17">
        <f t="shared" si="111"/>
        <v>2213.4219799999996</v>
      </c>
      <c r="Z497" s="17">
        <f t="shared" si="112"/>
        <v>4682.9519799999998</v>
      </c>
      <c r="AA497" s="17" t="str">
        <f t="shared" si="113"/>
        <v>Q3-2024</v>
      </c>
      <c r="AB497" s="12" t="str">
        <f t="shared" si="114"/>
        <v>Aug-2024</v>
      </c>
      <c r="AC497" s="12" t="str">
        <f t="shared" si="115"/>
        <v>Medium</v>
      </c>
      <c r="AD497">
        <v>7</v>
      </c>
      <c r="AE497" s="12">
        <f>_xlfn.MINIFS(Table1[MonthDate], Table1[Country], Table1[[#This Row],[Country]])</f>
        <v>44927</v>
      </c>
      <c r="AF497" s="12">
        <f t="shared" si="116"/>
        <v>45505</v>
      </c>
      <c r="AG497">
        <f>AD497*(1 + Scenario_Control!$B$4)</f>
        <v>7.7000000000000011</v>
      </c>
      <c r="AH497">
        <f>O497*(1 + Scenario_Control!$B$3)</f>
        <v>370.42950000000002</v>
      </c>
      <c r="AI497">
        <f t="shared" si="117"/>
        <v>1030.2494356000002</v>
      </c>
      <c r="AJ497">
        <f t="shared" si="118"/>
        <v>-1822.0577144000003</v>
      </c>
      <c r="AK497" s="29">
        <f>MIN(Q497*(1-U497), Scenario_Control!$B$2*Q497)</f>
        <v>150.84400000000002</v>
      </c>
      <c r="AL497" s="15">
        <f t="shared" si="119"/>
        <v>0</v>
      </c>
      <c r="AM497" s="8">
        <f>DATEDIF(Table1[[#This Row],[Country_FirstMonth]], Table1[[#This Row],[MonthDate]], "m")</f>
        <v>19</v>
      </c>
    </row>
    <row r="498" spans="1:39" x14ac:dyDescent="0.25">
      <c r="A498" t="s">
        <v>510</v>
      </c>
      <c r="B498" s="12">
        <v>45097</v>
      </c>
      <c r="C498" s="12">
        <f t="shared" si="105"/>
        <v>45111</v>
      </c>
      <c r="D498" s="2" t="str">
        <f>IF(Table1[[#This Row],[RequiredDate]]&lt;Table1[[#This Row],[OrderDate]],"Check","OK")</f>
        <v>OK</v>
      </c>
      <c r="E498" s="2">
        <v>45111</v>
      </c>
      <c r="F498" s="15">
        <f t="shared" si="106"/>
        <v>14</v>
      </c>
      <c r="G498" t="s">
        <v>648</v>
      </c>
      <c r="H498" t="s">
        <v>655</v>
      </c>
      <c r="I498" t="s">
        <v>672</v>
      </c>
      <c r="J498" t="s">
        <v>703</v>
      </c>
      <c r="K498" t="s">
        <v>711</v>
      </c>
      <c r="L498" t="s">
        <v>712</v>
      </c>
      <c r="M498" t="s">
        <v>729</v>
      </c>
      <c r="N498" t="s">
        <v>1229</v>
      </c>
      <c r="O498" s="29">
        <v>1292.8599999999999</v>
      </c>
      <c r="P498" t="str">
        <f>IF(Table1[[#This Row],[UnitPrice]]&lt;=0,"Check","OK")</f>
        <v>OK</v>
      </c>
      <c r="Q498" s="29">
        <f t="shared" si="107"/>
        <v>2981.01</v>
      </c>
      <c r="R498">
        <v>2981.01</v>
      </c>
      <c r="S498" s="5">
        <f>IF(Table1[[#This Row],[Discount_Flag]]="Check", MIN(MAX(Table1[[#This Row],[DiscountPct]],0),0.3), Table1[[#This Row],[DiscountPct]])</f>
        <v>0.14199999999999999</v>
      </c>
      <c r="T498" t="str">
        <f>IF(OR(Table1[[#This Row],[DiscountPct]]&lt;0,Table1[[#This Row],[DiscountPct]]&gt;0.3),"Check","OK")</f>
        <v>OK</v>
      </c>
      <c r="U498" s="11">
        <v>0.14199999999999999</v>
      </c>
      <c r="V498" s="15">
        <f t="shared" si="108"/>
        <v>0</v>
      </c>
      <c r="W498" s="11">
        <f t="shared" si="109"/>
        <v>0.49452372288927687</v>
      </c>
      <c r="X498" s="17">
        <f t="shared" si="110"/>
        <v>15514.32</v>
      </c>
      <c r="Y498" s="17">
        <f t="shared" si="111"/>
        <v>15178.158960000001</v>
      </c>
      <c r="Z498" s="17">
        <f t="shared" si="112"/>
        <v>30692.47896</v>
      </c>
      <c r="AA498" s="17" t="str">
        <f t="shared" si="113"/>
        <v>Q2-2023</v>
      </c>
      <c r="AB498" s="12" t="str">
        <f t="shared" si="114"/>
        <v>Jun-2023</v>
      </c>
      <c r="AC498" s="12" t="str">
        <f t="shared" si="115"/>
        <v>High</v>
      </c>
      <c r="AD498">
        <v>12</v>
      </c>
      <c r="AE498" s="12">
        <f>_xlfn.MINIFS(Table1[MonthDate], Table1[Country], Table1[[#This Row],[Country]])</f>
        <v>44927</v>
      </c>
      <c r="AF498" s="12">
        <f t="shared" si="116"/>
        <v>45078</v>
      </c>
      <c r="AG498">
        <f>AD498*(1 + Scenario_Control!$B$4)</f>
        <v>13.200000000000001</v>
      </c>
      <c r="AH498">
        <f>O498*(1 + Scenario_Control!$B$3)</f>
        <v>1357.5029999999999</v>
      </c>
      <c r="AI498">
        <f t="shared" si="117"/>
        <v>6752.345371200001</v>
      </c>
      <c r="AJ498">
        <f t="shared" si="118"/>
        <v>-11166.694228799999</v>
      </c>
      <c r="AK498" s="29">
        <f>MIN(Q498*(1-U498), Scenario_Control!$B$2*Q498)</f>
        <v>596.20200000000011</v>
      </c>
      <c r="AL498" s="15">
        <f t="shared" si="119"/>
        <v>0</v>
      </c>
      <c r="AM498" s="8">
        <f>DATEDIF(Table1[[#This Row],[Country_FirstMonth]], Table1[[#This Row],[MonthDate]], "m")</f>
        <v>5</v>
      </c>
    </row>
    <row r="499" spans="1:39" x14ac:dyDescent="0.25">
      <c r="A499" t="s">
        <v>511</v>
      </c>
      <c r="B499" s="12">
        <v>45544</v>
      </c>
      <c r="C499" s="12">
        <f t="shared" si="105"/>
        <v>45548</v>
      </c>
      <c r="D499" s="2" t="str">
        <f>IF(Table1[[#This Row],[RequiredDate]]&lt;Table1[[#This Row],[OrderDate]],"Check","OK")</f>
        <v>OK</v>
      </c>
      <c r="E499" s="2">
        <v>45548</v>
      </c>
      <c r="F499" s="15">
        <f t="shared" si="106"/>
        <v>4</v>
      </c>
      <c r="G499" t="s">
        <v>649</v>
      </c>
      <c r="H499" t="s">
        <v>658</v>
      </c>
      <c r="I499" t="s">
        <v>683</v>
      </c>
      <c r="J499" t="s">
        <v>704</v>
      </c>
      <c r="K499" t="s">
        <v>709</v>
      </c>
      <c r="L499" t="s">
        <v>721</v>
      </c>
      <c r="M499" t="s">
        <v>729</v>
      </c>
      <c r="N499" t="s">
        <v>1230</v>
      </c>
      <c r="O499" s="29">
        <v>1133.08</v>
      </c>
      <c r="P499" t="str">
        <f>IF(Table1[[#This Row],[UnitPrice]]&lt;=0,"Check","OK")</f>
        <v>OK</v>
      </c>
      <c r="Q499" s="29">
        <f t="shared" si="107"/>
        <v>976.17</v>
      </c>
      <c r="R499">
        <v>976.17</v>
      </c>
      <c r="S499" s="5">
        <f>IF(Table1[[#This Row],[Discount_Flag]]="Check", MIN(MAX(Table1[[#This Row],[DiscountPct]],0),0.3), Table1[[#This Row],[DiscountPct]])</f>
        <v>4.2000000000000003E-2</v>
      </c>
      <c r="T499" t="str">
        <f>IF(OR(Table1[[#This Row],[DiscountPct]]&lt;0,Table1[[#This Row],[DiscountPct]]&gt;0.3),"Check","OK")</f>
        <v>OK</v>
      </c>
      <c r="U499" s="11">
        <v>4.2000000000000003E-2</v>
      </c>
      <c r="V499" s="15">
        <f t="shared" si="108"/>
        <v>0</v>
      </c>
      <c r="W499" s="11">
        <f t="shared" si="109"/>
        <v>-0.21162885678452373</v>
      </c>
      <c r="X499" s="17">
        <f t="shared" si="110"/>
        <v>30593.159999999996</v>
      </c>
      <c r="Y499" s="17">
        <f t="shared" si="111"/>
        <v>-5343.5467799999969</v>
      </c>
      <c r="Z499" s="17">
        <f t="shared" si="112"/>
        <v>25249.613219999999</v>
      </c>
      <c r="AA499" s="17" t="str">
        <f t="shared" si="113"/>
        <v>Q3-2024</v>
      </c>
      <c r="AB499" s="12" t="str">
        <f t="shared" si="114"/>
        <v>Sept-2024</v>
      </c>
      <c r="AC499" s="12" t="str">
        <f t="shared" si="115"/>
        <v>Medium</v>
      </c>
      <c r="AD499">
        <v>27</v>
      </c>
      <c r="AE499" s="12">
        <f>_xlfn.MINIFS(Table1[MonthDate], Table1[Country], Table1[[#This Row],[Country]])</f>
        <v>44927</v>
      </c>
      <c r="AF499" s="12">
        <f t="shared" si="116"/>
        <v>45536</v>
      </c>
      <c r="AG499">
        <f>AD499*(1 + Scenario_Control!$B$4)</f>
        <v>29.700000000000003</v>
      </c>
      <c r="AH499">
        <f>O499*(1 + Scenario_Control!$B$3)</f>
        <v>1189.7339999999999</v>
      </c>
      <c r="AI499">
        <f t="shared" si="117"/>
        <v>5554.914908400001</v>
      </c>
      <c r="AJ499">
        <f t="shared" si="118"/>
        <v>-29780.184891600002</v>
      </c>
      <c r="AK499" s="29">
        <f>MIN(Q499*(1-U499), Scenario_Control!$B$2*Q499)</f>
        <v>195.23400000000001</v>
      </c>
      <c r="AL499" s="15">
        <f t="shared" si="119"/>
        <v>1</v>
      </c>
      <c r="AM499" s="8">
        <f>DATEDIF(Table1[[#This Row],[Country_FirstMonth]], Table1[[#This Row],[MonthDate]], "m")</f>
        <v>20</v>
      </c>
    </row>
    <row r="500" spans="1:39" x14ac:dyDescent="0.25">
      <c r="A500" t="s">
        <v>512</v>
      </c>
      <c r="B500" s="12">
        <v>45224</v>
      </c>
      <c r="C500" s="12">
        <f t="shared" si="105"/>
        <v>45227</v>
      </c>
      <c r="D500" s="2" t="str">
        <f>IF(Table1[[#This Row],[RequiredDate]]&lt;Table1[[#This Row],[OrderDate]],"Check","OK")</f>
        <v>OK</v>
      </c>
      <c r="E500" s="2">
        <v>45227</v>
      </c>
      <c r="F500" s="15">
        <f t="shared" si="106"/>
        <v>3</v>
      </c>
      <c r="G500" t="s">
        <v>648</v>
      </c>
      <c r="H500" t="s">
        <v>655</v>
      </c>
      <c r="I500" t="s">
        <v>672</v>
      </c>
      <c r="J500" t="s">
        <v>701</v>
      </c>
      <c r="K500" t="s">
        <v>710</v>
      </c>
      <c r="L500" t="s">
        <v>716</v>
      </c>
      <c r="M500" t="s">
        <v>733</v>
      </c>
      <c r="N500" t="s">
        <v>1231</v>
      </c>
      <c r="O500" s="29">
        <v>509.31</v>
      </c>
      <c r="P500" t="str">
        <f>IF(Table1[[#This Row],[UnitPrice]]&lt;=0,"Check","OK")</f>
        <v>OK</v>
      </c>
      <c r="Q500" s="29">
        <f t="shared" si="107"/>
        <v>1145.9000000000001</v>
      </c>
      <c r="R500">
        <v>1145.9000000000001</v>
      </c>
      <c r="S500" s="5">
        <f>IF(Table1[[#This Row],[Discount_Flag]]="Check", MIN(MAX(Table1[[#This Row],[DiscountPct]],0),0.3), Table1[[#This Row],[DiscountPct]])</f>
        <v>5.7000000000000002E-2</v>
      </c>
      <c r="T500" t="str">
        <f>IF(OR(Table1[[#This Row],[DiscountPct]]&lt;0,Table1[[#This Row],[DiscountPct]]&gt;0.3),"Check","OK")</f>
        <v>OK</v>
      </c>
      <c r="U500" s="11">
        <v>5.7000000000000002E-2</v>
      </c>
      <c r="V500" s="15">
        <f t="shared" si="108"/>
        <v>0</v>
      </c>
      <c r="W500" s="11">
        <f t="shared" si="109"/>
        <v>0.52867140231709964</v>
      </c>
      <c r="X500" s="17">
        <f t="shared" si="110"/>
        <v>4074.48</v>
      </c>
      <c r="Y500" s="17">
        <f t="shared" si="111"/>
        <v>4570.1896000000015</v>
      </c>
      <c r="Z500" s="17">
        <f t="shared" si="112"/>
        <v>8644.6696000000011</v>
      </c>
      <c r="AA500" s="17" t="str">
        <f t="shared" si="113"/>
        <v>Q4-2023</v>
      </c>
      <c r="AB500" s="12" t="str">
        <f t="shared" si="114"/>
        <v>Oct-2023</v>
      </c>
      <c r="AC500" s="12" t="str">
        <f t="shared" si="115"/>
        <v>Medium</v>
      </c>
      <c r="AD500">
        <v>8</v>
      </c>
      <c r="AE500" s="12">
        <f>_xlfn.MINIFS(Table1[MonthDate], Table1[Country], Table1[[#This Row],[Country]])</f>
        <v>44927</v>
      </c>
      <c r="AF500" s="12">
        <f t="shared" si="116"/>
        <v>45200</v>
      </c>
      <c r="AG500">
        <f>AD500*(1 + Scenario_Control!$B$4)</f>
        <v>8.8000000000000007</v>
      </c>
      <c r="AH500">
        <f>O500*(1 + Scenario_Control!$B$3)</f>
        <v>534.77550000000008</v>
      </c>
      <c r="AI500">
        <f t="shared" si="117"/>
        <v>1901.8273120000003</v>
      </c>
      <c r="AJ500">
        <f t="shared" si="118"/>
        <v>-2804.1970880000008</v>
      </c>
      <c r="AK500" s="29">
        <f>MIN(Q500*(1-U500), Scenario_Control!$B$2*Q500)</f>
        <v>229.18000000000004</v>
      </c>
      <c r="AL500" s="15">
        <f t="shared" si="119"/>
        <v>1</v>
      </c>
      <c r="AM500" s="8">
        <f>DATEDIF(Table1[[#This Row],[Country_FirstMonth]], Table1[[#This Row],[MonthDate]], "m")</f>
        <v>9</v>
      </c>
    </row>
    <row r="501" spans="1:39" x14ac:dyDescent="0.25">
      <c r="A501" t="s">
        <v>513</v>
      </c>
      <c r="B501" s="12">
        <v>45908</v>
      </c>
      <c r="C501" s="12">
        <f t="shared" si="105"/>
        <v>45935</v>
      </c>
      <c r="D501" s="2" t="str">
        <f>IF(Table1[[#This Row],[RequiredDate]]&lt;Table1[[#This Row],[OrderDate]],"Check","OK")</f>
        <v>OK</v>
      </c>
      <c r="E501" s="2">
        <v>45935</v>
      </c>
      <c r="F501" s="15">
        <f t="shared" si="106"/>
        <v>27</v>
      </c>
      <c r="G501" t="s">
        <v>648</v>
      </c>
      <c r="H501" t="s">
        <v>655</v>
      </c>
      <c r="I501" t="s">
        <v>692</v>
      </c>
      <c r="J501" t="s">
        <v>702</v>
      </c>
      <c r="K501" t="s">
        <v>708</v>
      </c>
      <c r="L501" t="s">
        <v>712</v>
      </c>
      <c r="M501" t="s">
        <v>732</v>
      </c>
      <c r="N501" t="s">
        <v>1232</v>
      </c>
      <c r="O501" s="29">
        <v>660.78</v>
      </c>
      <c r="P501" t="str">
        <f>IF(Table1[[#This Row],[UnitPrice]]&lt;=0,"Check","OK")</f>
        <v>OK</v>
      </c>
      <c r="Q501" s="29">
        <f t="shared" si="107"/>
        <v>1630.39</v>
      </c>
      <c r="R501">
        <v>1630.39</v>
      </c>
      <c r="S501" s="5">
        <f>IF(Table1[[#This Row],[Discount_Flag]]="Check", MIN(MAX(Table1[[#This Row],[DiscountPct]],0),0.3), Table1[[#This Row],[DiscountPct]])</f>
        <v>0.218</v>
      </c>
      <c r="T501" t="str">
        <f>IF(OR(Table1[[#This Row],[DiscountPct]]&lt;0,Table1[[#This Row],[DiscountPct]]&gt;0.3),"Check","OK")</f>
        <v>OK</v>
      </c>
      <c r="U501" s="11">
        <v>0.218</v>
      </c>
      <c r="V501" s="15">
        <f t="shared" si="108"/>
        <v>1</v>
      </c>
      <c r="W501" s="11">
        <f t="shared" si="109"/>
        <v>0.48172694123724097</v>
      </c>
      <c r="X501" s="17">
        <f t="shared" si="110"/>
        <v>8590.14</v>
      </c>
      <c r="Y501" s="17">
        <f t="shared" si="111"/>
        <v>7984.4047400000018</v>
      </c>
      <c r="Z501" s="17">
        <f t="shared" si="112"/>
        <v>16574.544740000001</v>
      </c>
      <c r="AA501" s="17" t="str">
        <f t="shared" si="113"/>
        <v>Q3-2025</v>
      </c>
      <c r="AB501" s="12" t="str">
        <f t="shared" si="114"/>
        <v>Sept-2025</v>
      </c>
      <c r="AC501" s="12" t="str">
        <f t="shared" si="115"/>
        <v>Medium</v>
      </c>
      <c r="AD501">
        <v>13</v>
      </c>
      <c r="AE501" s="12">
        <f>_xlfn.MINIFS(Table1[MonthDate], Table1[Country], Table1[[#This Row],[Country]])</f>
        <v>44927</v>
      </c>
      <c r="AF501" s="12">
        <f t="shared" si="116"/>
        <v>45901</v>
      </c>
      <c r="AG501">
        <f>AD501*(1 + Scenario_Control!$B$4)</f>
        <v>14.3</v>
      </c>
      <c r="AH501">
        <f>O501*(1 + Scenario_Control!$B$3)</f>
        <v>693.81899999999996</v>
      </c>
      <c r="AI501">
        <f t="shared" si="117"/>
        <v>3646.3998428000009</v>
      </c>
      <c r="AJ501">
        <f t="shared" si="118"/>
        <v>-6275.2118571999981</v>
      </c>
      <c r="AK501" s="29">
        <f>MIN(Q501*(1-U501), Scenario_Control!$B$2*Q501)</f>
        <v>326.07800000000003</v>
      </c>
      <c r="AL501" s="15">
        <f t="shared" si="119"/>
        <v>0</v>
      </c>
      <c r="AM501" s="8">
        <f>DATEDIF(Table1[[#This Row],[Country_FirstMonth]], Table1[[#This Row],[MonthDate]], "m")</f>
        <v>32</v>
      </c>
    </row>
    <row r="502" spans="1:39" x14ac:dyDescent="0.25">
      <c r="A502" t="s">
        <v>514</v>
      </c>
      <c r="B502" s="12">
        <v>45048</v>
      </c>
      <c r="C502" s="12">
        <f t="shared" si="105"/>
        <v>45062</v>
      </c>
      <c r="D502" s="2" t="str">
        <f>IF(Table1[[#This Row],[RequiredDate]]&lt;Table1[[#This Row],[OrderDate]],"Check","OK")</f>
        <v>OK</v>
      </c>
      <c r="E502" s="2">
        <v>45062</v>
      </c>
      <c r="F502" s="15">
        <f t="shared" si="106"/>
        <v>14</v>
      </c>
      <c r="G502" t="s">
        <v>647</v>
      </c>
      <c r="H502" t="s">
        <v>654</v>
      </c>
      <c r="I502" t="s">
        <v>668</v>
      </c>
      <c r="J502" t="s">
        <v>703</v>
      </c>
      <c r="K502" t="s">
        <v>707</v>
      </c>
      <c r="L502" t="s">
        <v>716</v>
      </c>
      <c r="M502" t="s">
        <v>732</v>
      </c>
      <c r="N502" t="s">
        <v>1233</v>
      </c>
      <c r="O502" s="29">
        <v>475.37</v>
      </c>
      <c r="P502" t="str">
        <f>IF(Table1[[#This Row],[UnitPrice]]&lt;=0,"Check","OK")</f>
        <v>OK</v>
      </c>
      <c r="Q502" s="29">
        <f t="shared" si="107"/>
        <v>963.73</v>
      </c>
      <c r="R502">
        <v>963.73</v>
      </c>
      <c r="S502" s="5">
        <f>IF(Table1[[#This Row],[Discount_Flag]]="Check", MIN(MAX(Table1[[#This Row],[DiscountPct]],0),0.3), Table1[[#This Row],[DiscountPct]])</f>
        <v>4.1000000000000002E-2</v>
      </c>
      <c r="T502" t="str">
        <f>IF(OR(Table1[[#This Row],[DiscountPct]]&lt;0,Table1[[#This Row],[DiscountPct]]&gt;0.3),"Check","OK")</f>
        <v>OK</v>
      </c>
      <c r="U502" s="11">
        <v>4.1000000000000002E-2</v>
      </c>
      <c r="V502" s="15">
        <f t="shared" si="108"/>
        <v>0</v>
      </c>
      <c r="W502" s="11">
        <f t="shared" si="109"/>
        <v>0.48565113604750881</v>
      </c>
      <c r="X502" s="17">
        <f t="shared" si="110"/>
        <v>10458.14</v>
      </c>
      <c r="Y502" s="17">
        <f t="shared" si="111"/>
        <v>9874.6355399999993</v>
      </c>
      <c r="Z502" s="17">
        <f t="shared" si="112"/>
        <v>20332.775539999999</v>
      </c>
      <c r="AA502" s="17" t="str">
        <f t="shared" si="113"/>
        <v>Q2-2023</v>
      </c>
      <c r="AB502" s="12" t="str">
        <f t="shared" si="114"/>
        <v>May-2023</v>
      </c>
      <c r="AC502" s="12" t="str">
        <f t="shared" si="115"/>
        <v>Medium</v>
      </c>
      <c r="AD502">
        <v>22</v>
      </c>
      <c r="AE502" s="12">
        <f>_xlfn.MINIFS(Table1[MonthDate], Table1[Country], Table1[[#This Row],[Country]])</f>
        <v>44927</v>
      </c>
      <c r="AF502" s="12">
        <f t="shared" si="116"/>
        <v>45047</v>
      </c>
      <c r="AG502">
        <f>AD502*(1 + Scenario_Control!$B$4)</f>
        <v>24.200000000000003</v>
      </c>
      <c r="AH502">
        <f>O502*(1 + Scenario_Control!$B$3)</f>
        <v>499.13850000000002</v>
      </c>
      <c r="AI502">
        <f t="shared" si="117"/>
        <v>4473.2106188000007</v>
      </c>
      <c r="AJ502">
        <f t="shared" si="118"/>
        <v>-7605.9410812000015</v>
      </c>
      <c r="AK502" s="29">
        <f>MIN(Q502*(1-U502), Scenario_Control!$B$2*Q502)</f>
        <v>192.74600000000001</v>
      </c>
      <c r="AL502" s="15">
        <f t="shared" si="119"/>
        <v>0</v>
      </c>
      <c r="AM502" s="8">
        <f>DATEDIF(Table1[[#This Row],[Country_FirstMonth]], Table1[[#This Row],[MonthDate]], "m")</f>
        <v>4</v>
      </c>
    </row>
    <row r="503" spans="1:39" x14ac:dyDescent="0.25">
      <c r="A503" t="s">
        <v>515</v>
      </c>
      <c r="B503" s="12">
        <v>45408</v>
      </c>
      <c r="C503" s="12">
        <f t="shared" si="105"/>
        <v>45415</v>
      </c>
      <c r="D503" s="2" t="str">
        <f>IF(Table1[[#This Row],[RequiredDate]]&lt;Table1[[#This Row],[OrderDate]],"Check","OK")</f>
        <v>Check</v>
      </c>
      <c r="E503" s="2">
        <v>45406</v>
      </c>
      <c r="F503" s="15">
        <f t="shared" si="106"/>
        <v>7</v>
      </c>
      <c r="G503" t="s">
        <v>649</v>
      </c>
      <c r="H503" t="s">
        <v>658</v>
      </c>
      <c r="I503" t="s">
        <v>683</v>
      </c>
      <c r="J503" t="s">
        <v>703</v>
      </c>
      <c r="K503" t="s">
        <v>710</v>
      </c>
      <c r="L503" t="s">
        <v>725</v>
      </c>
      <c r="M503" t="s">
        <v>730</v>
      </c>
      <c r="N503" t="s">
        <v>1234</v>
      </c>
      <c r="O503" s="29">
        <v>1232.77</v>
      </c>
      <c r="P503" t="str">
        <f>IF(Table1[[#This Row],[UnitPrice]]&lt;=0,"Check","OK")</f>
        <v>OK</v>
      </c>
      <c r="Q503" s="29">
        <f t="shared" si="107"/>
        <v>891.73</v>
      </c>
      <c r="R503">
        <v>891.73</v>
      </c>
      <c r="S503" s="5">
        <f>IF(Table1[[#This Row],[Discount_Flag]]="Check", MIN(MAX(Table1[[#This Row],[DiscountPct]],0),0.3), Table1[[#This Row],[DiscountPct]])</f>
        <v>0.16700000000000001</v>
      </c>
      <c r="T503" t="str">
        <f>IF(OR(Table1[[#This Row],[DiscountPct]]&lt;0,Table1[[#This Row],[DiscountPct]]&gt;0.3),"Check","OK")</f>
        <v>OK</v>
      </c>
      <c r="U503" s="11">
        <v>0.16700000000000001</v>
      </c>
      <c r="V503" s="15">
        <f t="shared" si="108"/>
        <v>0</v>
      </c>
      <c r="W503" s="11">
        <f t="shared" si="109"/>
        <v>-0.65960096260813805</v>
      </c>
      <c r="X503" s="17">
        <f t="shared" si="110"/>
        <v>12327.7</v>
      </c>
      <c r="Y503" s="17">
        <f t="shared" si="111"/>
        <v>-4899.589100000002</v>
      </c>
      <c r="Z503" s="17">
        <f t="shared" si="112"/>
        <v>7428.1108999999988</v>
      </c>
      <c r="AA503" s="17" t="str">
        <f t="shared" si="113"/>
        <v>Q2-2024</v>
      </c>
      <c r="AB503" s="12" t="str">
        <f t="shared" si="114"/>
        <v>Apr-2024</v>
      </c>
      <c r="AC503" s="12" t="str">
        <f t="shared" si="115"/>
        <v>Medium</v>
      </c>
      <c r="AD503">
        <v>10</v>
      </c>
      <c r="AE503" s="12">
        <f>_xlfn.MINIFS(Table1[MonthDate], Table1[Country], Table1[[#This Row],[Country]])</f>
        <v>44927</v>
      </c>
      <c r="AF503" s="12">
        <f t="shared" si="116"/>
        <v>45383</v>
      </c>
      <c r="AG503">
        <f>AD503*(1 + Scenario_Control!$B$4)</f>
        <v>11</v>
      </c>
      <c r="AH503">
        <f>O503*(1 + Scenario_Control!$B$3)</f>
        <v>1294.4085</v>
      </c>
      <c r="AI503">
        <f t="shared" si="117"/>
        <v>1634.1843979999999</v>
      </c>
      <c r="AJ503">
        <f t="shared" si="118"/>
        <v>-12604.309102000001</v>
      </c>
      <c r="AK503" s="29">
        <f>MIN(Q503*(1-U503), Scenario_Control!$B$2*Q503)</f>
        <v>178.346</v>
      </c>
      <c r="AL503" s="15">
        <f t="shared" si="119"/>
        <v>1</v>
      </c>
      <c r="AM503" s="8">
        <f>DATEDIF(Table1[[#This Row],[Country_FirstMonth]], Table1[[#This Row],[MonthDate]], "m")</f>
        <v>15</v>
      </c>
    </row>
    <row r="504" spans="1:39" x14ac:dyDescent="0.25">
      <c r="A504" t="s">
        <v>516</v>
      </c>
      <c r="B504" s="12">
        <v>44980</v>
      </c>
      <c r="C504" s="12">
        <f t="shared" si="105"/>
        <v>45003</v>
      </c>
      <c r="D504" s="2" t="str">
        <f>IF(Table1[[#This Row],[RequiredDate]]&lt;Table1[[#This Row],[OrderDate]],"Check","OK")</f>
        <v>OK</v>
      </c>
      <c r="E504" s="2">
        <v>45003</v>
      </c>
      <c r="F504" s="15">
        <f t="shared" si="106"/>
        <v>23</v>
      </c>
      <c r="G504" t="s">
        <v>647</v>
      </c>
      <c r="H504" t="s">
        <v>659</v>
      </c>
      <c r="I504" t="s">
        <v>699</v>
      </c>
      <c r="J504" t="s">
        <v>702</v>
      </c>
      <c r="K504" t="s">
        <v>710</v>
      </c>
      <c r="L504" t="s">
        <v>723</v>
      </c>
      <c r="M504" t="s">
        <v>728</v>
      </c>
      <c r="N504" t="s">
        <v>1235</v>
      </c>
      <c r="O504" s="29">
        <v>770.11</v>
      </c>
      <c r="P504" t="str">
        <f>IF(Table1[[#This Row],[UnitPrice]]&lt;=0,"Check","OK")</f>
        <v>OK</v>
      </c>
      <c r="Q504" s="29">
        <f t="shared" si="107"/>
        <v>1667.82</v>
      </c>
      <c r="R504">
        <v>1667.82</v>
      </c>
      <c r="S504" s="5">
        <f>IF(Table1[[#This Row],[Discount_Flag]]="Check", MIN(MAX(Table1[[#This Row],[DiscountPct]],0),0.3), Table1[[#This Row],[DiscountPct]])</f>
        <v>6.9000000000000006E-2</v>
      </c>
      <c r="T504" t="str">
        <f>IF(OR(Table1[[#This Row],[DiscountPct]]&lt;0,Table1[[#This Row],[DiscountPct]]&gt;0.3),"Check","OK")</f>
        <v>OK</v>
      </c>
      <c r="U504" s="11">
        <v>6.9000000000000006E-2</v>
      </c>
      <c r="V504" s="15">
        <f t="shared" si="108"/>
        <v>0</v>
      </c>
      <c r="W504" s="11">
        <f t="shared" si="109"/>
        <v>0.50403171703355287</v>
      </c>
      <c r="X504" s="17">
        <f t="shared" si="110"/>
        <v>5390.77</v>
      </c>
      <c r="Y504" s="17">
        <f t="shared" si="111"/>
        <v>5478.4129400000002</v>
      </c>
      <c r="Z504" s="17">
        <f t="shared" si="112"/>
        <v>10869.182940000001</v>
      </c>
      <c r="AA504" s="17" t="str">
        <f t="shared" si="113"/>
        <v>Q1-2023</v>
      </c>
      <c r="AB504" s="12" t="str">
        <f t="shared" si="114"/>
        <v>Feb-2023</v>
      </c>
      <c r="AC504" s="12" t="str">
        <f t="shared" si="115"/>
        <v>Medium</v>
      </c>
      <c r="AD504">
        <v>7</v>
      </c>
      <c r="AE504" s="12">
        <f>_xlfn.MINIFS(Table1[MonthDate], Table1[Country], Table1[[#This Row],[Country]])</f>
        <v>44927</v>
      </c>
      <c r="AF504" s="12">
        <f t="shared" si="116"/>
        <v>44958</v>
      </c>
      <c r="AG504">
        <f>AD504*(1 + Scenario_Control!$B$4)</f>
        <v>7.7000000000000011</v>
      </c>
      <c r="AH504">
        <f>O504*(1 + Scenario_Control!$B$3)</f>
        <v>808.6155</v>
      </c>
      <c r="AI504">
        <f t="shared" si="117"/>
        <v>2391.220246800001</v>
      </c>
      <c r="AJ504">
        <f t="shared" si="118"/>
        <v>-3835.1191032000002</v>
      </c>
      <c r="AK504" s="29">
        <f>MIN(Q504*(1-U504), Scenario_Control!$B$2*Q504)</f>
        <v>333.56400000000002</v>
      </c>
      <c r="AL504" s="15">
        <f t="shared" si="119"/>
        <v>0</v>
      </c>
      <c r="AM504" s="8">
        <f>DATEDIF(Table1[[#This Row],[Country_FirstMonth]], Table1[[#This Row],[MonthDate]], "m")</f>
        <v>1</v>
      </c>
    </row>
    <row r="505" spans="1:39" x14ac:dyDescent="0.25">
      <c r="A505" t="s">
        <v>517</v>
      </c>
      <c r="B505" s="12">
        <v>45740</v>
      </c>
      <c r="C505" s="12">
        <f t="shared" si="105"/>
        <v>45741</v>
      </c>
      <c r="D505" s="2" t="str">
        <f>IF(Table1[[#This Row],[RequiredDate]]&lt;Table1[[#This Row],[OrderDate]],"Check","OK")</f>
        <v>OK</v>
      </c>
      <c r="E505" s="2">
        <v>45741</v>
      </c>
      <c r="F505" s="15">
        <f t="shared" si="106"/>
        <v>1</v>
      </c>
      <c r="G505" t="s">
        <v>647</v>
      </c>
      <c r="H505" t="s">
        <v>659</v>
      </c>
      <c r="I505" t="s">
        <v>699</v>
      </c>
      <c r="J505" t="s">
        <v>703</v>
      </c>
      <c r="K505" t="s">
        <v>708</v>
      </c>
      <c r="L505" t="s">
        <v>715</v>
      </c>
      <c r="M505" t="s">
        <v>729</v>
      </c>
      <c r="N505" t="s">
        <v>1236</v>
      </c>
      <c r="O505" s="29">
        <v>1133.03</v>
      </c>
      <c r="P505" t="str">
        <f>IF(Table1[[#This Row],[UnitPrice]]&lt;=0,"Check","OK")</f>
        <v>OK</v>
      </c>
      <c r="Q505" s="29">
        <f t="shared" si="107"/>
        <v>1921.51</v>
      </c>
      <c r="R505">
        <v>1921.51</v>
      </c>
      <c r="S505" s="5">
        <f>IF(Table1[[#This Row],[Discount_Flag]]="Check", MIN(MAX(Table1[[#This Row],[DiscountPct]],0),0.3), Table1[[#This Row],[DiscountPct]])</f>
        <v>0.10100000000000001</v>
      </c>
      <c r="T505" t="str">
        <f>IF(OR(Table1[[#This Row],[DiscountPct]]&lt;0,Table1[[#This Row],[DiscountPct]]&gt;0.3),"Check","OK")</f>
        <v>OK</v>
      </c>
      <c r="U505" s="11">
        <v>0.10100000000000001</v>
      </c>
      <c r="V505" s="15">
        <f t="shared" si="108"/>
        <v>0</v>
      </c>
      <c r="W505" s="11">
        <f t="shared" si="109"/>
        <v>0.3440978289755654</v>
      </c>
      <c r="X505" s="17">
        <f t="shared" si="110"/>
        <v>5665.15</v>
      </c>
      <c r="Y505" s="17">
        <f t="shared" si="111"/>
        <v>2972.0374499999998</v>
      </c>
      <c r="Z505" s="17">
        <f t="shared" si="112"/>
        <v>8637.1874499999994</v>
      </c>
      <c r="AA505" s="17" t="str">
        <f t="shared" si="113"/>
        <v>Q1-2025</v>
      </c>
      <c r="AB505" s="12" t="str">
        <f t="shared" si="114"/>
        <v>Mar-2025</v>
      </c>
      <c r="AC505" s="12" t="str">
        <f t="shared" si="115"/>
        <v>High</v>
      </c>
      <c r="AD505">
        <v>5</v>
      </c>
      <c r="AE505" s="12">
        <f>_xlfn.MINIFS(Table1[MonthDate], Table1[Country], Table1[[#This Row],[Country]])</f>
        <v>44927</v>
      </c>
      <c r="AF505" s="12">
        <f t="shared" si="116"/>
        <v>45717</v>
      </c>
      <c r="AG505">
        <f>AD505*(1 + Scenario_Control!$B$4)</f>
        <v>5.5</v>
      </c>
      <c r="AH505">
        <f>O505*(1 + Scenario_Control!$B$3)</f>
        <v>1189.6814999999999</v>
      </c>
      <c r="AI505">
        <f t="shared" si="117"/>
        <v>1900.181239</v>
      </c>
      <c r="AJ505">
        <f t="shared" si="118"/>
        <v>-4643.0670109999992</v>
      </c>
      <c r="AK505" s="29">
        <f>MIN(Q505*(1-U505), Scenario_Control!$B$2*Q505)</f>
        <v>384.30200000000002</v>
      </c>
      <c r="AL505" s="15">
        <f t="shared" si="119"/>
        <v>1</v>
      </c>
      <c r="AM505" s="8">
        <f>DATEDIF(Table1[[#This Row],[Country_FirstMonth]], Table1[[#This Row],[MonthDate]], "m")</f>
        <v>26</v>
      </c>
    </row>
    <row r="506" spans="1:39" x14ac:dyDescent="0.25">
      <c r="A506" t="s">
        <v>518</v>
      </c>
      <c r="B506" s="12">
        <v>45726</v>
      </c>
      <c r="C506" s="12">
        <f t="shared" si="105"/>
        <v>45743</v>
      </c>
      <c r="D506" s="2" t="str">
        <f>IF(Table1[[#This Row],[RequiredDate]]&lt;Table1[[#This Row],[OrderDate]],"Check","OK")</f>
        <v>OK</v>
      </c>
      <c r="E506" s="2">
        <v>45743</v>
      </c>
      <c r="F506" s="15">
        <f t="shared" si="106"/>
        <v>17</v>
      </c>
      <c r="G506" t="s">
        <v>648</v>
      </c>
      <c r="H506" t="s">
        <v>655</v>
      </c>
      <c r="I506" t="s">
        <v>692</v>
      </c>
      <c r="J506" t="s">
        <v>706</v>
      </c>
      <c r="K506" t="s">
        <v>711</v>
      </c>
      <c r="L506" t="s">
        <v>721</v>
      </c>
      <c r="M506" t="s">
        <v>729</v>
      </c>
      <c r="N506" t="s">
        <v>1237</v>
      </c>
      <c r="O506" s="29">
        <v>996.73</v>
      </c>
      <c r="P506" t="str">
        <f>IF(Table1[[#This Row],[UnitPrice]]&lt;=0,"Check","OK")</f>
        <v>OK</v>
      </c>
      <c r="Q506" s="29">
        <f t="shared" si="107"/>
        <v>1217.43</v>
      </c>
      <c r="R506">
        <v>1217.43</v>
      </c>
      <c r="S506" s="5">
        <f>IF(Table1[[#This Row],[Discount_Flag]]="Check", MIN(MAX(Table1[[#This Row],[DiscountPct]],0),0.3), Table1[[#This Row],[DiscountPct]])</f>
        <v>7.0000000000000007E-2</v>
      </c>
      <c r="T506" t="str">
        <f>IF(OR(Table1[[#This Row],[DiscountPct]]&lt;0,Table1[[#This Row],[DiscountPct]]&gt;0.3),"Check","OK")</f>
        <v>OK</v>
      </c>
      <c r="U506" s="11">
        <v>7.0000000000000007E-2</v>
      </c>
      <c r="V506" s="15">
        <f t="shared" si="108"/>
        <v>0</v>
      </c>
      <c r="W506" s="11">
        <f t="shared" si="109"/>
        <v>0.11965970267527255</v>
      </c>
      <c r="X506" s="17">
        <f t="shared" si="110"/>
        <v>8970.57</v>
      </c>
      <c r="Y506" s="17">
        <f t="shared" si="111"/>
        <v>1219.3191000000006</v>
      </c>
      <c r="Z506" s="17">
        <f t="shared" si="112"/>
        <v>10189.8891</v>
      </c>
      <c r="AA506" s="17" t="str">
        <f t="shared" si="113"/>
        <v>Q1-2025</v>
      </c>
      <c r="AB506" s="12" t="str">
        <f t="shared" si="114"/>
        <v>Mar-2025</v>
      </c>
      <c r="AC506" s="12" t="str">
        <f t="shared" si="115"/>
        <v>Medium</v>
      </c>
      <c r="AD506">
        <v>9</v>
      </c>
      <c r="AE506" s="12">
        <f>_xlfn.MINIFS(Table1[MonthDate], Table1[Country], Table1[[#This Row],[Country]])</f>
        <v>44927</v>
      </c>
      <c r="AF506" s="12">
        <f t="shared" si="116"/>
        <v>45717</v>
      </c>
      <c r="AG506">
        <f>AD506*(1 + Scenario_Control!$B$4)</f>
        <v>9.9</v>
      </c>
      <c r="AH506">
        <f>O506*(1 + Scenario_Control!$B$3)</f>
        <v>1046.5665000000001</v>
      </c>
      <c r="AI506">
        <f t="shared" si="117"/>
        <v>2241.7756020000002</v>
      </c>
      <c r="AJ506">
        <f t="shared" si="118"/>
        <v>-8119.2327480000022</v>
      </c>
      <c r="AK506" s="29">
        <f>MIN(Q506*(1-U506), Scenario_Control!$B$2*Q506)</f>
        <v>243.48600000000002</v>
      </c>
      <c r="AL506" s="15">
        <f t="shared" si="119"/>
        <v>0</v>
      </c>
      <c r="AM506" s="8">
        <f>DATEDIF(Table1[[#This Row],[Country_FirstMonth]], Table1[[#This Row],[MonthDate]], "m")</f>
        <v>26</v>
      </c>
    </row>
    <row r="507" spans="1:39" x14ac:dyDescent="0.25">
      <c r="A507" t="s">
        <v>519</v>
      </c>
      <c r="B507" s="12">
        <v>45387</v>
      </c>
      <c r="C507" s="12">
        <f t="shared" si="105"/>
        <v>45391</v>
      </c>
      <c r="D507" s="2" t="str">
        <f>IF(Table1[[#This Row],[RequiredDate]]&lt;Table1[[#This Row],[OrderDate]],"Check","OK")</f>
        <v>OK</v>
      </c>
      <c r="E507" s="2">
        <v>45391</v>
      </c>
      <c r="F507" s="15">
        <f t="shared" si="106"/>
        <v>4</v>
      </c>
      <c r="G507" t="s">
        <v>646</v>
      </c>
      <c r="H507" t="s">
        <v>651</v>
      </c>
      <c r="I507" t="s">
        <v>665</v>
      </c>
      <c r="J507" t="s">
        <v>703</v>
      </c>
      <c r="K507" t="s">
        <v>711</v>
      </c>
      <c r="L507" t="s">
        <v>723</v>
      </c>
      <c r="M507" t="s">
        <v>727</v>
      </c>
      <c r="N507" t="s">
        <v>1238</v>
      </c>
      <c r="O507" s="29">
        <v>395.07</v>
      </c>
      <c r="P507" t="str">
        <f>IF(Table1[[#This Row],[UnitPrice]]&lt;=0,"Check","OK")</f>
        <v>OK</v>
      </c>
      <c r="Q507" s="29">
        <f t="shared" si="107"/>
        <v>970.27</v>
      </c>
      <c r="R507">
        <v>970.27</v>
      </c>
      <c r="S507" s="5">
        <f>IF(Table1[[#This Row],[Discount_Flag]]="Check", MIN(MAX(Table1[[#This Row],[DiscountPct]],0),0.3), Table1[[#This Row],[DiscountPct]])</f>
        <v>0.123</v>
      </c>
      <c r="T507" t="str">
        <f>IF(OR(Table1[[#This Row],[DiscountPct]]&lt;0,Table1[[#This Row],[DiscountPct]]&gt;0.3),"Check","OK")</f>
        <v>OK</v>
      </c>
      <c r="U507" s="11">
        <v>0.123</v>
      </c>
      <c r="V507" s="15">
        <f t="shared" si="108"/>
        <v>0</v>
      </c>
      <c r="W507" s="11">
        <f t="shared" si="109"/>
        <v>0.53571799049833657</v>
      </c>
      <c r="X507" s="17">
        <f t="shared" si="110"/>
        <v>15012.66</v>
      </c>
      <c r="Y507" s="17">
        <f t="shared" si="111"/>
        <v>17322.55802</v>
      </c>
      <c r="Z507" s="17">
        <f t="shared" si="112"/>
        <v>32335.21802</v>
      </c>
      <c r="AA507" s="17" t="str">
        <f t="shared" si="113"/>
        <v>Q2-2024</v>
      </c>
      <c r="AB507" s="12" t="str">
        <f t="shared" si="114"/>
        <v>Apr-2024</v>
      </c>
      <c r="AC507" s="12" t="str">
        <f t="shared" si="115"/>
        <v>Medium</v>
      </c>
      <c r="AD507">
        <v>38</v>
      </c>
      <c r="AE507" s="12">
        <f>_xlfn.MINIFS(Table1[MonthDate], Table1[Country], Table1[[#This Row],[Country]])</f>
        <v>44927</v>
      </c>
      <c r="AF507" s="12">
        <f t="shared" si="116"/>
        <v>45383</v>
      </c>
      <c r="AG507">
        <f>AD507*(1 + Scenario_Control!$B$4)</f>
        <v>41.800000000000004</v>
      </c>
      <c r="AH507">
        <f>O507*(1 + Scenario_Control!$B$3)</f>
        <v>414.82350000000002</v>
      </c>
      <c r="AI507">
        <f t="shared" si="117"/>
        <v>7113.7479644000005</v>
      </c>
      <c r="AJ507">
        <f t="shared" si="118"/>
        <v>-10225.874335600001</v>
      </c>
      <c r="AK507" s="29">
        <f>MIN(Q507*(1-U507), Scenario_Control!$B$2*Q507)</f>
        <v>194.054</v>
      </c>
      <c r="AL507" s="15">
        <f t="shared" si="119"/>
        <v>1</v>
      </c>
      <c r="AM507" s="8">
        <f>DATEDIF(Table1[[#This Row],[Country_FirstMonth]], Table1[[#This Row],[MonthDate]], "m")</f>
        <v>15</v>
      </c>
    </row>
    <row r="508" spans="1:39" x14ac:dyDescent="0.25">
      <c r="A508" t="s">
        <v>520</v>
      </c>
      <c r="B508" s="12">
        <v>45774</v>
      </c>
      <c r="C508" s="12">
        <f t="shared" si="105"/>
        <v>45794</v>
      </c>
      <c r="D508" s="2" t="str">
        <f>IF(Table1[[#This Row],[RequiredDate]]&lt;Table1[[#This Row],[OrderDate]],"Check","OK")</f>
        <v>OK</v>
      </c>
      <c r="E508" s="2">
        <v>45794</v>
      </c>
      <c r="F508" s="15">
        <f t="shared" si="106"/>
        <v>20</v>
      </c>
      <c r="G508" t="s">
        <v>648</v>
      </c>
      <c r="H508" t="s">
        <v>660</v>
      </c>
      <c r="I508" t="s">
        <v>697</v>
      </c>
      <c r="J508" t="s">
        <v>701</v>
      </c>
      <c r="K508" t="s">
        <v>711</v>
      </c>
      <c r="L508" t="s">
        <v>725</v>
      </c>
      <c r="M508" t="s">
        <v>730</v>
      </c>
      <c r="N508" t="s">
        <v>1239</v>
      </c>
      <c r="O508" s="29">
        <v>932.26</v>
      </c>
      <c r="P508" t="str">
        <f>IF(Table1[[#This Row],[UnitPrice]]&lt;=0,"Check","OK")</f>
        <v>OK</v>
      </c>
      <c r="Q508" s="29">
        <f t="shared" si="107"/>
        <v>1624.67</v>
      </c>
      <c r="R508">
        <v>1624.67</v>
      </c>
      <c r="S508" s="5">
        <f>IF(Table1[[#This Row],[Discount_Flag]]="Check", MIN(MAX(Table1[[#This Row],[DiscountPct]],0),0.3), Table1[[#This Row],[DiscountPct]])</f>
        <v>0.23499999999999999</v>
      </c>
      <c r="T508" t="str">
        <f>IF(OR(Table1[[#This Row],[DiscountPct]]&lt;0,Table1[[#This Row],[DiscountPct]]&gt;0.3),"Check","OK")</f>
        <v>OK</v>
      </c>
      <c r="U508" s="11">
        <v>0.23499999999999999</v>
      </c>
      <c r="V508" s="15">
        <f t="shared" si="108"/>
        <v>1</v>
      </c>
      <c r="W508" s="11">
        <f t="shared" si="109"/>
        <v>0.24991504559337163</v>
      </c>
      <c r="X508" s="17">
        <f t="shared" si="110"/>
        <v>26103.279999999999</v>
      </c>
      <c r="Y508" s="17">
        <f t="shared" si="111"/>
        <v>8697.1514000000025</v>
      </c>
      <c r="Z508" s="17">
        <f t="shared" si="112"/>
        <v>34800.431400000001</v>
      </c>
      <c r="AA508" s="17" t="str">
        <f t="shared" si="113"/>
        <v>Q2-2025</v>
      </c>
      <c r="AB508" s="12" t="str">
        <f t="shared" si="114"/>
        <v>Apr-2025</v>
      </c>
      <c r="AC508" s="12" t="str">
        <f t="shared" si="115"/>
        <v>Medium</v>
      </c>
      <c r="AD508">
        <v>28</v>
      </c>
      <c r="AE508" s="12">
        <f>_xlfn.MINIFS(Table1[MonthDate], Table1[Country], Table1[[#This Row],[Country]])</f>
        <v>44927</v>
      </c>
      <c r="AF508" s="12">
        <f t="shared" si="116"/>
        <v>45748</v>
      </c>
      <c r="AG508">
        <f>AD508*(1 + Scenario_Control!$B$4)</f>
        <v>30.800000000000004</v>
      </c>
      <c r="AH508">
        <f>O508*(1 + Scenario_Control!$B$3)</f>
        <v>978.87300000000005</v>
      </c>
      <c r="AI508">
        <f t="shared" si="117"/>
        <v>7656.0949080000019</v>
      </c>
      <c r="AJ508">
        <f t="shared" si="118"/>
        <v>-22493.193492000002</v>
      </c>
      <c r="AK508" s="29">
        <f>MIN(Q508*(1-U508), Scenario_Control!$B$2*Q508)</f>
        <v>324.93400000000003</v>
      </c>
      <c r="AL508" s="15">
        <f t="shared" si="119"/>
        <v>0</v>
      </c>
      <c r="AM508" s="8">
        <f>DATEDIF(Table1[[#This Row],[Country_FirstMonth]], Table1[[#This Row],[MonthDate]], "m")</f>
        <v>27</v>
      </c>
    </row>
    <row r="509" spans="1:39" x14ac:dyDescent="0.25">
      <c r="A509" t="s">
        <v>521</v>
      </c>
      <c r="B509" s="12">
        <v>45589</v>
      </c>
      <c r="C509" s="12">
        <f t="shared" si="105"/>
        <v>45593</v>
      </c>
      <c r="D509" s="2" t="str">
        <f>IF(Table1[[#This Row],[RequiredDate]]&lt;Table1[[#This Row],[OrderDate]],"Check","OK")</f>
        <v>OK</v>
      </c>
      <c r="E509" s="2">
        <v>45593</v>
      </c>
      <c r="F509" s="15">
        <f t="shared" si="106"/>
        <v>4</v>
      </c>
      <c r="G509" t="s">
        <v>647</v>
      </c>
      <c r="H509" t="s">
        <v>659</v>
      </c>
      <c r="I509" t="s">
        <v>685</v>
      </c>
      <c r="J509" t="s">
        <v>705</v>
      </c>
      <c r="K509" t="s">
        <v>710</v>
      </c>
      <c r="L509" t="s">
        <v>714</v>
      </c>
      <c r="M509" t="s">
        <v>729</v>
      </c>
      <c r="N509" t="s">
        <v>1240</v>
      </c>
      <c r="O509" s="29">
        <v>1331.77</v>
      </c>
      <c r="P509" t="str">
        <f>IF(Table1[[#This Row],[UnitPrice]]&lt;=0,"Check","OK")</f>
        <v>OK</v>
      </c>
      <c r="Q509" s="29">
        <f t="shared" si="107"/>
        <v>2606.11</v>
      </c>
      <c r="R509">
        <v>2606.11</v>
      </c>
      <c r="S509" s="5">
        <f>IF(Table1[[#This Row],[Discount_Flag]]="Check", MIN(MAX(Table1[[#This Row],[DiscountPct]],0),0.3), Table1[[#This Row],[DiscountPct]])</f>
        <v>0.02</v>
      </c>
      <c r="T509" t="str">
        <f>IF(OR(Table1[[#This Row],[DiscountPct]]&lt;0,Table1[[#This Row],[DiscountPct]]&gt;0.3),"Check","OK")</f>
        <v>OK</v>
      </c>
      <c r="U509" s="11">
        <v>0.02</v>
      </c>
      <c r="V509" s="15">
        <f t="shared" si="108"/>
        <v>0</v>
      </c>
      <c r="W509" s="11">
        <f t="shared" si="109"/>
        <v>0.47855271665745619</v>
      </c>
      <c r="X509" s="17">
        <f t="shared" si="110"/>
        <v>7990.62</v>
      </c>
      <c r="Y509" s="17">
        <f t="shared" si="111"/>
        <v>7333.3067999999994</v>
      </c>
      <c r="Z509" s="17">
        <f t="shared" si="112"/>
        <v>15323.926799999999</v>
      </c>
      <c r="AA509" s="17" t="str">
        <f t="shared" si="113"/>
        <v>Q4-2024</v>
      </c>
      <c r="AB509" s="12" t="str">
        <f t="shared" si="114"/>
        <v>Oct-2024</v>
      </c>
      <c r="AC509" s="12" t="str">
        <f t="shared" si="115"/>
        <v>High</v>
      </c>
      <c r="AD509">
        <v>6</v>
      </c>
      <c r="AE509" s="12">
        <f>_xlfn.MINIFS(Table1[MonthDate], Table1[Country], Table1[[#This Row],[Country]])</f>
        <v>44927</v>
      </c>
      <c r="AF509" s="12">
        <f t="shared" si="116"/>
        <v>45566</v>
      </c>
      <c r="AG509">
        <f>AD509*(1 + Scenario_Control!$B$4)</f>
        <v>6.6000000000000005</v>
      </c>
      <c r="AH509">
        <f>O509*(1 + Scenario_Control!$B$3)</f>
        <v>1398.3585</v>
      </c>
      <c r="AI509">
        <f t="shared" si="117"/>
        <v>3371.2638960000008</v>
      </c>
      <c r="AJ509">
        <f t="shared" si="118"/>
        <v>-5857.902204</v>
      </c>
      <c r="AK509" s="29">
        <f>MIN(Q509*(1-U509), Scenario_Control!$B$2*Q509)</f>
        <v>521.22200000000009</v>
      </c>
      <c r="AL509" s="15">
        <f t="shared" si="119"/>
        <v>1</v>
      </c>
      <c r="AM509" s="8">
        <f>DATEDIF(Table1[[#This Row],[Country_FirstMonth]], Table1[[#This Row],[MonthDate]], "m")</f>
        <v>21</v>
      </c>
    </row>
    <row r="510" spans="1:39" x14ac:dyDescent="0.25">
      <c r="A510" t="s">
        <v>522</v>
      </c>
      <c r="B510" s="12">
        <v>45029</v>
      </c>
      <c r="C510" s="12">
        <f t="shared" si="105"/>
        <v>45036</v>
      </c>
      <c r="D510" s="2" t="str">
        <f>IF(Table1[[#This Row],[RequiredDate]]&lt;Table1[[#This Row],[OrderDate]],"Check","OK")</f>
        <v>OK</v>
      </c>
      <c r="E510" s="2">
        <v>45036</v>
      </c>
      <c r="F510" s="15">
        <f t="shared" si="106"/>
        <v>7</v>
      </c>
      <c r="G510" t="s">
        <v>649</v>
      </c>
      <c r="H510" t="s">
        <v>657</v>
      </c>
      <c r="I510" t="s">
        <v>679</v>
      </c>
      <c r="J510" t="s">
        <v>705</v>
      </c>
      <c r="K510" t="s">
        <v>708</v>
      </c>
      <c r="L510" t="s">
        <v>720</v>
      </c>
      <c r="M510" t="s">
        <v>731</v>
      </c>
      <c r="N510" t="s">
        <v>1241</v>
      </c>
      <c r="O510" s="29">
        <v>227.02</v>
      </c>
      <c r="P510" t="str">
        <f>IF(Table1[[#This Row],[UnitPrice]]&lt;=0,"Check","OK")</f>
        <v>OK</v>
      </c>
      <c r="Q510" s="29">
        <f t="shared" si="107"/>
        <v>434.72</v>
      </c>
      <c r="R510">
        <v>434.72</v>
      </c>
      <c r="S510" s="5">
        <f>IF(Table1[[#This Row],[Discount_Flag]]="Check", MIN(MAX(Table1[[#This Row],[DiscountPct]],0),0.3), Table1[[#This Row],[DiscountPct]])</f>
        <v>9.8000000000000004E-2</v>
      </c>
      <c r="T510" t="str">
        <f>IF(OR(Table1[[#This Row],[DiscountPct]]&lt;0,Table1[[#This Row],[DiscountPct]]&gt;0.3),"Check","OK")</f>
        <v>OK</v>
      </c>
      <c r="U510" s="11">
        <v>9.8000000000000004E-2</v>
      </c>
      <c r="V510" s="15">
        <f t="shared" si="108"/>
        <v>0</v>
      </c>
      <c r="W510" s="11">
        <f t="shared" si="109"/>
        <v>0.42104079838938052</v>
      </c>
      <c r="X510" s="17">
        <f t="shared" si="110"/>
        <v>2270.2000000000003</v>
      </c>
      <c r="Y510" s="17">
        <f t="shared" si="111"/>
        <v>1650.9744000000005</v>
      </c>
      <c r="Z510" s="17">
        <f t="shared" si="112"/>
        <v>3921.1744000000008</v>
      </c>
      <c r="AA510" s="17" t="str">
        <f t="shared" si="113"/>
        <v>Q2-2023</v>
      </c>
      <c r="AB510" s="12" t="str">
        <f t="shared" si="114"/>
        <v>Apr-2023</v>
      </c>
      <c r="AC510" s="12" t="str">
        <f t="shared" si="115"/>
        <v>Low</v>
      </c>
      <c r="AD510">
        <v>10</v>
      </c>
      <c r="AE510" s="12">
        <f>_xlfn.MINIFS(Table1[MonthDate], Table1[Country], Table1[[#This Row],[Country]])</f>
        <v>44927</v>
      </c>
      <c r="AF510" s="12">
        <f t="shared" si="116"/>
        <v>45017</v>
      </c>
      <c r="AG510">
        <f>AD510*(1 + Scenario_Control!$B$4)</f>
        <v>11</v>
      </c>
      <c r="AH510">
        <f>O510*(1 + Scenario_Control!$B$3)</f>
        <v>238.37100000000001</v>
      </c>
      <c r="AI510">
        <f t="shared" si="117"/>
        <v>862.65836800000022</v>
      </c>
      <c r="AJ510">
        <f t="shared" si="118"/>
        <v>-1759.4226319999998</v>
      </c>
      <c r="AK510" s="29">
        <f>MIN(Q510*(1-U510), Scenario_Control!$B$2*Q510)</f>
        <v>86.944000000000017</v>
      </c>
      <c r="AL510" s="15">
        <f t="shared" si="119"/>
        <v>1</v>
      </c>
      <c r="AM510" s="8">
        <f>DATEDIF(Table1[[#This Row],[Country_FirstMonth]], Table1[[#This Row],[MonthDate]], "m")</f>
        <v>3</v>
      </c>
    </row>
    <row r="511" spans="1:39" x14ac:dyDescent="0.25">
      <c r="A511" t="s">
        <v>523</v>
      </c>
      <c r="B511" s="12">
        <v>45608</v>
      </c>
      <c r="C511" s="12">
        <f t="shared" si="105"/>
        <v>45617</v>
      </c>
      <c r="D511" s="2" t="str">
        <f>IF(Table1[[#This Row],[RequiredDate]]&lt;Table1[[#This Row],[OrderDate]],"Check","OK")</f>
        <v>OK</v>
      </c>
      <c r="E511" s="2">
        <v>45617</v>
      </c>
      <c r="F511" s="15">
        <f t="shared" si="106"/>
        <v>9</v>
      </c>
      <c r="G511" t="s">
        <v>647</v>
      </c>
      <c r="H511" t="s">
        <v>654</v>
      </c>
      <c r="I511" t="s">
        <v>691</v>
      </c>
      <c r="J511" t="s">
        <v>701</v>
      </c>
      <c r="K511" t="s">
        <v>711</v>
      </c>
      <c r="L511" t="s">
        <v>722</v>
      </c>
      <c r="M511" t="s">
        <v>731</v>
      </c>
      <c r="N511" t="s">
        <v>1242</v>
      </c>
      <c r="O511" s="29">
        <v>903.41</v>
      </c>
      <c r="P511" t="str">
        <f>IF(Table1[[#This Row],[UnitPrice]]&lt;=0,"Check","OK")</f>
        <v>OK</v>
      </c>
      <c r="Q511" s="29">
        <f t="shared" si="107"/>
        <v>1860.41</v>
      </c>
      <c r="R511">
        <v>1860.41</v>
      </c>
      <c r="S511" s="5">
        <f>IF(Table1[[#This Row],[Discount_Flag]]="Check", MIN(MAX(Table1[[#This Row],[DiscountPct]],0),0.3), Table1[[#This Row],[DiscountPct]])</f>
        <v>0.108</v>
      </c>
      <c r="T511" t="str">
        <f>IF(OR(Table1[[#This Row],[DiscountPct]]&lt;0,Table1[[#This Row],[DiscountPct]]&gt;0.3),"Check","OK")</f>
        <v>OK</v>
      </c>
      <c r="U511" s="11">
        <v>0.108</v>
      </c>
      <c r="V511" s="15">
        <f t="shared" si="108"/>
        <v>0</v>
      </c>
      <c r="W511" s="11">
        <f t="shared" si="109"/>
        <v>0.455608451996803</v>
      </c>
      <c r="X511" s="17">
        <f t="shared" si="110"/>
        <v>4517.05</v>
      </c>
      <c r="Y511" s="17">
        <f t="shared" si="111"/>
        <v>3780.3786000000009</v>
      </c>
      <c r="Z511" s="17">
        <f t="shared" si="112"/>
        <v>8297.4286000000011</v>
      </c>
      <c r="AA511" s="17" t="str">
        <f t="shared" si="113"/>
        <v>Q4-2024</v>
      </c>
      <c r="AB511" s="12" t="str">
        <f t="shared" si="114"/>
        <v>Nov-2024</v>
      </c>
      <c r="AC511" s="12" t="str">
        <f t="shared" si="115"/>
        <v>Medium</v>
      </c>
      <c r="AD511">
        <v>5</v>
      </c>
      <c r="AE511" s="12">
        <f>_xlfn.MINIFS(Table1[MonthDate], Table1[Country], Table1[[#This Row],[Country]])</f>
        <v>44927</v>
      </c>
      <c r="AF511" s="12">
        <f t="shared" si="116"/>
        <v>45597</v>
      </c>
      <c r="AG511">
        <f>AD511*(1 + Scenario_Control!$B$4)</f>
        <v>5.5</v>
      </c>
      <c r="AH511">
        <f>O511*(1 + Scenario_Control!$B$3)</f>
        <v>948.58050000000003</v>
      </c>
      <c r="AI511">
        <f t="shared" si="117"/>
        <v>1825.4342920000001</v>
      </c>
      <c r="AJ511">
        <f t="shared" si="118"/>
        <v>-3391.7584580000002</v>
      </c>
      <c r="AK511" s="29">
        <f>MIN(Q511*(1-U511), Scenario_Control!$B$2*Q511)</f>
        <v>372.08200000000005</v>
      </c>
      <c r="AL511" s="15">
        <f t="shared" si="119"/>
        <v>0</v>
      </c>
      <c r="AM511" s="8">
        <f>DATEDIF(Table1[[#This Row],[Country_FirstMonth]], Table1[[#This Row],[MonthDate]], "m")</f>
        <v>22</v>
      </c>
    </row>
    <row r="512" spans="1:39" x14ac:dyDescent="0.25">
      <c r="A512" t="s">
        <v>524</v>
      </c>
      <c r="B512" s="12">
        <v>45056</v>
      </c>
      <c r="C512" s="12">
        <f t="shared" si="105"/>
        <v>45060</v>
      </c>
      <c r="D512" s="2" t="str">
        <f>IF(Table1[[#This Row],[RequiredDate]]&lt;Table1[[#This Row],[OrderDate]],"Check","OK")</f>
        <v>OK</v>
      </c>
      <c r="E512" s="2">
        <v>45060</v>
      </c>
      <c r="F512" s="15">
        <f t="shared" si="106"/>
        <v>4</v>
      </c>
      <c r="G512" t="s">
        <v>647</v>
      </c>
      <c r="H512" t="s">
        <v>654</v>
      </c>
      <c r="I512" t="s">
        <v>680</v>
      </c>
      <c r="J512" t="s">
        <v>703</v>
      </c>
      <c r="K512" t="s">
        <v>710</v>
      </c>
      <c r="L512" t="s">
        <v>712</v>
      </c>
      <c r="M512" t="s">
        <v>732</v>
      </c>
      <c r="N512" t="s">
        <v>1243</v>
      </c>
      <c r="O512" s="29">
        <v>622.6</v>
      </c>
      <c r="P512" t="str">
        <f>IF(Table1[[#This Row],[UnitPrice]]&lt;=0,"Check","OK")</f>
        <v>OK</v>
      </c>
      <c r="Q512" s="29">
        <f t="shared" si="107"/>
        <v>833.69</v>
      </c>
      <c r="R512">
        <v>833.69</v>
      </c>
      <c r="S512" s="5">
        <f>IF(Table1[[#This Row],[Discount_Flag]]="Check", MIN(MAX(Table1[[#This Row],[DiscountPct]],0),0.3), Table1[[#This Row],[DiscountPct]])</f>
        <v>0.20899999999999999</v>
      </c>
      <c r="T512" t="str">
        <f>IF(OR(Table1[[#This Row],[DiscountPct]]&lt;0,Table1[[#This Row],[DiscountPct]]&gt;0.3),"Check","OK")</f>
        <v>OK</v>
      </c>
      <c r="U512" s="11">
        <v>0.20899999999999999</v>
      </c>
      <c r="V512" s="15">
        <f t="shared" si="108"/>
        <v>1</v>
      </c>
      <c r="W512" s="11">
        <f t="shared" si="109"/>
        <v>5.5878167582959715E-2</v>
      </c>
      <c r="X512" s="17">
        <f t="shared" si="110"/>
        <v>8716.4</v>
      </c>
      <c r="Y512" s="17">
        <f t="shared" si="111"/>
        <v>515.88306000000011</v>
      </c>
      <c r="Z512" s="17">
        <f t="shared" si="112"/>
        <v>9232.2830599999998</v>
      </c>
      <c r="AA512" s="17" t="str">
        <f t="shared" si="113"/>
        <v>Q2-2023</v>
      </c>
      <c r="AB512" s="12" t="str">
        <f t="shared" si="114"/>
        <v>May-2023</v>
      </c>
      <c r="AC512" s="12" t="str">
        <f t="shared" si="115"/>
        <v>Medium</v>
      </c>
      <c r="AD512">
        <v>14</v>
      </c>
      <c r="AE512" s="12">
        <f>_xlfn.MINIFS(Table1[MonthDate], Table1[Country], Table1[[#This Row],[Country]])</f>
        <v>44927</v>
      </c>
      <c r="AF512" s="12">
        <f t="shared" si="116"/>
        <v>45047</v>
      </c>
      <c r="AG512">
        <f>AD512*(1 + Scenario_Control!$B$4)</f>
        <v>15.400000000000002</v>
      </c>
      <c r="AH512">
        <f>O512*(1 + Scenario_Control!$B$3)</f>
        <v>653.73</v>
      </c>
      <c r="AI512">
        <f t="shared" si="117"/>
        <v>2031.1022732000006</v>
      </c>
      <c r="AJ512">
        <f t="shared" si="118"/>
        <v>-8036.3397268000008</v>
      </c>
      <c r="AK512" s="29">
        <f>MIN(Q512*(1-U512), Scenario_Control!$B$2*Q512)</f>
        <v>166.73800000000003</v>
      </c>
      <c r="AL512" s="15">
        <f t="shared" si="119"/>
        <v>1</v>
      </c>
      <c r="AM512" s="8">
        <f>DATEDIF(Table1[[#This Row],[Country_FirstMonth]], Table1[[#This Row],[MonthDate]], "m")</f>
        <v>4</v>
      </c>
    </row>
    <row r="513" spans="1:39" x14ac:dyDescent="0.25">
      <c r="A513" t="s">
        <v>525</v>
      </c>
      <c r="B513" s="12">
        <v>45353</v>
      </c>
      <c r="C513" s="12">
        <f t="shared" si="105"/>
        <v>45374</v>
      </c>
      <c r="D513" s="2" t="str">
        <f>IF(Table1[[#This Row],[RequiredDate]]&lt;Table1[[#This Row],[OrderDate]],"Check","OK")</f>
        <v>OK</v>
      </c>
      <c r="E513" s="2">
        <v>45374</v>
      </c>
      <c r="F513" s="15">
        <f t="shared" si="106"/>
        <v>21</v>
      </c>
      <c r="G513" t="s">
        <v>648</v>
      </c>
      <c r="H513" t="s">
        <v>660</v>
      </c>
      <c r="I513" t="s">
        <v>677</v>
      </c>
      <c r="J513" t="s">
        <v>705</v>
      </c>
      <c r="K513" t="s">
        <v>708</v>
      </c>
      <c r="L513" t="s">
        <v>721</v>
      </c>
      <c r="M513" t="s">
        <v>727</v>
      </c>
      <c r="N513" t="s">
        <v>1244</v>
      </c>
      <c r="O513" s="29">
        <v>225.01</v>
      </c>
      <c r="P513" t="str">
        <f>IF(Table1[[#This Row],[UnitPrice]]&lt;=0,"Check","OK")</f>
        <v>OK</v>
      </c>
      <c r="Q513" s="29">
        <f t="shared" si="107"/>
        <v>333.48</v>
      </c>
      <c r="R513">
        <v>333.48</v>
      </c>
      <c r="S513" s="5">
        <f>IF(Table1[[#This Row],[Discount_Flag]]="Check", MIN(MAX(Table1[[#This Row],[DiscountPct]],0),0.3), Table1[[#This Row],[DiscountPct]])</f>
        <v>0.11899999999999999</v>
      </c>
      <c r="T513" t="str">
        <f>IF(OR(Table1[[#This Row],[DiscountPct]]&lt;0,Table1[[#This Row],[DiscountPct]]&gt;0.3),"Check","OK")</f>
        <v>OK</v>
      </c>
      <c r="U513" s="11">
        <v>0.11899999999999999</v>
      </c>
      <c r="V513" s="15">
        <f t="shared" si="108"/>
        <v>0</v>
      </c>
      <c r="W513" s="11">
        <f t="shared" si="109"/>
        <v>0.23412813004729685</v>
      </c>
      <c r="X513" s="17">
        <f t="shared" si="110"/>
        <v>2700.12</v>
      </c>
      <c r="Y513" s="17">
        <f t="shared" si="111"/>
        <v>825.43056000000024</v>
      </c>
      <c r="Z513" s="17">
        <f t="shared" si="112"/>
        <v>3525.5505600000001</v>
      </c>
      <c r="AA513" s="17" t="str">
        <f t="shared" si="113"/>
        <v>Q1-2024</v>
      </c>
      <c r="AB513" s="12" t="str">
        <f t="shared" si="114"/>
        <v>Mar-2024</v>
      </c>
      <c r="AC513" s="12" t="str">
        <f t="shared" si="115"/>
        <v>Low</v>
      </c>
      <c r="AD513">
        <v>12</v>
      </c>
      <c r="AE513" s="12">
        <f>_xlfn.MINIFS(Table1[MonthDate], Table1[Country], Table1[[#This Row],[Country]])</f>
        <v>44927</v>
      </c>
      <c r="AF513" s="12">
        <f t="shared" si="116"/>
        <v>45352</v>
      </c>
      <c r="AG513">
        <f>AD513*(1 + Scenario_Control!$B$4)</f>
        <v>13.200000000000001</v>
      </c>
      <c r="AH513">
        <f>O513*(1 + Scenario_Control!$B$3)</f>
        <v>236.26050000000001</v>
      </c>
      <c r="AI513">
        <f t="shared" si="117"/>
        <v>775.62112320000017</v>
      </c>
      <c r="AJ513">
        <f t="shared" si="118"/>
        <v>-2343.0174768000002</v>
      </c>
      <c r="AK513" s="29">
        <f>MIN(Q513*(1-U513), Scenario_Control!$B$2*Q513)</f>
        <v>66.696000000000012</v>
      </c>
      <c r="AL513" s="15">
        <f t="shared" si="119"/>
        <v>0</v>
      </c>
      <c r="AM513" s="8">
        <f>DATEDIF(Table1[[#This Row],[Country_FirstMonth]], Table1[[#This Row],[MonthDate]], "m")</f>
        <v>14</v>
      </c>
    </row>
    <row r="514" spans="1:39" x14ac:dyDescent="0.25">
      <c r="A514" t="s">
        <v>526</v>
      </c>
      <c r="B514" s="12">
        <v>45575</v>
      </c>
      <c r="C514" s="12">
        <f t="shared" ref="C514:C577" si="120">IF(D514="Check",B514+7,E514)</f>
        <v>45576</v>
      </c>
      <c r="D514" s="2" t="str">
        <f>IF(Table1[[#This Row],[RequiredDate]]&lt;Table1[[#This Row],[OrderDate]],"Check","OK")</f>
        <v>OK</v>
      </c>
      <c r="E514" s="2">
        <v>45576</v>
      </c>
      <c r="F514" s="15">
        <f t="shared" ref="F514:F577" si="121">C514-B514</f>
        <v>1</v>
      </c>
      <c r="G514" t="s">
        <v>649</v>
      </c>
      <c r="H514" t="s">
        <v>658</v>
      </c>
      <c r="I514" t="s">
        <v>693</v>
      </c>
      <c r="J514" t="s">
        <v>703</v>
      </c>
      <c r="K514" t="s">
        <v>710</v>
      </c>
      <c r="L514" t="s">
        <v>716</v>
      </c>
      <c r="M514" t="s">
        <v>727</v>
      </c>
      <c r="N514" t="s">
        <v>1245</v>
      </c>
      <c r="O514" s="29">
        <v>1389.46</v>
      </c>
      <c r="P514" t="str">
        <f>IF(Table1[[#This Row],[UnitPrice]]&lt;=0,"Check","OK")</f>
        <v>OK</v>
      </c>
      <c r="Q514" s="29">
        <f t="shared" ref="Q514:Q577" si="122">IF(R514&lt;0,0,R514)</f>
        <v>1784.7</v>
      </c>
      <c r="R514">
        <v>1784.7</v>
      </c>
      <c r="S514" s="5">
        <f>IF(Table1[[#This Row],[Discount_Flag]]="Check", MIN(MAX(Table1[[#This Row],[DiscountPct]],0),0.3), Table1[[#This Row],[DiscountPct]])</f>
        <v>0.14599999999999999</v>
      </c>
      <c r="T514" t="str">
        <f>IF(OR(Table1[[#This Row],[DiscountPct]]&lt;0,Table1[[#This Row],[DiscountPct]]&gt;0.3),"Check","OK")</f>
        <v>OK</v>
      </c>
      <c r="U514" s="11">
        <v>0.14599999999999999</v>
      </c>
      <c r="V514" s="15">
        <f t="shared" ref="V514:V577" si="123">IF(U514&gt;0.2,1,0)</f>
        <v>0</v>
      </c>
      <c r="W514" s="11">
        <f t="shared" ref="W514:W577" si="124">IF(Z514=0, 0, Y514/Z514)</f>
        <v>8.8360877503011831E-2</v>
      </c>
      <c r="X514" s="17">
        <f t="shared" ref="X514:X577" si="125">O514*AD514</f>
        <v>45852.18</v>
      </c>
      <c r="Y514" s="17">
        <f t="shared" ref="Y514:Y577" si="126">Z514-X514</f>
        <v>4444.2353999999978</v>
      </c>
      <c r="Z514" s="17">
        <f t="shared" ref="Z514:Z577" si="127">Q514*AD514*(1-S514)</f>
        <v>50296.415399999998</v>
      </c>
      <c r="AA514" s="17" t="str">
        <f t="shared" ref="AA514:AA577" si="128">"Q"&amp;ROUNDUP(MONTH(B514)/3,0)&amp;"-"&amp;YEAR(B514)</f>
        <v>Q4-2024</v>
      </c>
      <c r="AB514" s="12" t="str">
        <f t="shared" ref="AB514:AB577" si="129">TEXT(B514,"MMM-YYYY")</f>
        <v>Oct-2024</v>
      </c>
      <c r="AC514" s="12" t="str">
        <f t="shared" ref="AC514:AC577" si="130">IF(Q514&lt;=$AE$639,"Low",IF(Q514&lt;=$AE$641,"Medium","High"))</f>
        <v>Medium</v>
      </c>
      <c r="AD514">
        <v>33</v>
      </c>
      <c r="AE514" s="12">
        <f>_xlfn.MINIFS(Table1[MonthDate], Table1[Country], Table1[[#This Row],[Country]])</f>
        <v>44927</v>
      </c>
      <c r="AF514" s="12">
        <f t="shared" ref="AF514:AF577" si="131">DATE(YEAR(B514), MONTH(B514), 1)</f>
        <v>45566</v>
      </c>
      <c r="AG514">
        <f>AD514*(1 + Scenario_Control!$B$4)</f>
        <v>36.300000000000004</v>
      </c>
      <c r="AH514">
        <f>O514*(1 + Scenario_Control!$B$3)</f>
        <v>1458.933</v>
      </c>
      <c r="AI514">
        <f t="shared" ref="AI514:AI577" si="132">AK514 * AG514 * (1 - U514)</f>
        <v>11065.211388000003</v>
      </c>
      <c r="AJ514">
        <f t="shared" ref="AJ514:AJ577" si="133">AI514 - (AH514 * AG514)</f>
        <v>-41894.056512000003</v>
      </c>
      <c r="AK514" s="29">
        <f>MIN(Q514*(1-U514), Scenario_Control!$B$2*Q514)</f>
        <v>356.94000000000005</v>
      </c>
      <c r="AL514" s="15">
        <f t="shared" ref="AL514:AL577" si="134">IF(F514&lt;=7,1,0)</f>
        <v>1</v>
      </c>
      <c r="AM514" s="8">
        <f>DATEDIF(Table1[[#This Row],[Country_FirstMonth]], Table1[[#This Row],[MonthDate]], "m")</f>
        <v>21</v>
      </c>
    </row>
    <row r="515" spans="1:39" x14ac:dyDescent="0.25">
      <c r="A515" t="s">
        <v>527</v>
      </c>
      <c r="B515" s="12">
        <v>45078</v>
      </c>
      <c r="C515" s="12">
        <f t="shared" si="120"/>
        <v>45085</v>
      </c>
      <c r="D515" s="2" t="str">
        <f>IF(Table1[[#This Row],[RequiredDate]]&lt;Table1[[#This Row],[OrderDate]],"Check","OK")</f>
        <v>OK</v>
      </c>
      <c r="E515" s="2">
        <v>45085</v>
      </c>
      <c r="F515" s="15">
        <f t="shared" si="121"/>
        <v>7</v>
      </c>
      <c r="G515" t="s">
        <v>649</v>
      </c>
      <c r="H515" t="s">
        <v>656</v>
      </c>
      <c r="I515" t="s">
        <v>698</v>
      </c>
      <c r="J515" t="s">
        <v>704</v>
      </c>
      <c r="K515" t="s">
        <v>708</v>
      </c>
      <c r="L515" t="s">
        <v>720</v>
      </c>
      <c r="M515" t="s">
        <v>730</v>
      </c>
      <c r="N515" t="s">
        <v>1246</v>
      </c>
      <c r="O515" s="29">
        <v>804.17</v>
      </c>
      <c r="P515" t="str">
        <f>IF(Table1[[#This Row],[UnitPrice]]&lt;=0,"Check","OK")</f>
        <v>OK</v>
      </c>
      <c r="Q515" s="29">
        <f t="shared" si="122"/>
        <v>1072.29</v>
      </c>
      <c r="R515">
        <v>1072.29</v>
      </c>
      <c r="S515" s="5">
        <f>IF(Table1[[#This Row],[Discount_Flag]]="Check", MIN(MAX(Table1[[#This Row],[DiscountPct]],0),0.3), Table1[[#This Row],[DiscountPct]])</f>
        <v>3.2000000000000001E-2</v>
      </c>
      <c r="T515" t="str">
        <f>IF(OR(Table1[[#This Row],[DiscountPct]]&lt;0,Table1[[#This Row],[DiscountPct]]&gt;0.3),"Check","OK")</f>
        <v>OK</v>
      </c>
      <c r="U515" s="11">
        <v>3.2000000000000001E-2</v>
      </c>
      <c r="V515" s="15">
        <f t="shared" si="123"/>
        <v>0</v>
      </c>
      <c r="W515" s="11">
        <f t="shared" si="124"/>
        <v>0.2252523736755869</v>
      </c>
      <c r="X515" s="17">
        <f t="shared" si="125"/>
        <v>4020.85</v>
      </c>
      <c r="Y515" s="17">
        <f t="shared" si="126"/>
        <v>1169.0336000000002</v>
      </c>
      <c r="Z515" s="17">
        <f t="shared" si="127"/>
        <v>5189.8836000000001</v>
      </c>
      <c r="AA515" s="17" t="str">
        <f t="shared" si="128"/>
        <v>Q2-2023</v>
      </c>
      <c r="AB515" s="12" t="str">
        <f t="shared" si="129"/>
        <v>Jun-2023</v>
      </c>
      <c r="AC515" s="12" t="str">
        <f t="shared" si="130"/>
        <v>Medium</v>
      </c>
      <c r="AD515">
        <v>5</v>
      </c>
      <c r="AE515" s="12">
        <f>_xlfn.MINIFS(Table1[MonthDate], Table1[Country], Table1[[#This Row],[Country]])</f>
        <v>44927</v>
      </c>
      <c r="AF515" s="12">
        <f t="shared" si="131"/>
        <v>45078</v>
      </c>
      <c r="AG515">
        <f>AD515*(1 + Scenario_Control!$B$4)</f>
        <v>5.5</v>
      </c>
      <c r="AH515">
        <f>O515*(1 + Scenario_Control!$B$3)</f>
        <v>844.37850000000003</v>
      </c>
      <c r="AI515">
        <f t="shared" si="132"/>
        <v>1141.774392</v>
      </c>
      <c r="AJ515">
        <f t="shared" si="133"/>
        <v>-3502.307358</v>
      </c>
      <c r="AK515" s="29">
        <f>MIN(Q515*(1-U515), Scenario_Control!$B$2*Q515)</f>
        <v>214.458</v>
      </c>
      <c r="AL515" s="15">
        <f t="shared" si="134"/>
        <v>1</v>
      </c>
      <c r="AM515" s="8">
        <f>DATEDIF(Table1[[#This Row],[Country_FirstMonth]], Table1[[#This Row],[MonthDate]], "m")</f>
        <v>5</v>
      </c>
    </row>
    <row r="516" spans="1:39" x14ac:dyDescent="0.25">
      <c r="A516" t="s">
        <v>528</v>
      </c>
      <c r="B516" s="12">
        <v>45661</v>
      </c>
      <c r="C516" s="12">
        <f t="shared" si="120"/>
        <v>45662</v>
      </c>
      <c r="D516" s="2" t="str">
        <f>IF(Table1[[#This Row],[RequiredDate]]&lt;Table1[[#This Row],[OrderDate]],"Check","OK")</f>
        <v>OK</v>
      </c>
      <c r="E516" s="2">
        <v>45662</v>
      </c>
      <c r="F516" s="15">
        <f t="shared" si="121"/>
        <v>1</v>
      </c>
      <c r="G516" t="s">
        <v>647</v>
      </c>
      <c r="H516" t="s">
        <v>654</v>
      </c>
      <c r="I516" t="s">
        <v>680</v>
      </c>
      <c r="J516" t="s">
        <v>702</v>
      </c>
      <c r="K516" t="s">
        <v>707</v>
      </c>
      <c r="L516" t="s">
        <v>714</v>
      </c>
      <c r="M516" t="s">
        <v>727</v>
      </c>
      <c r="N516" t="s">
        <v>1247</v>
      </c>
      <c r="O516" s="29">
        <v>1428.33</v>
      </c>
      <c r="P516" t="str">
        <f>IF(Table1[[#This Row],[UnitPrice]]&lt;=0,"Check","OK")</f>
        <v>OK</v>
      </c>
      <c r="Q516" s="29">
        <f t="shared" si="122"/>
        <v>3028.05</v>
      </c>
      <c r="R516">
        <v>3028.05</v>
      </c>
      <c r="S516" s="5">
        <f>IF(Table1[[#This Row],[Discount_Flag]]="Check", MIN(MAX(Table1[[#This Row],[DiscountPct]],0),0.3), Table1[[#This Row],[DiscountPct]])</f>
        <v>0</v>
      </c>
      <c r="T516" t="str">
        <f>IF(OR(Table1[[#This Row],[DiscountPct]]&lt;0,Table1[[#This Row],[DiscountPct]]&gt;0.3),"Check","OK")</f>
        <v>OK</v>
      </c>
      <c r="U516" s="11">
        <v>0</v>
      </c>
      <c r="V516" s="15">
        <f t="shared" si="123"/>
        <v>0</v>
      </c>
      <c r="W516" s="11">
        <f t="shared" si="124"/>
        <v>0.52830039134096207</v>
      </c>
      <c r="X516" s="17">
        <f t="shared" si="125"/>
        <v>15711.63</v>
      </c>
      <c r="Y516" s="17">
        <f t="shared" si="126"/>
        <v>17596.920000000006</v>
      </c>
      <c r="Z516" s="17">
        <f t="shared" si="127"/>
        <v>33308.550000000003</v>
      </c>
      <c r="AA516" s="17" t="str">
        <f t="shared" si="128"/>
        <v>Q1-2025</v>
      </c>
      <c r="AB516" s="12" t="str">
        <f t="shared" si="129"/>
        <v>Jan-2025</v>
      </c>
      <c r="AC516" s="12" t="str">
        <f t="shared" si="130"/>
        <v>High</v>
      </c>
      <c r="AD516">
        <v>11</v>
      </c>
      <c r="AE516" s="12">
        <f>_xlfn.MINIFS(Table1[MonthDate], Table1[Country], Table1[[#This Row],[Country]])</f>
        <v>44927</v>
      </c>
      <c r="AF516" s="12">
        <f t="shared" si="131"/>
        <v>45658</v>
      </c>
      <c r="AG516">
        <f>AD516*(1 + Scenario_Control!$B$4)</f>
        <v>12.100000000000001</v>
      </c>
      <c r="AH516">
        <f>O516*(1 + Scenario_Control!$B$3)</f>
        <v>1499.7465</v>
      </c>
      <c r="AI516">
        <f t="shared" si="132"/>
        <v>7327.8810000000012</v>
      </c>
      <c r="AJ516">
        <f t="shared" si="133"/>
        <v>-10819.051650000001</v>
      </c>
      <c r="AK516" s="29">
        <f>MIN(Q516*(1-U516), Scenario_Control!$B$2*Q516)</f>
        <v>605.61</v>
      </c>
      <c r="AL516" s="15">
        <f t="shared" si="134"/>
        <v>1</v>
      </c>
      <c r="AM516" s="8">
        <f>DATEDIF(Table1[[#This Row],[Country_FirstMonth]], Table1[[#This Row],[MonthDate]], "m")</f>
        <v>24</v>
      </c>
    </row>
    <row r="517" spans="1:39" x14ac:dyDescent="0.25">
      <c r="A517" t="s">
        <v>529</v>
      </c>
      <c r="B517" s="12">
        <v>45874</v>
      </c>
      <c r="C517" s="12">
        <f t="shared" si="120"/>
        <v>45897</v>
      </c>
      <c r="D517" s="2" t="str">
        <f>IF(Table1[[#This Row],[RequiredDate]]&lt;Table1[[#This Row],[OrderDate]],"Check","OK")</f>
        <v>OK</v>
      </c>
      <c r="E517" s="2">
        <v>45897</v>
      </c>
      <c r="F517" s="15">
        <f t="shared" si="121"/>
        <v>23</v>
      </c>
      <c r="G517" t="s">
        <v>647</v>
      </c>
      <c r="H517" t="s">
        <v>654</v>
      </c>
      <c r="I517" t="s">
        <v>691</v>
      </c>
      <c r="J517" t="s">
        <v>703</v>
      </c>
      <c r="K517" t="s">
        <v>710</v>
      </c>
      <c r="L517" t="s">
        <v>725</v>
      </c>
      <c r="M517" t="s">
        <v>731</v>
      </c>
      <c r="N517" t="s">
        <v>1248</v>
      </c>
      <c r="O517" s="29">
        <v>638.54</v>
      </c>
      <c r="P517" t="str">
        <f>IF(Table1[[#This Row],[UnitPrice]]&lt;=0,"Check","OK")</f>
        <v>OK</v>
      </c>
      <c r="Q517" s="29">
        <f t="shared" si="122"/>
        <v>987.24</v>
      </c>
      <c r="R517">
        <v>987.24</v>
      </c>
      <c r="S517" s="5">
        <f>IF(Table1[[#This Row],[Discount_Flag]]="Check", MIN(MAX(Table1[[#This Row],[DiscountPct]],0),0.3), Table1[[#This Row],[DiscountPct]])</f>
        <v>0</v>
      </c>
      <c r="T517" t="str">
        <f>IF(OR(Table1[[#This Row],[DiscountPct]]&lt;0,Table1[[#This Row],[DiscountPct]]&gt;0.3),"Check","OK")</f>
        <v>OK</v>
      </c>
      <c r="U517" s="11">
        <v>0</v>
      </c>
      <c r="V517" s="15">
        <f t="shared" si="123"/>
        <v>0</v>
      </c>
      <c r="W517" s="11">
        <f t="shared" si="124"/>
        <v>0.35320692030306716</v>
      </c>
      <c r="X517" s="17">
        <f t="shared" si="125"/>
        <v>7023.94</v>
      </c>
      <c r="Y517" s="17">
        <f t="shared" si="126"/>
        <v>3835.7</v>
      </c>
      <c r="Z517" s="17">
        <f t="shared" si="127"/>
        <v>10859.64</v>
      </c>
      <c r="AA517" s="17" t="str">
        <f t="shared" si="128"/>
        <v>Q3-2025</v>
      </c>
      <c r="AB517" s="12" t="str">
        <f t="shared" si="129"/>
        <v>Aug-2025</v>
      </c>
      <c r="AC517" s="12" t="str">
        <f t="shared" si="130"/>
        <v>Medium</v>
      </c>
      <c r="AD517">
        <v>11</v>
      </c>
      <c r="AE517" s="12">
        <f>_xlfn.MINIFS(Table1[MonthDate], Table1[Country], Table1[[#This Row],[Country]])</f>
        <v>44927</v>
      </c>
      <c r="AF517" s="12">
        <f t="shared" si="131"/>
        <v>45870</v>
      </c>
      <c r="AG517">
        <f>AD517*(1 + Scenario_Control!$B$4)</f>
        <v>12.100000000000001</v>
      </c>
      <c r="AH517">
        <f>O517*(1 + Scenario_Control!$B$3)</f>
        <v>670.46699999999998</v>
      </c>
      <c r="AI517">
        <f t="shared" si="132"/>
        <v>2389.1208000000001</v>
      </c>
      <c r="AJ517">
        <f t="shared" si="133"/>
        <v>-5723.5299000000014</v>
      </c>
      <c r="AK517" s="29">
        <f>MIN(Q517*(1-U517), Scenario_Control!$B$2*Q517)</f>
        <v>197.44800000000001</v>
      </c>
      <c r="AL517" s="15">
        <f t="shared" si="134"/>
        <v>0</v>
      </c>
      <c r="AM517" s="8">
        <f>DATEDIF(Table1[[#This Row],[Country_FirstMonth]], Table1[[#This Row],[MonthDate]], "m")</f>
        <v>31</v>
      </c>
    </row>
    <row r="518" spans="1:39" x14ac:dyDescent="0.25">
      <c r="A518" t="s">
        <v>530</v>
      </c>
      <c r="B518" s="12">
        <v>45199</v>
      </c>
      <c r="C518" s="12">
        <f t="shared" si="120"/>
        <v>45229</v>
      </c>
      <c r="D518" s="2" t="str">
        <f>IF(Table1[[#This Row],[RequiredDate]]&lt;Table1[[#This Row],[OrderDate]],"Check","OK")</f>
        <v>OK</v>
      </c>
      <c r="E518" s="2">
        <v>45229</v>
      </c>
      <c r="F518" s="15">
        <f t="shared" si="121"/>
        <v>30</v>
      </c>
      <c r="G518" t="s">
        <v>647</v>
      </c>
      <c r="H518" t="s">
        <v>652</v>
      </c>
      <c r="I518" t="s">
        <v>689</v>
      </c>
      <c r="J518" t="s">
        <v>706</v>
      </c>
      <c r="K518" t="s">
        <v>708</v>
      </c>
      <c r="L518" t="s">
        <v>726</v>
      </c>
      <c r="M518" t="s">
        <v>728</v>
      </c>
      <c r="N518" t="s">
        <v>1249</v>
      </c>
      <c r="O518" s="29">
        <v>649.13</v>
      </c>
      <c r="P518" t="str">
        <f>IF(Table1[[#This Row],[UnitPrice]]&lt;=0,"Check","OK")</f>
        <v>OK</v>
      </c>
      <c r="Q518" s="29">
        <f t="shared" si="122"/>
        <v>975.43</v>
      </c>
      <c r="R518">
        <v>975.43</v>
      </c>
      <c r="S518" s="5">
        <f>IF(Table1[[#This Row],[Discount_Flag]]="Check", MIN(MAX(Table1[[#This Row],[DiscountPct]],0),0.3), Table1[[#This Row],[DiscountPct]])</f>
        <v>0.157</v>
      </c>
      <c r="T518" t="str">
        <f>IF(OR(Table1[[#This Row],[DiscountPct]]&lt;0,Table1[[#This Row],[DiscountPct]]&gt;0.3),"Check","OK")</f>
        <v>OK</v>
      </c>
      <c r="U518" s="11">
        <v>0.157</v>
      </c>
      <c r="V518" s="15">
        <f t="shared" si="123"/>
        <v>0</v>
      </c>
      <c r="W518" s="11">
        <f t="shared" si="124"/>
        <v>0.21058023149543473</v>
      </c>
      <c r="X518" s="17">
        <f t="shared" si="125"/>
        <v>17526.509999999998</v>
      </c>
      <c r="Y518" s="17">
        <f t="shared" si="126"/>
        <v>4675.2522299999982</v>
      </c>
      <c r="Z518" s="17">
        <f t="shared" si="127"/>
        <v>22201.762229999997</v>
      </c>
      <c r="AA518" s="17" t="str">
        <f t="shared" si="128"/>
        <v>Q3-2023</v>
      </c>
      <c r="AB518" s="12" t="str">
        <f t="shared" si="129"/>
        <v>Sept-2023</v>
      </c>
      <c r="AC518" s="12" t="str">
        <f t="shared" si="130"/>
        <v>Medium</v>
      </c>
      <c r="AD518">
        <v>27</v>
      </c>
      <c r="AE518" s="12">
        <f>_xlfn.MINIFS(Table1[MonthDate], Table1[Country], Table1[[#This Row],[Country]])</f>
        <v>44986</v>
      </c>
      <c r="AF518" s="12">
        <f t="shared" si="131"/>
        <v>45170</v>
      </c>
      <c r="AG518">
        <f>AD518*(1 + Scenario_Control!$B$4)</f>
        <v>29.700000000000003</v>
      </c>
      <c r="AH518">
        <f>O518*(1 + Scenario_Control!$B$3)</f>
        <v>681.5865</v>
      </c>
      <c r="AI518">
        <f t="shared" si="132"/>
        <v>4884.3876906000005</v>
      </c>
      <c r="AJ518">
        <f t="shared" si="133"/>
        <v>-15358.731359400001</v>
      </c>
      <c r="AK518" s="29">
        <f>MIN(Q518*(1-U518), Scenario_Control!$B$2*Q518)</f>
        <v>195.08600000000001</v>
      </c>
      <c r="AL518" s="15">
        <f t="shared" si="134"/>
        <v>0</v>
      </c>
      <c r="AM518" s="8">
        <f>DATEDIF(Table1[[#This Row],[Country_FirstMonth]], Table1[[#This Row],[MonthDate]], "m")</f>
        <v>6</v>
      </c>
    </row>
    <row r="519" spans="1:39" x14ac:dyDescent="0.25">
      <c r="A519" t="s">
        <v>531</v>
      </c>
      <c r="B519" s="12">
        <v>45794</v>
      </c>
      <c r="C519" s="12">
        <f t="shared" si="120"/>
        <v>45807</v>
      </c>
      <c r="D519" s="2" t="str">
        <f>IF(Table1[[#This Row],[RequiredDate]]&lt;Table1[[#This Row],[OrderDate]],"Check","OK")</f>
        <v>OK</v>
      </c>
      <c r="E519" s="2">
        <v>45807</v>
      </c>
      <c r="F519" s="15">
        <f t="shared" si="121"/>
        <v>13</v>
      </c>
      <c r="G519" t="s">
        <v>646</v>
      </c>
      <c r="H519" t="s">
        <v>651</v>
      </c>
      <c r="I519" t="s">
        <v>665</v>
      </c>
      <c r="J519" t="s">
        <v>704</v>
      </c>
      <c r="K519" t="s">
        <v>710</v>
      </c>
      <c r="L519" t="s">
        <v>721</v>
      </c>
      <c r="M519" t="s">
        <v>733</v>
      </c>
      <c r="N519" t="s">
        <v>1250</v>
      </c>
      <c r="O519" s="29">
        <v>66.400000000000006</v>
      </c>
      <c r="P519" t="str">
        <f>IF(Table1[[#This Row],[UnitPrice]]&lt;=0,"Check","OK")</f>
        <v>OK</v>
      </c>
      <c r="Q519" s="29">
        <f t="shared" si="122"/>
        <v>141.43</v>
      </c>
      <c r="R519">
        <v>141.43</v>
      </c>
      <c r="S519" s="5">
        <f>IF(Table1[[#This Row],[Discount_Flag]]="Check", MIN(MAX(Table1[[#This Row],[DiscountPct]],0),0.3), Table1[[#This Row],[DiscountPct]])</f>
        <v>0.107</v>
      </c>
      <c r="T519" t="str">
        <f>IF(OR(Table1[[#This Row],[DiscountPct]]&lt;0,Table1[[#This Row],[DiscountPct]]&gt;0.3),"Check","OK")</f>
        <v>OK</v>
      </c>
      <c r="U519" s="11">
        <v>0.107</v>
      </c>
      <c r="V519" s="15">
        <f t="shared" si="123"/>
        <v>0</v>
      </c>
      <c r="W519" s="11">
        <f t="shared" si="124"/>
        <v>0.47425508715607551</v>
      </c>
      <c r="X519" s="17">
        <f t="shared" si="125"/>
        <v>531.20000000000005</v>
      </c>
      <c r="Y519" s="17">
        <f t="shared" si="126"/>
        <v>479.17592000000002</v>
      </c>
      <c r="Z519" s="17">
        <f t="shared" si="127"/>
        <v>1010.3759200000001</v>
      </c>
      <c r="AA519" s="17" t="str">
        <f t="shared" si="128"/>
        <v>Q2-2025</v>
      </c>
      <c r="AB519" s="12" t="str">
        <f t="shared" si="129"/>
        <v>May-2025</v>
      </c>
      <c r="AC519" s="12" t="str">
        <f t="shared" si="130"/>
        <v>Low</v>
      </c>
      <c r="AD519">
        <v>8</v>
      </c>
      <c r="AE519" s="12">
        <f>_xlfn.MINIFS(Table1[MonthDate], Table1[Country], Table1[[#This Row],[Country]])</f>
        <v>44927</v>
      </c>
      <c r="AF519" s="12">
        <f t="shared" si="131"/>
        <v>45778</v>
      </c>
      <c r="AG519">
        <f>AD519*(1 + Scenario_Control!$B$4)</f>
        <v>8.8000000000000007</v>
      </c>
      <c r="AH519">
        <f>O519*(1 + Scenario_Control!$B$3)</f>
        <v>69.720000000000013</v>
      </c>
      <c r="AI519">
        <f t="shared" si="132"/>
        <v>222.28270240000003</v>
      </c>
      <c r="AJ519">
        <f t="shared" si="133"/>
        <v>-391.25329760000011</v>
      </c>
      <c r="AK519" s="29">
        <f>MIN(Q519*(1-U519), Scenario_Control!$B$2*Q519)</f>
        <v>28.286000000000001</v>
      </c>
      <c r="AL519" s="15">
        <f t="shared" si="134"/>
        <v>0</v>
      </c>
      <c r="AM519" s="8">
        <f>DATEDIF(Table1[[#This Row],[Country_FirstMonth]], Table1[[#This Row],[MonthDate]], "m")</f>
        <v>28</v>
      </c>
    </row>
    <row r="520" spans="1:39" x14ac:dyDescent="0.25">
      <c r="A520" t="s">
        <v>532</v>
      </c>
      <c r="B520" s="12">
        <v>45413</v>
      </c>
      <c r="C520" s="12">
        <f t="shared" si="120"/>
        <v>45438</v>
      </c>
      <c r="D520" s="2" t="str">
        <f>IF(Table1[[#This Row],[RequiredDate]]&lt;Table1[[#This Row],[OrderDate]],"Check","OK")</f>
        <v>OK</v>
      </c>
      <c r="E520" s="2">
        <v>45438</v>
      </c>
      <c r="F520" s="15">
        <f t="shared" si="121"/>
        <v>25</v>
      </c>
      <c r="G520" t="s">
        <v>649</v>
      </c>
      <c r="H520" t="s">
        <v>656</v>
      </c>
      <c r="I520" t="s">
        <v>671</v>
      </c>
      <c r="J520" t="s">
        <v>703</v>
      </c>
      <c r="K520" t="s">
        <v>707</v>
      </c>
      <c r="L520" t="s">
        <v>717</v>
      </c>
      <c r="M520" t="s">
        <v>729</v>
      </c>
      <c r="N520" t="s">
        <v>1251</v>
      </c>
      <c r="O520" s="29">
        <v>930.71</v>
      </c>
      <c r="P520" t="str">
        <f>IF(Table1[[#This Row],[UnitPrice]]&lt;=0,"Check","OK")</f>
        <v>OK</v>
      </c>
      <c r="Q520" s="29">
        <f t="shared" si="122"/>
        <v>1625.42</v>
      </c>
      <c r="R520">
        <v>1625.42</v>
      </c>
      <c r="S520" s="5">
        <f>IF(Table1[[#This Row],[Discount_Flag]]="Check", MIN(MAX(Table1[[#This Row],[DiscountPct]],0),0.3), Table1[[#This Row],[DiscountPct]])</f>
        <v>0.13800000000000001</v>
      </c>
      <c r="T520" t="str">
        <f>IF(OR(Table1[[#This Row],[DiscountPct]]&lt;0,Table1[[#This Row],[DiscountPct]]&gt;0.3),"Check","OK")</f>
        <v>OK</v>
      </c>
      <c r="U520" s="11">
        <v>0.13800000000000001</v>
      </c>
      <c r="V520" s="15">
        <f t="shared" si="123"/>
        <v>0</v>
      </c>
      <c r="W520" s="11">
        <f t="shared" si="124"/>
        <v>0.33573477821231196</v>
      </c>
      <c r="X520" s="17">
        <f t="shared" si="125"/>
        <v>6514.97</v>
      </c>
      <c r="Y520" s="17">
        <f t="shared" si="126"/>
        <v>3292.8142799999996</v>
      </c>
      <c r="Z520" s="17">
        <f t="shared" si="127"/>
        <v>9807.7842799999999</v>
      </c>
      <c r="AA520" s="17" t="str">
        <f t="shared" si="128"/>
        <v>Q2-2024</v>
      </c>
      <c r="AB520" s="12" t="str">
        <f t="shared" si="129"/>
        <v>May-2024</v>
      </c>
      <c r="AC520" s="12" t="str">
        <f t="shared" si="130"/>
        <v>Medium</v>
      </c>
      <c r="AD520">
        <v>7</v>
      </c>
      <c r="AE520" s="12">
        <f>_xlfn.MINIFS(Table1[MonthDate], Table1[Country], Table1[[#This Row],[Country]])</f>
        <v>44927</v>
      </c>
      <c r="AF520" s="12">
        <f t="shared" si="131"/>
        <v>45413</v>
      </c>
      <c r="AG520">
        <f>AD520*(1 + Scenario_Control!$B$4)</f>
        <v>7.7000000000000011</v>
      </c>
      <c r="AH520">
        <f>O520*(1 + Scenario_Control!$B$3)</f>
        <v>977.24550000000011</v>
      </c>
      <c r="AI520">
        <f t="shared" si="132"/>
        <v>2157.7125416000008</v>
      </c>
      <c r="AJ520">
        <f t="shared" si="133"/>
        <v>-5367.0778084000012</v>
      </c>
      <c r="AK520" s="29">
        <f>MIN(Q520*(1-U520), Scenario_Control!$B$2*Q520)</f>
        <v>325.08400000000006</v>
      </c>
      <c r="AL520" s="15">
        <f t="shared" si="134"/>
        <v>0</v>
      </c>
      <c r="AM520" s="8">
        <f>DATEDIF(Table1[[#This Row],[Country_FirstMonth]], Table1[[#This Row],[MonthDate]], "m")</f>
        <v>16</v>
      </c>
    </row>
    <row r="521" spans="1:39" x14ac:dyDescent="0.25">
      <c r="A521" t="s">
        <v>533</v>
      </c>
      <c r="B521" s="12">
        <v>45047</v>
      </c>
      <c r="C521" s="12">
        <f t="shared" si="120"/>
        <v>45064</v>
      </c>
      <c r="D521" s="2" t="str">
        <f>IF(Table1[[#This Row],[RequiredDate]]&lt;Table1[[#This Row],[OrderDate]],"Check","OK")</f>
        <v>OK</v>
      </c>
      <c r="E521" s="2">
        <v>45064</v>
      </c>
      <c r="F521" s="15">
        <f t="shared" si="121"/>
        <v>17</v>
      </c>
      <c r="G521" t="s">
        <v>646</v>
      </c>
      <c r="H521" t="s">
        <v>651</v>
      </c>
      <c r="I521" t="s">
        <v>663</v>
      </c>
      <c r="J521" t="s">
        <v>701</v>
      </c>
      <c r="K521" t="s">
        <v>711</v>
      </c>
      <c r="L521" t="s">
        <v>721</v>
      </c>
      <c r="M521" t="s">
        <v>727</v>
      </c>
      <c r="N521" t="s">
        <v>1252</v>
      </c>
      <c r="O521" s="29">
        <v>327.97</v>
      </c>
      <c r="P521" t="str">
        <f>IF(Table1[[#This Row],[UnitPrice]]&lt;=0,"Check","OK")</f>
        <v>OK</v>
      </c>
      <c r="Q521" s="29">
        <f t="shared" si="122"/>
        <v>299.94</v>
      </c>
      <c r="R521">
        <v>299.94</v>
      </c>
      <c r="S521" s="5">
        <f>IF(Table1[[#This Row],[Discount_Flag]]="Check", MIN(MAX(Table1[[#This Row],[DiscountPct]],0),0.3), Table1[[#This Row],[DiscountPct]])</f>
        <v>4.9000000000000002E-2</v>
      </c>
      <c r="T521" t="str">
        <f>IF(OR(Table1[[#This Row],[DiscountPct]]&lt;0,Table1[[#This Row],[DiscountPct]]&gt;0.3),"Check","OK")</f>
        <v>OK</v>
      </c>
      <c r="U521" s="11">
        <v>4.9000000000000002E-2</v>
      </c>
      <c r="V521" s="15">
        <f t="shared" si="123"/>
        <v>0</v>
      </c>
      <c r="W521" s="11">
        <f t="shared" si="124"/>
        <v>-0.14979182306843442</v>
      </c>
      <c r="X521" s="17">
        <f t="shared" si="125"/>
        <v>983.91000000000008</v>
      </c>
      <c r="Y521" s="17">
        <f t="shared" si="126"/>
        <v>-128.18118000000015</v>
      </c>
      <c r="Z521" s="17">
        <f t="shared" si="127"/>
        <v>855.72881999999993</v>
      </c>
      <c r="AA521" s="17" t="str">
        <f t="shared" si="128"/>
        <v>Q2-2023</v>
      </c>
      <c r="AB521" s="12" t="str">
        <f t="shared" si="129"/>
        <v>May-2023</v>
      </c>
      <c r="AC521" s="12" t="str">
        <f t="shared" si="130"/>
        <v>Low</v>
      </c>
      <c r="AD521">
        <v>3</v>
      </c>
      <c r="AE521" s="12">
        <f>_xlfn.MINIFS(Table1[MonthDate], Table1[Country], Table1[[#This Row],[Country]])</f>
        <v>44927</v>
      </c>
      <c r="AF521" s="12">
        <f t="shared" si="131"/>
        <v>45047</v>
      </c>
      <c r="AG521">
        <f>AD521*(1 + Scenario_Control!$B$4)</f>
        <v>3.3000000000000003</v>
      </c>
      <c r="AH521">
        <f>O521*(1 + Scenario_Control!$B$3)</f>
        <v>344.36850000000004</v>
      </c>
      <c r="AI521">
        <f t="shared" si="132"/>
        <v>188.26034040000002</v>
      </c>
      <c r="AJ521">
        <f t="shared" si="133"/>
        <v>-948.15570960000025</v>
      </c>
      <c r="AK521" s="29">
        <f>MIN(Q521*(1-U521), Scenario_Control!$B$2*Q521)</f>
        <v>59.988</v>
      </c>
      <c r="AL521" s="15">
        <f t="shared" si="134"/>
        <v>0</v>
      </c>
      <c r="AM521" s="8">
        <f>DATEDIF(Table1[[#This Row],[Country_FirstMonth]], Table1[[#This Row],[MonthDate]], "m")</f>
        <v>4</v>
      </c>
    </row>
    <row r="522" spans="1:39" x14ac:dyDescent="0.25">
      <c r="A522" t="s">
        <v>534</v>
      </c>
      <c r="B522" s="12">
        <v>45482</v>
      </c>
      <c r="C522" s="12">
        <f t="shared" si="120"/>
        <v>45512</v>
      </c>
      <c r="D522" s="2" t="str">
        <f>IF(Table1[[#This Row],[RequiredDate]]&lt;Table1[[#This Row],[OrderDate]],"Check","OK")</f>
        <v>OK</v>
      </c>
      <c r="E522" s="2">
        <v>45512</v>
      </c>
      <c r="F522" s="15">
        <f t="shared" si="121"/>
        <v>30</v>
      </c>
      <c r="G522" t="s">
        <v>649</v>
      </c>
      <c r="H522" t="s">
        <v>657</v>
      </c>
      <c r="I522" t="s">
        <v>673</v>
      </c>
      <c r="J522" t="s">
        <v>701</v>
      </c>
      <c r="K522" t="s">
        <v>711</v>
      </c>
      <c r="L522" t="s">
        <v>713</v>
      </c>
      <c r="M522" t="s">
        <v>727</v>
      </c>
      <c r="N522" t="s">
        <v>1253</v>
      </c>
      <c r="O522" s="29">
        <v>1062.3800000000001</v>
      </c>
      <c r="P522" t="str">
        <f>IF(Table1[[#This Row],[UnitPrice]]&lt;=0,"Check","OK")</f>
        <v>OK</v>
      </c>
      <c r="Q522" s="29">
        <f t="shared" si="122"/>
        <v>1503.96</v>
      </c>
      <c r="R522">
        <v>1503.96</v>
      </c>
      <c r="S522" s="5">
        <f>IF(Table1[[#This Row],[Discount_Flag]]="Check", MIN(MAX(Table1[[#This Row],[DiscountPct]],0),0.3), Table1[[#This Row],[DiscountPct]])</f>
        <v>0.18</v>
      </c>
      <c r="T522" t="str">
        <f>IF(OR(Table1[[#This Row],[DiscountPct]]&lt;0,Table1[[#This Row],[DiscountPct]]&gt;0.3),"Check","OK")</f>
        <v>OK</v>
      </c>
      <c r="U522" s="11">
        <v>0.18</v>
      </c>
      <c r="V522" s="15">
        <f t="shared" si="123"/>
        <v>0</v>
      </c>
      <c r="W522" s="11">
        <f t="shared" si="124"/>
        <v>0.13855064905073369</v>
      </c>
      <c r="X522" s="17">
        <f t="shared" si="125"/>
        <v>6374.2800000000007</v>
      </c>
      <c r="Y522" s="17">
        <f t="shared" si="126"/>
        <v>1025.2031999999999</v>
      </c>
      <c r="Z522" s="17">
        <f t="shared" si="127"/>
        <v>7399.4832000000006</v>
      </c>
      <c r="AA522" s="17" t="str">
        <f t="shared" si="128"/>
        <v>Q3-2024</v>
      </c>
      <c r="AB522" s="12" t="str">
        <f t="shared" si="129"/>
        <v>Jul-2024</v>
      </c>
      <c r="AC522" s="12" t="str">
        <f t="shared" si="130"/>
        <v>Medium</v>
      </c>
      <c r="AD522">
        <v>6</v>
      </c>
      <c r="AE522" s="12">
        <f>_xlfn.MINIFS(Table1[MonthDate], Table1[Country], Table1[[#This Row],[Country]])</f>
        <v>44927</v>
      </c>
      <c r="AF522" s="12">
        <f t="shared" si="131"/>
        <v>45474</v>
      </c>
      <c r="AG522">
        <f>AD522*(1 + Scenario_Control!$B$4)</f>
        <v>6.6000000000000005</v>
      </c>
      <c r="AH522">
        <f>O522*(1 + Scenario_Control!$B$3)</f>
        <v>1115.4990000000003</v>
      </c>
      <c r="AI522">
        <f t="shared" si="132"/>
        <v>1627.8863040000003</v>
      </c>
      <c r="AJ522">
        <f t="shared" si="133"/>
        <v>-5734.4070960000017</v>
      </c>
      <c r="AK522" s="29">
        <f>MIN(Q522*(1-U522), Scenario_Control!$B$2*Q522)</f>
        <v>300.79200000000003</v>
      </c>
      <c r="AL522" s="15">
        <f t="shared" si="134"/>
        <v>0</v>
      </c>
      <c r="AM522" s="8">
        <f>DATEDIF(Table1[[#This Row],[Country_FirstMonth]], Table1[[#This Row],[MonthDate]], "m")</f>
        <v>18</v>
      </c>
    </row>
    <row r="523" spans="1:39" x14ac:dyDescent="0.25">
      <c r="A523" t="s">
        <v>535</v>
      </c>
      <c r="B523" s="12">
        <v>45056</v>
      </c>
      <c r="C523" s="12">
        <f t="shared" si="120"/>
        <v>45073</v>
      </c>
      <c r="D523" s="2" t="str">
        <f>IF(Table1[[#This Row],[RequiredDate]]&lt;Table1[[#This Row],[OrderDate]],"Check","OK")</f>
        <v>OK</v>
      </c>
      <c r="E523" s="2">
        <v>45073</v>
      </c>
      <c r="F523" s="15">
        <f t="shared" si="121"/>
        <v>17</v>
      </c>
      <c r="G523" t="s">
        <v>647</v>
      </c>
      <c r="H523" t="s">
        <v>654</v>
      </c>
      <c r="I523" t="s">
        <v>691</v>
      </c>
      <c r="J523" t="s">
        <v>704</v>
      </c>
      <c r="K523" t="s">
        <v>707</v>
      </c>
      <c r="L523" t="s">
        <v>724</v>
      </c>
      <c r="M523" t="s">
        <v>731</v>
      </c>
      <c r="N523" t="s">
        <v>1254</v>
      </c>
      <c r="O523" s="29">
        <v>1286.1600000000001</v>
      </c>
      <c r="P523" t="str">
        <f>IF(Table1[[#This Row],[UnitPrice]]&lt;=0,"Check","OK")</f>
        <v>OK</v>
      </c>
      <c r="Q523" s="29">
        <f t="shared" si="122"/>
        <v>3101.11</v>
      </c>
      <c r="R523">
        <v>3101.11</v>
      </c>
      <c r="S523" s="5">
        <f>IF(Table1[[#This Row],[Discount_Flag]]="Check", MIN(MAX(Table1[[#This Row],[DiscountPct]],0),0.3), Table1[[#This Row],[DiscountPct]])</f>
        <v>0.1</v>
      </c>
      <c r="T523" t="str">
        <f>IF(OR(Table1[[#This Row],[DiscountPct]]&lt;0,Table1[[#This Row],[DiscountPct]]&gt;0.3),"Check","OK")</f>
        <v>OK</v>
      </c>
      <c r="U523" s="11">
        <v>0.1</v>
      </c>
      <c r="V523" s="15">
        <f t="shared" si="123"/>
        <v>0</v>
      </c>
      <c r="W523" s="11">
        <f t="shared" si="124"/>
        <v>0.53917575749758417</v>
      </c>
      <c r="X523" s="17">
        <f t="shared" si="125"/>
        <v>29581.68</v>
      </c>
      <c r="Y523" s="17">
        <f t="shared" si="126"/>
        <v>34611.296999999999</v>
      </c>
      <c r="Z523" s="17">
        <f t="shared" si="127"/>
        <v>64192.976999999999</v>
      </c>
      <c r="AA523" s="17" t="str">
        <f t="shared" si="128"/>
        <v>Q2-2023</v>
      </c>
      <c r="AB523" s="12" t="str">
        <f t="shared" si="129"/>
        <v>May-2023</v>
      </c>
      <c r="AC523" s="12" t="str">
        <f t="shared" si="130"/>
        <v>High</v>
      </c>
      <c r="AD523">
        <v>23</v>
      </c>
      <c r="AE523" s="12">
        <f>_xlfn.MINIFS(Table1[MonthDate], Table1[Country], Table1[[#This Row],[Country]])</f>
        <v>44927</v>
      </c>
      <c r="AF523" s="12">
        <f t="shared" si="131"/>
        <v>45047</v>
      </c>
      <c r="AG523">
        <f>AD523*(1 + Scenario_Control!$B$4)</f>
        <v>25.3</v>
      </c>
      <c r="AH523">
        <f>O523*(1 + Scenario_Control!$B$3)</f>
        <v>1350.4680000000001</v>
      </c>
      <c r="AI523">
        <f t="shared" si="132"/>
        <v>14122.454940000003</v>
      </c>
      <c r="AJ523">
        <f t="shared" si="133"/>
        <v>-20044.385459999998</v>
      </c>
      <c r="AK523" s="29">
        <f>MIN(Q523*(1-U523), Scenario_Control!$B$2*Q523)</f>
        <v>620.22200000000009</v>
      </c>
      <c r="AL523" s="15">
        <f t="shared" si="134"/>
        <v>0</v>
      </c>
      <c r="AM523" s="8">
        <f>DATEDIF(Table1[[#This Row],[Country_FirstMonth]], Table1[[#This Row],[MonthDate]], "m")</f>
        <v>4</v>
      </c>
    </row>
    <row r="524" spans="1:39" x14ac:dyDescent="0.25">
      <c r="A524" t="s">
        <v>536</v>
      </c>
      <c r="B524" s="12">
        <v>45482</v>
      </c>
      <c r="C524" s="12">
        <f t="shared" si="120"/>
        <v>45485</v>
      </c>
      <c r="D524" s="2" t="str">
        <f>IF(Table1[[#This Row],[RequiredDate]]&lt;Table1[[#This Row],[OrderDate]],"Check","OK")</f>
        <v>OK</v>
      </c>
      <c r="E524" s="2">
        <v>45485</v>
      </c>
      <c r="F524" s="15">
        <f t="shared" si="121"/>
        <v>3</v>
      </c>
      <c r="G524" t="s">
        <v>647</v>
      </c>
      <c r="H524" t="s">
        <v>659</v>
      </c>
      <c r="I524" t="s">
        <v>685</v>
      </c>
      <c r="J524" t="s">
        <v>705</v>
      </c>
      <c r="K524" t="s">
        <v>707</v>
      </c>
      <c r="L524" t="s">
        <v>726</v>
      </c>
      <c r="M524" t="s">
        <v>733</v>
      </c>
      <c r="N524" t="s">
        <v>1255</v>
      </c>
      <c r="O524" s="29">
        <v>748.39</v>
      </c>
      <c r="P524" t="str">
        <f>IF(Table1[[#This Row],[UnitPrice]]&lt;=0,"Check","OK")</f>
        <v>OK</v>
      </c>
      <c r="Q524" s="29">
        <f t="shared" si="122"/>
        <v>979.42</v>
      </c>
      <c r="R524">
        <v>979.42</v>
      </c>
      <c r="S524" s="5">
        <f>IF(Table1[[#This Row],[Discount_Flag]]="Check", MIN(MAX(Table1[[#This Row],[DiscountPct]],0),0.3), Table1[[#This Row],[DiscountPct]])</f>
        <v>0</v>
      </c>
      <c r="T524" t="str">
        <f>IF(OR(Table1[[#This Row],[DiscountPct]]&lt;0,Table1[[#This Row],[DiscountPct]]&gt;0.3),"Check","OK")</f>
        <v>OK</v>
      </c>
      <c r="U524" s="11">
        <v>0</v>
      </c>
      <c r="V524" s="15">
        <f t="shared" si="123"/>
        <v>0</v>
      </c>
      <c r="W524" s="11">
        <f t="shared" si="124"/>
        <v>0.23588450307324738</v>
      </c>
      <c r="X524" s="17">
        <f t="shared" si="125"/>
        <v>17212.97</v>
      </c>
      <c r="Y524" s="17">
        <f t="shared" si="126"/>
        <v>5313.6899999999987</v>
      </c>
      <c r="Z524" s="17">
        <f t="shared" si="127"/>
        <v>22526.66</v>
      </c>
      <c r="AA524" s="17" t="str">
        <f t="shared" si="128"/>
        <v>Q3-2024</v>
      </c>
      <c r="AB524" s="12" t="str">
        <f t="shared" si="129"/>
        <v>Jul-2024</v>
      </c>
      <c r="AC524" s="12" t="str">
        <f t="shared" si="130"/>
        <v>Medium</v>
      </c>
      <c r="AD524">
        <v>23</v>
      </c>
      <c r="AE524" s="12">
        <f>_xlfn.MINIFS(Table1[MonthDate], Table1[Country], Table1[[#This Row],[Country]])</f>
        <v>44927</v>
      </c>
      <c r="AF524" s="12">
        <f t="shared" si="131"/>
        <v>45474</v>
      </c>
      <c r="AG524">
        <f>AD524*(1 + Scenario_Control!$B$4)</f>
        <v>25.3</v>
      </c>
      <c r="AH524">
        <f>O524*(1 + Scenario_Control!$B$3)</f>
        <v>785.80950000000007</v>
      </c>
      <c r="AI524">
        <f t="shared" si="132"/>
        <v>4955.8652000000002</v>
      </c>
      <c r="AJ524">
        <f t="shared" si="133"/>
        <v>-14925.115150000001</v>
      </c>
      <c r="AK524" s="29">
        <f>MIN(Q524*(1-U524), Scenario_Control!$B$2*Q524)</f>
        <v>195.88400000000001</v>
      </c>
      <c r="AL524" s="15">
        <f t="shared" si="134"/>
        <v>1</v>
      </c>
      <c r="AM524" s="8">
        <f>DATEDIF(Table1[[#This Row],[Country_FirstMonth]], Table1[[#This Row],[MonthDate]], "m")</f>
        <v>18</v>
      </c>
    </row>
    <row r="525" spans="1:39" x14ac:dyDescent="0.25">
      <c r="A525" t="s">
        <v>537</v>
      </c>
      <c r="B525" s="12">
        <v>45406</v>
      </c>
      <c r="C525" s="12">
        <f t="shared" si="120"/>
        <v>45422</v>
      </c>
      <c r="D525" s="2" t="str">
        <f>IF(Table1[[#This Row],[RequiredDate]]&lt;Table1[[#This Row],[OrderDate]],"Check","OK")</f>
        <v>OK</v>
      </c>
      <c r="E525" s="2">
        <v>45422</v>
      </c>
      <c r="F525" s="15">
        <f t="shared" si="121"/>
        <v>16</v>
      </c>
      <c r="G525" t="s">
        <v>646</v>
      </c>
      <c r="H525" t="s">
        <v>650</v>
      </c>
      <c r="I525" t="s">
        <v>662</v>
      </c>
      <c r="J525" t="s">
        <v>703</v>
      </c>
      <c r="K525" t="s">
        <v>708</v>
      </c>
      <c r="L525" t="s">
        <v>725</v>
      </c>
      <c r="M525" t="s">
        <v>732</v>
      </c>
      <c r="N525" t="s">
        <v>1256</v>
      </c>
      <c r="O525" s="29">
        <v>513.30999999999995</v>
      </c>
      <c r="P525" t="str">
        <f>IF(Table1[[#This Row],[UnitPrice]]&lt;=0,"Check","OK")</f>
        <v>OK</v>
      </c>
      <c r="Q525" s="29">
        <f t="shared" si="122"/>
        <v>1186.26</v>
      </c>
      <c r="R525">
        <v>1186.26</v>
      </c>
      <c r="S525" s="5">
        <f>IF(Table1[[#This Row],[Discount_Flag]]="Check", MIN(MAX(Table1[[#This Row],[DiscountPct]],0),0.3), Table1[[#This Row],[DiscountPct]])</f>
        <v>9.4E-2</v>
      </c>
      <c r="T525" t="str">
        <f>IF(OR(Table1[[#This Row],[DiscountPct]]&lt;0,Table1[[#This Row],[DiscountPct]]&gt;0.3),"Check","OK")</f>
        <v>OK</v>
      </c>
      <c r="U525" s="11">
        <v>9.4E-2</v>
      </c>
      <c r="V525" s="15">
        <f t="shared" si="123"/>
        <v>0</v>
      </c>
      <c r="W525" s="11">
        <f t="shared" si="124"/>
        <v>0.52239194702820446</v>
      </c>
      <c r="X525" s="17">
        <f t="shared" si="125"/>
        <v>7699.65</v>
      </c>
      <c r="Y525" s="17">
        <f t="shared" si="126"/>
        <v>8421.6234000000022</v>
      </c>
      <c r="Z525" s="17">
        <f t="shared" si="127"/>
        <v>16121.273400000002</v>
      </c>
      <c r="AA525" s="17" t="str">
        <f t="shared" si="128"/>
        <v>Q2-2024</v>
      </c>
      <c r="AB525" s="12" t="str">
        <f t="shared" si="129"/>
        <v>Apr-2024</v>
      </c>
      <c r="AC525" s="12" t="str">
        <f t="shared" si="130"/>
        <v>Medium</v>
      </c>
      <c r="AD525">
        <v>15</v>
      </c>
      <c r="AE525" s="12">
        <f>_xlfn.MINIFS(Table1[MonthDate], Table1[Country], Table1[[#This Row],[Country]])</f>
        <v>44927</v>
      </c>
      <c r="AF525" s="12">
        <f t="shared" si="131"/>
        <v>45383</v>
      </c>
      <c r="AG525">
        <f>AD525*(1 + Scenario_Control!$B$4)</f>
        <v>16.5</v>
      </c>
      <c r="AH525">
        <f>O525*(1 + Scenario_Control!$B$3)</f>
        <v>538.97550000000001</v>
      </c>
      <c r="AI525">
        <f t="shared" si="132"/>
        <v>3546.6801480000004</v>
      </c>
      <c r="AJ525">
        <f t="shared" si="133"/>
        <v>-5346.415602</v>
      </c>
      <c r="AK525" s="29">
        <f>MIN(Q525*(1-U525), Scenario_Control!$B$2*Q525)</f>
        <v>237.25200000000001</v>
      </c>
      <c r="AL525" s="15">
        <f t="shared" si="134"/>
        <v>0</v>
      </c>
      <c r="AM525" s="8">
        <f>DATEDIF(Table1[[#This Row],[Country_FirstMonth]], Table1[[#This Row],[MonthDate]], "m")</f>
        <v>15</v>
      </c>
    </row>
    <row r="526" spans="1:39" x14ac:dyDescent="0.25">
      <c r="A526" t="s">
        <v>538</v>
      </c>
      <c r="B526" s="12">
        <v>45304</v>
      </c>
      <c r="C526" s="12">
        <f t="shared" si="120"/>
        <v>45306</v>
      </c>
      <c r="D526" s="2" t="str">
        <f>IF(Table1[[#This Row],[RequiredDate]]&lt;Table1[[#This Row],[OrderDate]],"Check","OK")</f>
        <v>OK</v>
      </c>
      <c r="E526" s="2">
        <v>45306</v>
      </c>
      <c r="F526" s="15">
        <f t="shared" si="121"/>
        <v>2</v>
      </c>
      <c r="G526" t="s">
        <v>648</v>
      </c>
      <c r="H526" t="s">
        <v>660</v>
      </c>
      <c r="I526" t="s">
        <v>686</v>
      </c>
      <c r="J526" t="s">
        <v>703</v>
      </c>
      <c r="K526" t="s">
        <v>711</v>
      </c>
      <c r="L526" t="s">
        <v>718</v>
      </c>
      <c r="M526" t="s">
        <v>727</v>
      </c>
      <c r="N526" t="s">
        <v>1257</v>
      </c>
      <c r="O526" s="29">
        <v>1061.3699999999999</v>
      </c>
      <c r="P526" t="str">
        <f>IF(Table1[[#This Row],[UnitPrice]]&lt;=0,"Check","OK")</f>
        <v>OK</v>
      </c>
      <c r="Q526" s="29">
        <f t="shared" si="122"/>
        <v>1938.33</v>
      </c>
      <c r="R526">
        <v>1938.33</v>
      </c>
      <c r="S526" s="5">
        <f>IF(Table1[[#This Row],[Discount_Flag]]="Check", MIN(MAX(Table1[[#This Row],[DiscountPct]],0),0.3), Table1[[#This Row],[DiscountPct]])</f>
        <v>0.17</v>
      </c>
      <c r="T526" t="str">
        <f>IF(OR(Table1[[#This Row],[DiscountPct]]&lt;0,Table1[[#This Row],[DiscountPct]]&gt;0.3),"Check","OK")</f>
        <v>OK</v>
      </c>
      <c r="U526" s="11">
        <v>0.17</v>
      </c>
      <c r="V526" s="15">
        <f t="shared" si="123"/>
        <v>0</v>
      </c>
      <c r="W526" s="11">
        <f t="shared" si="124"/>
        <v>0.34027795259600879</v>
      </c>
      <c r="X526" s="17">
        <f t="shared" si="125"/>
        <v>4245.4799999999996</v>
      </c>
      <c r="Y526" s="17">
        <f t="shared" si="126"/>
        <v>2189.7755999999999</v>
      </c>
      <c r="Z526" s="17">
        <f t="shared" si="127"/>
        <v>6435.2555999999995</v>
      </c>
      <c r="AA526" s="17" t="str">
        <f t="shared" si="128"/>
        <v>Q1-2024</v>
      </c>
      <c r="AB526" s="12" t="str">
        <f t="shared" si="129"/>
        <v>Jan-2024</v>
      </c>
      <c r="AC526" s="12" t="str">
        <f t="shared" si="130"/>
        <v>High</v>
      </c>
      <c r="AD526">
        <v>4</v>
      </c>
      <c r="AE526" s="12">
        <f>_xlfn.MINIFS(Table1[MonthDate], Table1[Country], Table1[[#This Row],[Country]])</f>
        <v>44927</v>
      </c>
      <c r="AF526" s="12">
        <f t="shared" si="131"/>
        <v>45292</v>
      </c>
      <c r="AG526">
        <f>AD526*(1 + Scenario_Control!$B$4)</f>
        <v>4.4000000000000004</v>
      </c>
      <c r="AH526">
        <f>O526*(1 + Scenario_Control!$B$3)</f>
        <v>1114.4385</v>
      </c>
      <c r="AI526">
        <f t="shared" si="132"/>
        <v>1415.756232</v>
      </c>
      <c r="AJ526">
        <f t="shared" si="133"/>
        <v>-3487.7731680000006</v>
      </c>
      <c r="AK526" s="29">
        <f>MIN(Q526*(1-U526), Scenario_Control!$B$2*Q526)</f>
        <v>387.666</v>
      </c>
      <c r="AL526" s="15">
        <f t="shared" si="134"/>
        <v>1</v>
      </c>
      <c r="AM526" s="8">
        <f>DATEDIF(Table1[[#This Row],[Country_FirstMonth]], Table1[[#This Row],[MonthDate]], "m")</f>
        <v>12</v>
      </c>
    </row>
    <row r="527" spans="1:39" x14ac:dyDescent="0.25">
      <c r="A527" t="s">
        <v>539</v>
      </c>
      <c r="B527" s="12">
        <v>45398</v>
      </c>
      <c r="C527" s="12">
        <f t="shared" si="120"/>
        <v>45409</v>
      </c>
      <c r="D527" s="2" t="str">
        <f>IF(Table1[[#This Row],[RequiredDate]]&lt;Table1[[#This Row],[OrderDate]],"Check","OK")</f>
        <v>OK</v>
      </c>
      <c r="E527" s="2">
        <v>45409</v>
      </c>
      <c r="F527" s="15">
        <f t="shared" si="121"/>
        <v>11</v>
      </c>
      <c r="G527" t="s">
        <v>646</v>
      </c>
      <c r="H527" t="s">
        <v>650</v>
      </c>
      <c r="I527" t="s">
        <v>678</v>
      </c>
      <c r="J527" t="s">
        <v>706</v>
      </c>
      <c r="K527" t="s">
        <v>708</v>
      </c>
      <c r="L527" t="s">
        <v>726</v>
      </c>
      <c r="M527" t="s">
        <v>728</v>
      </c>
      <c r="N527" t="s">
        <v>1258</v>
      </c>
      <c r="O527" s="29">
        <v>401.3</v>
      </c>
      <c r="P527" t="str">
        <f>IF(Table1[[#This Row],[UnitPrice]]&lt;=0,"Check","OK")</f>
        <v>OK</v>
      </c>
      <c r="Q527" s="29">
        <f t="shared" si="122"/>
        <v>826.47</v>
      </c>
      <c r="R527">
        <v>826.47</v>
      </c>
      <c r="S527" s="5">
        <f>IF(Table1[[#This Row],[Discount_Flag]]="Check", MIN(MAX(Table1[[#This Row],[DiscountPct]],0),0.3), Table1[[#This Row],[DiscountPct]])</f>
        <v>0.22500000000000001</v>
      </c>
      <c r="T527" t="str">
        <f>IF(OR(Table1[[#This Row],[DiscountPct]]&lt;0,Table1[[#This Row],[DiscountPct]]&gt;0.3),"Check","OK")</f>
        <v>OK</v>
      </c>
      <c r="U527" s="11">
        <v>0.22500000000000001</v>
      </c>
      <c r="V527" s="15">
        <f t="shared" si="123"/>
        <v>1</v>
      </c>
      <c r="W527" s="11">
        <f t="shared" si="124"/>
        <v>0.37347217489696755</v>
      </c>
      <c r="X527" s="17">
        <f t="shared" si="125"/>
        <v>5216.9000000000005</v>
      </c>
      <c r="Y527" s="17">
        <f t="shared" si="126"/>
        <v>3109.7852499999999</v>
      </c>
      <c r="Z527" s="17">
        <f t="shared" si="127"/>
        <v>8326.6852500000005</v>
      </c>
      <c r="AA527" s="17" t="str">
        <f t="shared" si="128"/>
        <v>Q2-2024</v>
      </c>
      <c r="AB527" s="12" t="str">
        <f t="shared" si="129"/>
        <v>Apr-2024</v>
      </c>
      <c r="AC527" s="12" t="str">
        <f t="shared" si="130"/>
        <v>Medium</v>
      </c>
      <c r="AD527">
        <v>13</v>
      </c>
      <c r="AE527" s="12">
        <f>_xlfn.MINIFS(Table1[MonthDate], Table1[Country], Table1[[#This Row],[Country]])</f>
        <v>44927</v>
      </c>
      <c r="AF527" s="12">
        <f t="shared" si="131"/>
        <v>45383</v>
      </c>
      <c r="AG527">
        <f>AD527*(1 + Scenario_Control!$B$4)</f>
        <v>14.3</v>
      </c>
      <c r="AH527">
        <f>O527*(1 + Scenario_Control!$B$3)</f>
        <v>421.36500000000001</v>
      </c>
      <c r="AI527">
        <f t="shared" si="132"/>
        <v>1831.8707550000001</v>
      </c>
      <c r="AJ527">
        <f t="shared" si="133"/>
        <v>-4193.6487450000004</v>
      </c>
      <c r="AK527" s="29">
        <f>MIN(Q527*(1-U527), Scenario_Control!$B$2*Q527)</f>
        <v>165.29400000000001</v>
      </c>
      <c r="AL527" s="15">
        <f t="shared" si="134"/>
        <v>0</v>
      </c>
      <c r="AM527" s="8">
        <f>DATEDIF(Table1[[#This Row],[Country_FirstMonth]], Table1[[#This Row],[MonthDate]], "m")</f>
        <v>15</v>
      </c>
    </row>
    <row r="528" spans="1:39" x14ac:dyDescent="0.25">
      <c r="A528" t="s">
        <v>540</v>
      </c>
      <c r="B528" s="12">
        <v>45695</v>
      </c>
      <c r="C528" s="12">
        <f t="shared" si="120"/>
        <v>45704</v>
      </c>
      <c r="D528" s="2" t="str">
        <f>IF(Table1[[#This Row],[RequiredDate]]&lt;Table1[[#This Row],[OrderDate]],"Check","OK")</f>
        <v>OK</v>
      </c>
      <c r="E528" s="2">
        <v>45704</v>
      </c>
      <c r="F528" s="15">
        <f t="shared" si="121"/>
        <v>9</v>
      </c>
      <c r="G528" t="s">
        <v>646</v>
      </c>
      <c r="H528" t="s">
        <v>651</v>
      </c>
      <c r="I528" t="s">
        <v>665</v>
      </c>
      <c r="J528" t="s">
        <v>705</v>
      </c>
      <c r="K528" t="s">
        <v>710</v>
      </c>
      <c r="L528" t="s">
        <v>712</v>
      </c>
      <c r="M528" t="s">
        <v>728</v>
      </c>
      <c r="N528" t="s">
        <v>1259</v>
      </c>
      <c r="O528" s="29">
        <v>90.68</v>
      </c>
      <c r="P528" t="str">
        <f>IF(Table1[[#This Row],[UnitPrice]]&lt;=0,"Check","OK")</f>
        <v>OK</v>
      </c>
      <c r="Q528" s="29">
        <f t="shared" si="122"/>
        <v>118.17</v>
      </c>
      <c r="R528">
        <v>118.17</v>
      </c>
      <c r="S528" s="5">
        <f>IF(Table1[[#This Row],[Discount_Flag]]="Check", MIN(MAX(Table1[[#This Row],[DiscountPct]],0),0.3), Table1[[#This Row],[DiscountPct]])</f>
        <v>0.13500000000000001</v>
      </c>
      <c r="T528" t="str">
        <f>IF(OR(Table1[[#This Row],[DiscountPct]]&lt;0,Table1[[#This Row],[DiscountPct]]&gt;0.3),"Check","OK")</f>
        <v>OK</v>
      </c>
      <c r="U528" s="11">
        <v>0.13500000000000001</v>
      </c>
      <c r="V528" s="15">
        <f t="shared" si="123"/>
        <v>0</v>
      </c>
      <c r="W528" s="11">
        <f t="shared" si="124"/>
        <v>0.11286815653552899</v>
      </c>
      <c r="X528" s="17">
        <f t="shared" si="125"/>
        <v>1904.2800000000002</v>
      </c>
      <c r="Y528" s="17">
        <f t="shared" si="126"/>
        <v>242.27804999999989</v>
      </c>
      <c r="Z528" s="17">
        <f t="shared" si="127"/>
        <v>2146.5580500000001</v>
      </c>
      <c r="AA528" s="17" t="str">
        <f t="shared" si="128"/>
        <v>Q1-2025</v>
      </c>
      <c r="AB528" s="12" t="str">
        <f t="shared" si="129"/>
        <v>Feb-2025</v>
      </c>
      <c r="AC528" s="12" t="str">
        <f t="shared" si="130"/>
        <v>Low</v>
      </c>
      <c r="AD528">
        <v>21</v>
      </c>
      <c r="AE528" s="12">
        <f>_xlfn.MINIFS(Table1[MonthDate], Table1[Country], Table1[[#This Row],[Country]])</f>
        <v>44927</v>
      </c>
      <c r="AF528" s="12">
        <f t="shared" si="131"/>
        <v>45689</v>
      </c>
      <c r="AG528">
        <f>AD528*(1 + Scenario_Control!$B$4)</f>
        <v>23.1</v>
      </c>
      <c r="AH528">
        <f>O528*(1 + Scenario_Control!$B$3)</f>
        <v>95.214000000000013</v>
      </c>
      <c r="AI528">
        <f t="shared" si="132"/>
        <v>472.24277100000006</v>
      </c>
      <c r="AJ528">
        <f t="shared" si="133"/>
        <v>-1727.2006290000004</v>
      </c>
      <c r="AK528" s="29">
        <f>MIN(Q528*(1-U528), Scenario_Control!$B$2*Q528)</f>
        <v>23.634</v>
      </c>
      <c r="AL528" s="15">
        <f t="shared" si="134"/>
        <v>0</v>
      </c>
      <c r="AM528" s="8">
        <f>DATEDIF(Table1[[#This Row],[Country_FirstMonth]], Table1[[#This Row],[MonthDate]], "m")</f>
        <v>25</v>
      </c>
    </row>
    <row r="529" spans="1:39" x14ac:dyDescent="0.25">
      <c r="A529" t="s">
        <v>541</v>
      </c>
      <c r="B529" s="12">
        <v>44938</v>
      </c>
      <c r="C529" s="12">
        <f t="shared" si="120"/>
        <v>44952</v>
      </c>
      <c r="D529" s="2" t="str">
        <f>IF(Table1[[#This Row],[RequiredDate]]&lt;Table1[[#This Row],[OrderDate]],"Check","OK")</f>
        <v>OK</v>
      </c>
      <c r="E529" s="2">
        <v>44952</v>
      </c>
      <c r="F529" s="15">
        <f t="shared" si="121"/>
        <v>14</v>
      </c>
      <c r="G529" t="s">
        <v>647</v>
      </c>
      <c r="H529" t="s">
        <v>659</v>
      </c>
      <c r="I529" t="s">
        <v>676</v>
      </c>
      <c r="J529" t="s">
        <v>703</v>
      </c>
      <c r="K529" t="s">
        <v>707</v>
      </c>
      <c r="L529" t="s">
        <v>724</v>
      </c>
      <c r="M529" t="s">
        <v>728</v>
      </c>
      <c r="N529" t="s">
        <v>1260</v>
      </c>
      <c r="O529" s="29">
        <v>1083.0899999999999</v>
      </c>
      <c r="P529" t="str">
        <f>IF(Table1[[#This Row],[UnitPrice]]&lt;=0,"Check","OK")</f>
        <v>OK</v>
      </c>
      <c r="Q529" s="29">
        <f t="shared" si="122"/>
        <v>1425.87</v>
      </c>
      <c r="R529">
        <v>1425.87</v>
      </c>
      <c r="S529" s="5">
        <f>IF(Table1[[#This Row],[Discount_Flag]]="Check", MIN(MAX(Table1[[#This Row],[DiscountPct]],0),0.3), Table1[[#This Row],[DiscountPct]])</f>
        <v>0</v>
      </c>
      <c r="T529" t="str">
        <f>IF(OR(Table1[[#This Row],[DiscountPct]]&lt;0,Table1[[#This Row],[DiscountPct]]&gt;0.3),"Check","OK")</f>
        <v>OK</v>
      </c>
      <c r="U529" s="11">
        <v>0</v>
      </c>
      <c r="V529" s="15">
        <f t="shared" si="123"/>
        <v>0</v>
      </c>
      <c r="W529" s="11">
        <f t="shared" si="124"/>
        <v>0.24040059752992909</v>
      </c>
      <c r="X529" s="17">
        <f t="shared" si="125"/>
        <v>8664.7199999999993</v>
      </c>
      <c r="Y529" s="17">
        <f t="shared" si="126"/>
        <v>2742.24</v>
      </c>
      <c r="Z529" s="17">
        <f t="shared" si="127"/>
        <v>11406.96</v>
      </c>
      <c r="AA529" s="17" t="str">
        <f t="shared" si="128"/>
        <v>Q1-2023</v>
      </c>
      <c r="AB529" s="12" t="str">
        <f t="shared" si="129"/>
        <v>Jan-2023</v>
      </c>
      <c r="AC529" s="12" t="str">
        <f t="shared" si="130"/>
        <v>Medium</v>
      </c>
      <c r="AD529">
        <v>8</v>
      </c>
      <c r="AE529" s="12">
        <f>_xlfn.MINIFS(Table1[MonthDate], Table1[Country], Table1[[#This Row],[Country]])</f>
        <v>44927</v>
      </c>
      <c r="AF529" s="12">
        <f t="shared" si="131"/>
        <v>44927</v>
      </c>
      <c r="AG529">
        <f>AD529*(1 + Scenario_Control!$B$4)</f>
        <v>8.8000000000000007</v>
      </c>
      <c r="AH529">
        <f>O529*(1 + Scenario_Control!$B$3)</f>
        <v>1137.2445</v>
      </c>
      <c r="AI529">
        <f t="shared" si="132"/>
        <v>2509.5311999999999</v>
      </c>
      <c r="AJ529">
        <f t="shared" si="133"/>
        <v>-7498.220400000002</v>
      </c>
      <c r="AK529" s="29">
        <f>MIN(Q529*(1-U529), Scenario_Control!$B$2*Q529)</f>
        <v>285.17399999999998</v>
      </c>
      <c r="AL529" s="15">
        <f t="shared" si="134"/>
        <v>0</v>
      </c>
      <c r="AM529" s="8">
        <f>DATEDIF(Table1[[#This Row],[Country_FirstMonth]], Table1[[#This Row],[MonthDate]], "m")</f>
        <v>0</v>
      </c>
    </row>
    <row r="530" spans="1:39" x14ac:dyDescent="0.25">
      <c r="A530" t="s">
        <v>542</v>
      </c>
      <c r="B530" s="12">
        <v>45448</v>
      </c>
      <c r="C530" s="12">
        <f t="shared" si="120"/>
        <v>45466</v>
      </c>
      <c r="D530" s="2" t="str">
        <f>IF(Table1[[#This Row],[RequiredDate]]&lt;Table1[[#This Row],[OrderDate]],"Check","OK")</f>
        <v>OK</v>
      </c>
      <c r="E530" s="2">
        <v>45466</v>
      </c>
      <c r="F530" s="15">
        <f t="shared" si="121"/>
        <v>18</v>
      </c>
      <c r="G530" t="s">
        <v>646</v>
      </c>
      <c r="H530" t="s">
        <v>650</v>
      </c>
      <c r="I530" t="s">
        <v>664</v>
      </c>
      <c r="J530" t="s">
        <v>704</v>
      </c>
      <c r="K530" t="s">
        <v>710</v>
      </c>
      <c r="L530" t="s">
        <v>726</v>
      </c>
      <c r="M530" t="s">
        <v>731</v>
      </c>
      <c r="N530" t="s">
        <v>1261</v>
      </c>
      <c r="O530" s="29">
        <v>1208.74</v>
      </c>
      <c r="P530" t="str">
        <f>IF(Table1[[#This Row],[UnitPrice]]&lt;=0,"Check","OK")</f>
        <v>OK</v>
      </c>
      <c r="Q530" s="29">
        <f t="shared" si="122"/>
        <v>1594.78</v>
      </c>
      <c r="R530">
        <v>1594.78</v>
      </c>
      <c r="S530" s="5">
        <f>IF(Table1[[#This Row],[Discount_Flag]]="Check", MIN(MAX(Table1[[#This Row],[DiscountPct]],0),0.3), Table1[[#This Row],[DiscountPct]])</f>
        <v>5.8999999999999997E-2</v>
      </c>
      <c r="T530" t="str">
        <f>IF(OR(Table1[[#This Row],[DiscountPct]]&lt;0,Table1[[#This Row],[DiscountPct]]&gt;0.3),"Check","OK")</f>
        <v>OK</v>
      </c>
      <c r="U530" s="11">
        <v>5.8999999999999997E-2</v>
      </c>
      <c r="V530" s="15">
        <f t="shared" si="123"/>
        <v>0</v>
      </c>
      <c r="W530" s="11">
        <f t="shared" si="124"/>
        <v>0.1945427589817838</v>
      </c>
      <c r="X530" s="17">
        <f t="shared" si="125"/>
        <v>47140.86</v>
      </c>
      <c r="Y530" s="17">
        <f t="shared" si="126"/>
        <v>11385.971219999999</v>
      </c>
      <c r="Z530" s="17">
        <f t="shared" si="127"/>
        <v>58526.83122</v>
      </c>
      <c r="AA530" s="17" t="str">
        <f t="shared" si="128"/>
        <v>Q2-2024</v>
      </c>
      <c r="AB530" s="12" t="str">
        <f t="shared" si="129"/>
        <v>Jun-2024</v>
      </c>
      <c r="AC530" s="12" t="str">
        <f t="shared" si="130"/>
        <v>Medium</v>
      </c>
      <c r="AD530">
        <v>39</v>
      </c>
      <c r="AE530" s="12">
        <f>_xlfn.MINIFS(Table1[MonthDate], Table1[Country], Table1[[#This Row],[Country]])</f>
        <v>44927</v>
      </c>
      <c r="AF530" s="12">
        <f t="shared" si="131"/>
        <v>45444</v>
      </c>
      <c r="AG530">
        <f>AD530*(1 + Scenario_Control!$B$4)</f>
        <v>42.900000000000006</v>
      </c>
      <c r="AH530">
        <f>O530*(1 + Scenario_Control!$B$3)</f>
        <v>1269.1770000000001</v>
      </c>
      <c r="AI530">
        <f t="shared" si="132"/>
        <v>12875.902868400002</v>
      </c>
      <c r="AJ530">
        <f t="shared" si="133"/>
        <v>-41571.790431600013</v>
      </c>
      <c r="AK530" s="29">
        <f>MIN(Q530*(1-U530), Scenario_Control!$B$2*Q530)</f>
        <v>318.95600000000002</v>
      </c>
      <c r="AL530" s="15">
        <f t="shared" si="134"/>
        <v>0</v>
      </c>
      <c r="AM530" s="8">
        <f>DATEDIF(Table1[[#This Row],[Country_FirstMonth]], Table1[[#This Row],[MonthDate]], "m")</f>
        <v>17</v>
      </c>
    </row>
    <row r="531" spans="1:39" x14ac:dyDescent="0.25">
      <c r="A531" t="s">
        <v>543</v>
      </c>
      <c r="B531" s="12">
        <v>45162</v>
      </c>
      <c r="C531" s="12">
        <f t="shared" si="120"/>
        <v>45189</v>
      </c>
      <c r="D531" s="2" t="str">
        <f>IF(Table1[[#This Row],[RequiredDate]]&lt;Table1[[#This Row],[OrderDate]],"Check","OK")</f>
        <v>OK</v>
      </c>
      <c r="E531" s="2">
        <v>45189</v>
      </c>
      <c r="F531" s="15">
        <f t="shared" si="121"/>
        <v>27</v>
      </c>
      <c r="G531" t="s">
        <v>646</v>
      </c>
      <c r="H531" t="s">
        <v>661</v>
      </c>
      <c r="I531" t="s">
        <v>687</v>
      </c>
      <c r="J531" t="s">
        <v>705</v>
      </c>
      <c r="K531" t="s">
        <v>709</v>
      </c>
      <c r="L531" t="s">
        <v>724</v>
      </c>
      <c r="M531" t="s">
        <v>728</v>
      </c>
      <c r="N531" t="s">
        <v>1262</v>
      </c>
      <c r="O531" s="29">
        <v>1399.64</v>
      </c>
      <c r="P531" t="str">
        <f>IF(Table1[[#This Row],[UnitPrice]]&lt;=0,"Check","OK")</f>
        <v>OK</v>
      </c>
      <c r="Q531" s="29">
        <f t="shared" si="122"/>
        <v>3342.11</v>
      </c>
      <c r="R531">
        <v>3342.11</v>
      </c>
      <c r="S531" s="5">
        <f>IF(Table1[[#This Row],[Discount_Flag]]="Check", MIN(MAX(Table1[[#This Row],[DiscountPct]],0),0.3), Table1[[#This Row],[DiscountPct]])</f>
        <v>0</v>
      </c>
      <c r="T531" t="str">
        <f>IF(OR(Table1[[#This Row],[DiscountPct]]&lt;0,Table1[[#This Row],[DiscountPct]]&gt;0.3),"Check","OK")</f>
        <v>OK</v>
      </c>
      <c r="U531" s="11">
        <v>0</v>
      </c>
      <c r="V531" s="15">
        <f t="shared" si="123"/>
        <v>0</v>
      </c>
      <c r="W531" s="11">
        <f t="shared" si="124"/>
        <v>0.58121067229983447</v>
      </c>
      <c r="X531" s="17">
        <f t="shared" si="125"/>
        <v>13996.400000000001</v>
      </c>
      <c r="Y531" s="17">
        <f t="shared" si="126"/>
        <v>19424.699999999997</v>
      </c>
      <c r="Z531" s="17">
        <f t="shared" si="127"/>
        <v>33421.1</v>
      </c>
      <c r="AA531" s="17" t="str">
        <f t="shared" si="128"/>
        <v>Q3-2023</v>
      </c>
      <c r="AB531" s="12" t="str">
        <f t="shared" si="129"/>
        <v>Aug-2023</v>
      </c>
      <c r="AC531" s="12" t="str">
        <f t="shared" si="130"/>
        <v>High</v>
      </c>
      <c r="AD531">
        <v>10</v>
      </c>
      <c r="AE531" s="12">
        <f>_xlfn.MINIFS(Table1[MonthDate], Table1[Country], Table1[[#This Row],[Country]])</f>
        <v>44927</v>
      </c>
      <c r="AF531" s="12">
        <f t="shared" si="131"/>
        <v>45139</v>
      </c>
      <c r="AG531">
        <f>AD531*(1 + Scenario_Control!$B$4)</f>
        <v>11</v>
      </c>
      <c r="AH531">
        <f>O531*(1 + Scenario_Control!$B$3)</f>
        <v>1469.6220000000001</v>
      </c>
      <c r="AI531">
        <f t="shared" si="132"/>
        <v>7352.6419999999998</v>
      </c>
      <c r="AJ531">
        <f t="shared" si="133"/>
        <v>-8813.2000000000007</v>
      </c>
      <c r="AK531" s="29">
        <f>MIN(Q531*(1-U531), Scenario_Control!$B$2*Q531)</f>
        <v>668.42200000000003</v>
      </c>
      <c r="AL531" s="15">
        <f t="shared" si="134"/>
        <v>0</v>
      </c>
      <c r="AM531" s="8">
        <f>DATEDIF(Table1[[#This Row],[Country_FirstMonth]], Table1[[#This Row],[MonthDate]], "m")</f>
        <v>7</v>
      </c>
    </row>
    <row r="532" spans="1:39" x14ac:dyDescent="0.25">
      <c r="A532" t="s">
        <v>544</v>
      </c>
      <c r="B532" s="12">
        <v>45316</v>
      </c>
      <c r="C532" s="12">
        <f t="shared" si="120"/>
        <v>45330</v>
      </c>
      <c r="D532" s="2" t="str">
        <f>IF(Table1[[#This Row],[RequiredDate]]&lt;Table1[[#This Row],[OrderDate]],"Check","OK")</f>
        <v>OK</v>
      </c>
      <c r="E532" s="2">
        <v>45330</v>
      </c>
      <c r="F532" s="15">
        <f t="shared" si="121"/>
        <v>14</v>
      </c>
      <c r="G532" t="s">
        <v>647</v>
      </c>
      <c r="H532" t="s">
        <v>652</v>
      </c>
      <c r="I532" t="s">
        <v>666</v>
      </c>
      <c r="J532" t="s">
        <v>704</v>
      </c>
      <c r="K532" t="s">
        <v>709</v>
      </c>
      <c r="L532" t="s">
        <v>714</v>
      </c>
      <c r="M532" t="s">
        <v>729</v>
      </c>
      <c r="N532" t="s">
        <v>1263</v>
      </c>
      <c r="O532" s="29">
        <v>937.16</v>
      </c>
      <c r="P532" t="str">
        <f>IF(Table1[[#This Row],[UnitPrice]]&lt;=0,"Check","OK")</f>
        <v>OK</v>
      </c>
      <c r="Q532" s="29">
        <f t="shared" si="122"/>
        <v>1069.77</v>
      </c>
      <c r="R532">
        <v>1069.77</v>
      </c>
      <c r="S532" s="5">
        <f>IF(Table1[[#This Row],[Discount_Flag]]="Check", MIN(MAX(Table1[[#This Row],[DiscountPct]],0),0.3), Table1[[#This Row],[DiscountPct]])</f>
        <v>3.7999999999999999E-2</v>
      </c>
      <c r="T532" t="str">
        <f>IF(OR(Table1[[#This Row],[DiscountPct]]&lt;0,Table1[[#This Row],[DiscountPct]]&gt;0.3),"Check","OK")</f>
        <v>OK</v>
      </c>
      <c r="U532" s="11">
        <v>3.7999999999999999E-2</v>
      </c>
      <c r="V532" s="15">
        <f t="shared" si="123"/>
        <v>0</v>
      </c>
      <c r="W532" s="11">
        <f t="shared" si="124"/>
        <v>8.9356783066645962E-2</v>
      </c>
      <c r="X532" s="17">
        <f t="shared" si="125"/>
        <v>8434.44</v>
      </c>
      <c r="Y532" s="17">
        <f t="shared" si="126"/>
        <v>827.62866000000031</v>
      </c>
      <c r="Z532" s="17">
        <f t="shared" si="127"/>
        <v>9262.0686600000008</v>
      </c>
      <c r="AA532" s="17" t="str">
        <f t="shared" si="128"/>
        <v>Q1-2024</v>
      </c>
      <c r="AB532" s="12" t="str">
        <f t="shared" si="129"/>
        <v>Jan-2024</v>
      </c>
      <c r="AC532" s="12" t="str">
        <f t="shared" si="130"/>
        <v>Medium</v>
      </c>
      <c r="AD532">
        <v>9</v>
      </c>
      <c r="AE532" s="12">
        <f>_xlfn.MINIFS(Table1[MonthDate], Table1[Country], Table1[[#This Row],[Country]])</f>
        <v>44986</v>
      </c>
      <c r="AF532" s="12">
        <f t="shared" si="131"/>
        <v>45292</v>
      </c>
      <c r="AG532">
        <f>AD532*(1 + Scenario_Control!$B$4)</f>
        <v>9.9</v>
      </c>
      <c r="AH532">
        <f>O532*(1 + Scenario_Control!$B$3)</f>
        <v>984.01800000000003</v>
      </c>
      <c r="AI532">
        <f t="shared" si="132"/>
        <v>2037.6551052</v>
      </c>
      <c r="AJ532">
        <f t="shared" si="133"/>
        <v>-7704.1230948000011</v>
      </c>
      <c r="AK532" s="29">
        <f>MIN(Q532*(1-U532), Scenario_Control!$B$2*Q532)</f>
        <v>213.95400000000001</v>
      </c>
      <c r="AL532" s="15">
        <f t="shared" si="134"/>
        <v>0</v>
      </c>
      <c r="AM532" s="8">
        <f>DATEDIF(Table1[[#This Row],[Country_FirstMonth]], Table1[[#This Row],[MonthDate]], "m")</f>
        <v>10</v>
      </c>
    </row>
    <row r="533" spans="1:39" x14ac:dyDescent="0.25">
      <c r="A533" t="s">
        <v>545</v>
      </c>
      <c r="B533" s="12">
        <v>45727</v>
      </c>
      <c r="C533" s="12">
        <f t="shared" si="120"/>
        <v>45742</v>
      </c>
      <c r="D533" s="2" t="str">
        <f>IF(Table1[[#This Row],[RequiredDate]]&lt;Table1[[#This Row],[OrderDate]],"Check","OK")</f>
        <v>OK</v>
      </c>
      <c r="E533" s="2">
        <v>45742</v>
      </c>
      <c r="F533" s="15">
        <f t="shared" si="121"/>
        <v>15</v>
      </c>
      <c r="G533" t="s">
        <v>649</v>
      </c>
      <c r="H533" t="s">
        <v>656</v>
      </c>
      <c r="I533" t="s">
        <v>671</v>
      </c>
      <c r="J533" t="s">
        <v>705</v>
      </c>
      <c r="K533" t="s">
        <v>708</v>
      </c>
      <c r="L533" t="s">
        <v>714</v>
      </c>
      <c r="M533" t="s">
        <v>730</v>
      </c>
      <c r="N533" t="s">
        <v>1264</v>
      </c>
      <c r="O533" s="29">
        <v>116.97</v>
      </c>
      <c r="P533" t="str">
        <f>IF(Table1[[#This Row],[UnitPrice]]&lt;=0,"Check","OK")</f>
        <v>OK</v>
      </c>
      <c r="Q533" s="29">
        <f t="shared" si="122"/>
        <v>140.82</v>
      </c>
      <c r="R533">
        <v>140.82</v>
      </c>
      <c r="S533" s="5">
        <f>IF(Table1[[#This Row],[Discount_Flag]]="Check", MIN(MAX(Table1[[#This Row],[DiscountPct]],0),0.3), Table1[[#This Row],[DiscountPct]])</f>
        <v>0.122</v>
      </c>
      <c r="T533" t="str">
        <f>IF(OR(Table1[[#This Row],[DiscountPct]]&lt;0,Table1[[#This Row],[DiscountPct]]&gt;0.3),"Check","OK")</f>
        <v>OK</v>
      </c>
      <c r="U533" s="11">
        <v>0.122</v>
      </c>
      <c r="V533" s="15">
        <f t="shared" si="123"/>
        <v>0</v>
      </c>
      <c r="W533" s="11">
        <f t="shared" si="124"/>
        <v>5.3946636669891926E-2</v>
      </c>
      <c r="X533" s="17">
        <f t="shared" si="125"/>
        <v>584.85</v>
      </c>
      <c r="Y533" s="17">
        <f t="shared" si="126"/>
        <v>33.349799999999846</v>
      </c>
      <c r="Z533" s="17">
        <f t="shared" si="127"/>
        <v>618.19979999999987</v>
      </c>
      <c r="AA533" s="17" t="str">
        <f t="shared" si="128"/>
        <v>Q1-2025</v>
      </c>
      <c r="AB533" s="12" t="str">
        <f t="shared" si="129"/>
        <v>Mar-2025</v>
      </c>
      <c r="AC533" s="12" t="str">
        <f t="shared" si="130"/>
        <v>Low</v>
      </c>
      <c r="AD533">
        <v>5</v>
      </c>
      <c r="AE533" s="12">
        <f>_xlfn.MINIFS(Table1[MonthDate], Table1[Country], Table1[[#This Row],[Country]])</f>
        <v>44927</v>
      </c>
      <c r="AF533" s="12">
        <f t="shared" si="131"/>
        <v>45717</v>
      </c>
      <c r="AG533">
        <f>AD533*(1 + Scenario_Control!$B$4)</f>
        <v>5.5</v>
      </c>
      <c r="AH533">
        <f>O533*(1 + Scenario_Control!$B$3)</f>
        <v>122.8185</v>
      </c>
      <c r="AI533">
        <f t="shared" si="132"/>
        <v>136.00395600000002</v>
      </c>
      <c r="AJ533">
        <f t="shared" si="133"/>
        <v>-539.497794</v>
      </c>
      <c r="AK533" s="29">
        <f>MIN(Q533*(1-U533), Scenario_Control!$B$2*Q533)</f>
        <v>28.164000000000001</v>
      </c>
      <c r="AL533" s="15">
        <f t="shared" si="134"/>
        <v>0</v>
      </c>
      <c r="AM533" s="8">
        <f>DATEDIF(Table1[[#This Row],[Country_FirstMonth]], Table1[[#This Row],[MonthDate]], "m")</f>
        <v>26</v>
      </c>
    </row>
    <row r="534" spans="1:39" x14ac:dyDescent="0.25">
      <c r="A534" t="s">
        <v>546</v>
      </c>
      <c r="B534" s="12">
        <v>45769</v>
      </c>
      <c r="C534" s="12">
        <f t="shared" si="120"/>
        <v>45789</v>
      </c>
      <c r="D534" s="2" t="str">
        <f>IF(Table1[[#This Row],[RequiredDate]]&lt;Table1[[#This Row],[OrderDate]],"Check","OK")</f>
        <v>OK</v>
      </c>
      <c r="E534" s="2">
        <v>45789</v>
      </c>
      <c r="F534" s="15">
        <f t="shared" si="121"/>
        <v>20</v>
      </c>
      <c r="G534" t="s">
        <v>649</v>
      </c>
      <c r="H534" t="s">
        <v>657</v>
      </c>
      <c r="I534" t="s">
        <v>679</v>
      </c>
      <c r="J534" t="s">
        <v>706</v>
      </c>
      <c r="K534" t="s">
        <v>709</v>
      </c>
      <c r="L534" t="s">
        <v>723</v>
      </c>
      <c r="M534" t="s">
        <v>732</v>
      </c>
      <c r="N534" t="s">
        <v>1265</v>
      </c>
      <c r="O534" s="29">
        <v>59.51</v>
      </c>
      <c r="P534" t="str">
        <f>IF(Table1[[#This Row],[UnitPrice]]&lt;=0,"Check","OK")</f>
        <v>OK</v>
      </c>
      <c r="Q534" s="29">
        <f t="shared" si="122"/>
        <v>67.040000000000006</v>
      </c>
      <c r="R534">
        <v>67.040000000000006</v>
      </c>
      <c r="S534" s="5">
        <f>IF(Table1[[#This Row],[Discount_Flag]]="Check", MIN(MAX(Table1[[#This Row],[DiscountPct]],0),0.3), Table1[[#This Row],[DiscountPct]])</f>
        <v>0.114</v>
      </c>
      <c r="T534" t="str">
        <f>IF(OR(Table1[[#This Row],[DiscountPct]]&lt;0,Table1[[#This Row],[DiscountPct]]&gt;0.3),"Check","OK")</f>
        <v>OK</v>
      </c>
      <c r="U534" s="11">
        <v>0.114</v>
      </c>
      <c r="V534" s="15">
        <f t="shared" si="123"/>
        <v>0</v>
      </c>
      <c r="W534" s="11">
        <f t="shared" si="124"/>
        <v>-1.8950311663264469E-3</v>
      </c>
      <c r="X534" s="17">
        <f t="shared" si="125"/>
        <v>535.59</v>
      </c>
      <c r="Y534" s="17">
        <f t="shared" si="126"/>
        <v>-1.0130400000000463</v>
      </c>
      <c r="Z534" s="17">
        <f t="shared" si="127"/>
        <v>534.57695999999999</v>
      </c>
      <c r="AA534" s="17" t="str">
        <f t="shared" si="128"/>
        <v>Q2-2025</v>
      </c>
      <c r="AB534" s="12" t="str">
        <f t="shared" si="129"/>
        <v>Apr-2025</v>
      </c>
      <c r="AC534" s="12" t="str">
        <f t="shared" si="130"/>
        <v>Low</v>
      </c>
      <c r="AD534">
        <v>9</v>
      </c>
      <c r="AE534" s="12">
        <f>_xlfn.MINIFS(Table1[MonthDate], Table1[Country], Table1[[#This Row],[Country]])</f>
        <v>44927</v>
      </c>
      <c r="AF534" s="12">
        <f t="shared" si="131"/>
        <v>45748</v>
      </c>
      <c r="AG534">
        <f>AD534*(1 + Scenario_Control!$B$4)</f>
        <v>9.9</v>
      </c>
      <c r="AH534">
        <f>O534*(1 + Scenario_Control!$B$3)</f>
        <v>62.485500000000002</v>
      </c>
      <c r="AI534">
        <f t="shared" si="132"/>
        <v>117.60693120000001</v>
      </c>
      <c r="AJ534">
        <f t="shared" si="133"/>
        <v>-500.99951879999998</v>
      </c>
      <c r="AK534" s="29">
        <f>MIN(Q534*(1-U534), Scenario_Control!$B$2*Q534)</f>
        <v>13.408000000000001</v>
      </c>
      <c r="AL534" s="15">
        <f t="shared" si="134"/>
        <v>0</v>
      </c>
      <c r="AM534" s="8">
        <f>DATEDIF(Table1[[#This Row],[Country_FirstMonth]], Table1[[#This Row],[MonthDate]], "m")</f>
        <v>27</v>
      </c>
    </row>
    <row r="535" spans="1:39" x14ac:dyDescent="0.25">
      <c r="A535" t="s">
        <v>547</v>
      </c>
      <c r="B535" s="12">
        <v>45155</v>
      </c>
      <c r="C535" s="12">
        <f t="shared" si="120"/>
        <v>45172</v>
      </c>
      <c r="D535" s="2" t="str">
        <f>IF(Table1[[#This Row],[RequiredDate]]&lt;Table1[[#This Row],[OrderDate]],"Check","OK")</f>
        <v>OK</v>
      </c>
      <c r="E535" s="2">
        <v>45172</v>
      </c>
      <c r="F535" s="15">
        <f t="shared" si="121"/>
        <v>17</v>
      </c>
      <c r="G535" t="s">
        <v>646</v>
      </c>
      <c r="H535" t="s">
        <v>661</v>
      </c>
      <c r="I535" t="s">
        <v>687</v>
      </c>
      <c r="J535" t="s">
        <v>706</v>
      </c>
      <c r="K535" t="s">
        <v>707</v>
      </c>
      <c r="L535" t="s">
        <v>720</v>
      </c>
      <c r="M535" t="s">
        <v>730</v>
      </c>
      <c r="N535" t="s">
        <v>1266</v>
      </c>
      <c r="O535" s="29">
        <v>676.37</v>
      </c>
      <c r="P535" t="str">
        <f>IF(Table1[[#This Row],[UnitPrice]]&lt;=0,"Check","OK")</f>
        <v>OK</v>
      </c>
      <c r="Q535" s="29">
        <f t="shared" si="122"/>
        <v>1276.67</v>
      </c>
      <c r="R535">
        <v>1276.67</v>
      </c>
      <c r="S535" s="5">
        <f>IF(Table1[[#This Row],[Discount_Flag]]="Check", MIN(MAX(Table1[[#This Row],[DiscountPct]],0),0.3), Table1[[#This Row],[DiscountPct]])</f>
        <v>6.6000000000000003E-2</v>
      </c>
      <c r="T535" t="str">
        <f>IF(OR(Table1[[#This Row],[DiscountPct]]&lt;0,Table1[[#This Row],[DiscountPct]]&gt;0.3),"Check","OK")</f>
        <v>OK</v>
      </c>
      <c r="U535" s="11">
        <v>6.6000000000000003E-2</v>
      </c>
      <c r="V535" s="15">
        <f t="shared" si="123"/>
        <v>0</v>
      </c>
      <c r="W535" s="11">
        <f t="shared" si="124"/>
        <v>0.4327705027712872</v>
      </c>
      <c r="X535" s="17">
        <f t="shared" si="125"/>
        <v>6763.7</v>
      </c>
      <c r="Y535" s="17">
        <f t="shared" si="126"/>
        <v>5160.3977999999997</v>
      </c>
      <c r="Z535" s="17">
        <f t="shared" si="127"/>
        <v>11924.0978</v>
      </c>
      <c r="AA535" s="17" t="str">
        <f t="shared" si="128"/>
        <v>Q3-2023</v>
      </c>
      <c r="AB535" s="12" t="str">
        <f t="shared" si="129"/>
        <v>Aug-2023</v>
      </c>
      <c r="AC535" s="12" t="str">
        <f t="shared" si="130"/>
        <v>Medium</v>
      </c>
      <c r="AD535">
        <v>10</v>
      </c>
      <c r="AE535" s="12">
        <f>_xlfn.MINIFS(Table1[MonthDate], Table1[Country], Table1[[#This Row],[Country]])</f>
        <v>44927</v>
      </c>
      <c r="AF535" s="12">
        <f t="shared" si="131"/>
        <v>45139</v>
      </c>
      <c r="AG535">
        <f>AD535*(1 + Scenario_Control!$B$4)</f>
        <v>11</v>
      </c>
      <c r="AH535">
        <f>O535*(1 + Scenario_Control!$B$3)</f>
        <v>710.18850000000009</v>
      </c>
      <c r="AI535">
        <f t="shared" si="132"/>
        <v>2623.3015160000004</v>
      </c>
      <c r="AJ535">
        <f t="shared" si="133"/>
        <v>-5188.7719840000009</v>
      </c>
      <c r="AK535" s="29">
        <f>MIN(Q535*(1-U535), Scenario_Control!$B$2*Q535)</f>
        <v>255.33400000000003</v>
      </c>
      <c r="AL535" s="15">
        <f t="shared" si="134"/>
        <v>0</v>
      </c>
      <c r="AM535" s="8">
        <f>DATEDIF(Table1[[#This Row],[Country_FirstMonth]], Table1[[#This Row],[MonthDate]], "m")</f>
        <v>7</v>
      </c>
    </row>
    <row r="536" spans="1:39" x14ac:dyDescent="0.25">
      <c r="A536" t="s">
        <v>548</v>
      </c>
      <c r="B536" s="12">
        <v>45832</v>
      </c>
      <c r="C536" s="12">
        <f t="shared" si="120"/>
        <v>45852</v>
      </c>
      <c r="D536" s="2" t="str">
        <f>IF(Table1[[#This Row],[RequiredDate]]&lt;Table1[[#This Row],[OrderDate]],"Check","OK")</f>
        <v>OK</v>
      </c>
      <c r="E536" s="2">
        <v>45852</v>
      </c>
      <c r="F536" s="15">
        <f t="shared" si="121"/>
        <v>20</v>
      </c>
      <c r="G536" t="s">
        <v>646</v>
      </c>
      <c r="H536" t="s">
        <v>661</v>
      </c>
      <c r="I536" t="s">
        <v>682</v>
      </c>
      <c r="J536" t="s">
        <v>706</v>
      </c>
      <c r="K536" t="s">
        <v>709</v>
      </c>
      <c r="L536" t="s">
        <v>713</v>
      </c>
      <c r="M536" t="s">
        <v>731</v>
      </c>
      <c r="N536" t="s">
        <v>1267</v>
      </c>
      <c r="O536" s="29">
        <v>1151.06</v>
      </c>
      <c r="P536" t="str">
        <f>IF(Table1[[#This Row],[UnitPrice]]&lt;=0,"Check","OK")</f>
        <v>OK</v>
      </c>
      <c r="Q536" s="29">
        <f t="shared" si="122"/>
        <v>2821.36</v>
      </c>
      <c r="R536">
        <v>2821.36</v>
      </c>
      <c r="S536" s="5">
        <f>IF(Table1[[#This Row],[Discount_Flag]]="Check", MIN(MAX(Table1[[#This Row],[DiscountPct]],0),0.3), Table1[[#This Row],[DiscountPct]])</f>
        <v>0.248</v>
      </c>
      <c r="T536" t="str">
        <f>IF(OR(Table1[[#This Row],[DiscountPct]]&lt;0,Table1[[#This Row],[DiscountPct]]&gt;0.3),"Check","OK")</f>
        <v>OK</v>
      </c>
      <c r="U536" s="11">
        <v>0.248</v>
      </c>
      <c r="V536" s="15">
        <f t="shared" si="123"/>
        <v>1</v>
      </c>
      <c r="W536" s="11">
        <f t="shared" si="124"/>
        <v>0.45747267501594235</v>
      </c>
      <c r="X536" s="17">
        <f t="shared" si="125"/>
        <v>23021.199999999997</v>
      </c>
      <c r="Y536" s="17">
        <f t="shared" si="126"/>
        <v>19412.054400000008</v>
      </c>
      <c r="Z536" s="17">
        <f t="shared" si="127"/>
        <v>42433.254400000005</v>
      </c>
      <c r="AA536" s="17" t="str">
        <f t="shared" si="128"/>
        <v>Q2-2025</v>
      </c>
      <c r="AB536" s="12" t="str">
        <f t="shared" si="129"/>
        <v>Jun-2025</v>
      </c>
      <c r="AC536" s="12" t="str">
        <f t="shared" si="130"/>
        <v>High</v>
      </c>
      <c r="AD536">
        <v>20</v>
      </c>
      <c r="AE536" s="12">
        <f>_xlfn.MINIFS(Table1[MonthDate], Table1[Country], Table1[[#This Row],[Country]])</f>
        <v>44927</v>
      </c>
      <c r="AF536" s="12">
        <f t="shared" si="131"/>
        <v>45809</v>
      </c>
      <c r="AG536">
        <f>AD536*(1 + Scenario_Control!$B$4)</f>
        <v>22</v>
      </c>
      <c r="AH536">
        <f>O536*(1 + Scenario_Control!$B$3)</f>
        <v>1208.6130000000001</v>
      </c>
      <c r="AI536">
        <f t="shared" si="132"/>
        <v>9335.3159680000008</v>
      </c>
      <c r="AJ536">
        <f t="shared" si="133"/>
        <v>-17254.170032000002</v>
      </c>
      <c r="AK536" s="29">
        <f>MIN(Q536*(1-U536), Scenario_Control!$B$2*Q536)</f>
        <v>564.27200000000005</v>
      </c>
      <c r="AL536" s="15">
        <f t="shared" si="134"/>
        <v>0</v>
      </c>
      <c r="AM536" s="8">
        <f>DATEDIF(Table1[[#This Row],[Country_FirstMonth]], Table1[[#This Row],[MonthDate]], "m")</f>
        <v>29</v>
      </c>
    </row>
    <row r="537" spans="1:39" x14ac:dyDescent="0.25">
      <c r="A537" t="s">
        <v>549</v>
      </c>
      <c r="B537" s="12">
        <v>45667</v>
      </c>
      <c r="C537" s="12">
        <f t="shared" si="120"/>
        <v>45694</v>
      </c>
      <c r="D537" s="2" t="str">
        <f>IF(Table1[[#This Row],[RequiredDate]]&lt;Table1[[#This Row],[OrderDate]],"Check","OK")</f>
        <v>OK</v>
      </c>
      <c r="E537" s="2">
        <v>45694</v>
      </c>
      <c r="F537" s="15">
        <f t="shared" si="121"/>
        <v>27</v>
      </c>
      <c r="G537" t="s">
        <v>648</v>
      </c>
      <c r="H537" t="s">
        <v>655</v>
      </c>
      <c r="I537" t="s">
        <v>672</v>
      </c>
      <c r="J537" t="s">
        <v>703</v>
      </c>
      <c r="K537" t="s">
        <v>707</v>
      </c>
      <c r="L537" t="s">
        <v>717</v>
      </c>
      <c r="M537" t="s">
        <v>731</v>
      </c>
      <c r="N537" t="s">
        <v>1268</v>
      </c>
      <c r="O537" s="29">
        <v>725.62</v>
      </c>
      <c r="P537" t="str">
        <f>IF(Table1[[#This Row],[UnitPrice]]&lt;=0,"Check","OK")</f>
        <v>OK</v>
      </c>
      <c r="Q537" s="29">
        <f t="shared" si="122"/>
        <v>1559.19</v>
      </c>
      <c r="R537">
        <v>1559.19</v>
      </c>
      <c r="S537" s="5">
        <f>IF(Table1[[#This Row],[Discount_Flag]]="Check", MIN(MAX(Table1[[#This Row],[DiscountPct]],0),0.3), Table1[[#This Row],[DiscountPct]])</f>
        <v>0.19</v>
      </c>
      <c r="T537" t="str">
        <f>IF(OR(Table1[[#This Row],[DiscountPct]]&lt;0,Table1[[#This Row],[DiscountPct]]&gt;0.3),"Check","OK")</f>
        <v>OK</v>
      </c>
      <c r="U537" s="11">
        <v>0.19</v>
      </c>
      <c r="V537" s="15">
        <f t="shared" si="123"/>
        <v>0</v>
      </c>
      <c r="W537" s="11">
        <f t="shared" si="124"/>
        <v>0.42545349797405885</v>
      </c>
      <c r="X537" s="17">
        <f t="shared" si="125"/>
        <v>8707.44</v>
      </c>
      <c r="Y537" s="17">
        <f t="shared" si="126"/>
        <v>6447.8868000000002</v>
      </c>
      <c r="Z537" s="17">
        <f t="shared" si="127"/>
        <v>15155.326800000001</v>
      </c>
      <c r="AA537" s="17" t="str">
        <f t="shared" si="128"/>
        <v>Q1-2025</v>
      </c>
      <c r="AB537" s="12" t="str">
        <f t="shared" si="129"/>
        <v>Jan-2025</v>
      </c>
      <c r="AC537" s="12" t="str">
        <f t="shared" si="130"/>
        <v>Medium</v>
      </c>
      <c r="AD537">
        <v>12</v>
      </c>
      <c r="AE537" s="12">
        <f>_xlfn.MINIFS(Table1[MonthDate], Table1[Country], Table1[[#This Row],[Country]])</f>
        <v>44927</v>
      </c>
      <c r="AF537" s="12">
        <f t="shared" si="131"/>
        <v>45658</v>
      </c>
      <c r="AG537">
        <f>AD537*(1 + Scenario_Control!$B$4)</f>
        <v>13.200000000000001</v>
      </c>
      <c r="AH537">
        <f>O537*(1 + Scenario_Control!$B$3)</f>
        <v>761.90100000000007</v>
      </c>
      <c r="AI537">
        <f t="shared" si="132"/>
        <v>3334.1718960000007</v>
      </c>
      <c r="AJ537">
        <f t="shared" si="133"/>
        <v>-6722.9213040000004</v>
      </c>
      <c r="AK537" s="29">
        <f>MIN(Q537*(1-U537), Scenario_Control!$B$2*Q537)</f>
        <v>311.83800000000002</v>
      </c>
      <c r="AL537" s="15">
        <f t="shared" si="134"/>
        <v>0</v>
      </c>
      <c r="AM537" s="8">
        <f>DATEDIF(Table1[[#This Row],[Country_FirstMonth]], Table1[[#This Row],[MonthDate]], "m")</f>
        <v>24</v>
      </c>
    </row>
    <row r="538" spans="1:39" x14ac:dyDescent="0.25">
      <c r="A538" t="s">
        <v>550</v>
      </c>
      <c r="B538" s="12">
        <v>45108</v>
      </c>
      <c r="C538" s="12">
        <f t="shared" si="120"/>
        <v>45118</v>
      </c>
      <c r="D538" s="2" t="str">
        <f>IF(Table1[[#This Row],[RequiredDate]]&lt;Table1[[#This Row],[OrderDate]],"Check","OK")</f>
        <v>OK</v>
      </c>
      <c r="E538" s="2">
        <v>45118</v>
      </c>
      <c r="F538" s="15">
        <f t="shared" si="121"/>
        <v>10</v>
      </c>
      <c r="G538" t="s">
        <v>649</v>
      </c>
      <c r="H538" t="s">
        <v>657</v>
      </c>
      <c r="I538" t="s">
        <v>690</v>
      </c>
      <c r="J538" t="s">
        <v>701</v>
      </c>
      <c r="K538" t="s">
        <v>711</v>
      </c>
      <c r="L538" t="s">
        <v>721</v>
      </c>
      <c r="M538" t="s">
        <v>729</v>
      </c>
      <c r="N538" t="s">
        <v>1269</v>
      </c>
      <c r="O538" s="29">
        <v>479.5</v>
      </c>
      <c r="P538" t="str">
        <f>IF(Table1[[#This Row],[UnitPrice]]&lt;=0,"Check","OK")</f>
        <v>OK</v>
      </c>
      <c r="Q538" s="29">
        <f t="shared" si="122"/>
        <v>656.66</v>
      </c>
      <c r="R538">
        <v>656.66</v>
      </c>
      <c r="S538" s="5">
        <f>IF(Table1[[#This Row],[Discount_Flag]]="Check", MIN(MAX(Table1[[#This Row],[DiscountPct]],0),0.3), Table1[[#This Row],[DiscountPct]])</f>
        <v>0.14899999999999999</v>
      </c>
      <c r="T538" t="str">
        <f>IF(OR(Table1[[#This Row],[DiscountPct]]&lt;0,Table1[[#This Row],[DiscountPct]]&gt;0.3),"Check","OK")</f>
        <v>OK</v>
      </c>
      <c r="U538" s="11">
        <v>0.14899999999999999</v>
      </c>
      <c r="V538" s="15">
        <f t="shared" si="123"/>
        <v>0</v>
      </c>
      <c r="W538" s="11">
        <f t="shared" si="124"/>
        <v>0.14193835606412289</v>
      </c>
      <c r="X538" s="17">
        <f t="shared" si="125"/>
        <v>6713</v>
      </c>
      <c r="Y538" s="17">
        <f t="shared" si="126"/>
        <v>1110.4472399999995</v>
      </c>
      <c r="Z538" s="17">
        <f t="shared" si="127"/>
        <v>7823.4472399999995</v>
      </c>
      <c r="AA538" s="17" t="str">
        <f t="shared" si="128"/>
        <v>Q3-2023</v>
      </c>
      <c r="AB538" s="12" t="str">
        <f t="shared" si="129"/>
        <v>Jul-2023</v>
      </c>
      <c r="AC538" s="12" t="str">
        <f t="shared" si="130"/>
        <v>Medium</v>
      </c>
      <c r="AD538">
        <v>14</v>
      </c>
      <c r="AE538" s="12">
        <f>_xlfn.MINIFS(Table1[MonthDate], Table1[Country], Table1[[#This Row],[Country]])</f>
        <v>44927</v>
      </c>
      <c r="AF538" s="12">
        <f t="shared" si="131"/>
        <v>45108</v>
      </c>
      <c r="AG538">
        <f>AD538*(1 + Scenario_Control!$B$4)</f>
        <v>15.400000000000002</v>
      </c>
      <c r="AH538">
        <f>O538*(1 + Scenario_Control!$B$3)</f>
        <v>503.47500000000002</v>
      </c>
      <c r="AI538">
        <f t="shared" si="132"/>
        <v>1721.1583928000002</v>
      </c>
      <c r="AJ538">
        <f t="shared" si="133"/>
        <v>-6032.3566072000012</v>
      </c>
      <c r="AK538" s="29">
        <f>MIN(Q538*(1-U538), Scenario_Control!$B$2*Q538)</f>
        <v>131.33199999999999</v>
      </c>
      <c r="AL538" s="15">
        <f t="shared" si="134"/>
        <v>0</v>
      </c>
      <c r="AM538" s="8">
        <f>DATEDIF(Table1[[#This Row],[Country_FirstMonth]], Table1[[#This Row],[MonthDate]], "m")</f>
        <v>6</v>
      </c>
    </row>
    <row r="539" spans="1:39" x14ac:dyDescent="0.25">
      <c r="A539" t="s">
        <v>551</v>
      </c>
      <c r="B539" s="12">
        <v>45520</v>
      </c>
      <c r="C539" s="12">
        <f t="shared" si="120"/>
        <v>45530</v>
      </c>
      <c r="D539" s="2" t="str">
        <f>IF(Table1[[#This Row],[RequiredDate]]&lt;Table1[[#This Row],[OrderDate]],"Check","OK")</f>
        <v>OK</v>
      </c>
      <c r="E539" s="2">
        <v>45530</v>
      </c>
      <c r="F539" s="15">
        <f t="shared" si="121"/>
        <v>10</v>
      </c>
      <c r="G539" t="s">
        <v>648</v>
      </c>
      <c r="H539" t="s">
        <v>660</v>
      </c>
      <c r="I539" t="s">
        <v>677</v>
      </c>
      <c r="J539" t="s">
        <v>701</v>
      </c>
      <c r="K539" t="s">
        <v>710</v>
      </c>
      <c r="L539" t="s">
        <v>716</v>
      </c>
      <c r="M539" t="s">
        <v>731</v>
      </c>
      <c r="N539" t="s">
        <v>1121</v>
      </c>
      <c r="O539" s="29">
        <v>1291.7</v>
      </c>
      <c r="P539" t="str">
        <f>IF(Table1[[#This Row],[UnitPrice]]&lt;=0,"Check","OK")</f>
        <v>OK</v>
      </c>
      <c r="Q539" s="29">
        <f t="shared" si="122"/>
        <v>2657.84</v>
      </c>
      <c r="R539">
        <v>2657.84</v>
      </c>
      <c r="S539" s="5">
        <f>IF(Table1[[#This Row],[Discount_Flag]]="Check", MIN(MAX(Table1[[#This Row],[DiscountPct]],0),0.3), Table1[[#This Row],[DiscountPct]])</f>
        <v>8.6999999999999994E-2</v>
      </c>
      <c r="T539" t="str">
        <f>IF(OR(Table1[[#This Row],[DiscountPct]]&lt;0,Table1[[#This Row],[DiscountPct]]&gt;0.3),"Check","OK")</f>
        <v>OK</v>
      </c>
      <c r="U539" s="11">
        <v>8.6999999999999994E-2</v>
      </c>
      <c r="V539" s="15">
        <f t="shared" si="123"/>
        <v>0</v>
      </c>
      <c r="W539" s="11">
        <f t="shared" si="124"/>
        <v>0.46769315745083367</v>
      </c>
      <c r="X539" s="17">
        <f t="shared" si="125"/>
        <v>27125.7</v>
      </c>
      <c r="Y539" s="17">
        <f t="shared" si="126"/>
        <v>23833.066320000002</v>
      </c>
      <c r="Z539" s="17">
        <f t="shared" si="127"/>
        <v>50958.766320000002</v>
      </c>
      <c r="AA539" s="17" t="str">
        <f t="shared" si="128"/>
        <v>Q3-2024</v>
      </c>
      <c r="AB539" s="12" t="str">
        <f t="shared" si="129"/>
        <v>Aug-2024</v>
      </c>
      <c r="AC539" s="12" t="str">
        <f t="shared" si="130"/>
        <v>High</v>
      </c>
      <c r="AD539">
        <v>21</v>
      </c>
      <c r="AE539" s="12">
        <f>_xlfn.MINIFS(Table1[MonthDate], Table1[Country], Table1[[#This Row],[Country]])</f>
        <v>44927</v>
      </c>
      <c r="AF539" s="12">
        <f t="shared" si="131"/>
        <v>45505</v>
      </c>
      <c r="AG539">
        <f>AD539*(1 + Scenario_Control!$B$4)</f>
        <v>23.1</v>
      </c>
      <c r="AH539">
        <f>O539*(1 + Scenario_Control!$B$3)</f>
        <v>1356.2850000000001</v>
      </c>
      <c r="AI539">
        <f t="shared" si="132"/>
        <v>11210.928590400003</v>
      </c>
      <c r="AJ539">
        <f t="shared" si="133"/>
        <v>-20119.2549096</v>
      </c>
      <c r="AK539" s="29">
        <f>MIN(Q539*(1-U539), Scenario_Control!$B$2*Q539)</f>
        <v>531.5680000000001</v>
      </c>
      <c r="AL539" s="15">
        <f t="shared" si="134"/>
        <v>0</v>
      </c>
      <c r="AM539" s="8">
        <f>DATEDIF(Table1[[#This Row],[Country_FirstMonth]], Table1[[#This Row],[MonthDate]], "m")</f>
        <v>19</v>
      </c>
    </row>
    <row r="540" spans="1:39" x14ac:dyDescent="0.25">
      <c r="A540" t="s">
        <v>552</v>
      </c>
      <c r="B540" s="12">
        <v>45114</v>
      </c>
      <c r="C540" s="12">
        <f t="shared" si="120"/>
        <v>45120</v>
      </c>
      <c r="D540" s="2" t="str">
        <f>IF(Table1[[#This Row],[RequiredDate]]&lt;Table1[[#This Row],[OrderDate]],"Check","OK")</f>
        <v>OK</v>
      </c>
      <c r="E540" s="2">
        <v>45120</v>
      </c>
      <c r="F540" s="15">
        <f t="shared" si="121"/>
        <v>6</v>
      </c>
      <c r="G540" t="s">
        <v>646</v>
      </c>
      <c r="H540" t="s">
        <v>661</v>
      </c>
      <c r="I540" t="s">
        <v>695</v>
      </c>
      <c r="J540" t="s">
        <v>705</v>
      </c>
      <c r="K540" t="s">
        <v>709</v>
      </c>
      <c r="L540" t="s">
        <v>717</v>
      </c>
      <c r="M540" t="s">
        <v>733</v>
      </c>
      <c r="N540" t="s">
        <v>1270</v>
      </c>
      <c r="O540" s="29">
        <v>612.59</v>
      </c>
      <c r="P540" t="str">
        <f>IF(Table1[[#This Row],[UnitPrice]]&lt;=0,"Check","OK")</f>
        <v>OK</v>
      </c>
      <c r="Q540" s="29">
        <f t="shared" si="122"/>
        <v>1424.74</v>
      </c>
      <c r="R540">
        <v>1424.74</v>
      </c>
      <c r="S540" s="5">
        <f>IF(Table1[[#This Row],[Discount_Flag]]="Check", MIN(MAX(Table1[[#This Row],[DiscountPct]],0),0.3), Table1[[#This Row],[DiscountPct]])</f>
        <v>4.3999999999999997E-2</v>
      </c>
      <c r="T540" t="str">
        <f>IF(OR(Table1[[#This Row],[DiscountPct]]&lt;0,Table1[[#This Row],[DiscountPct]]&gt;0.3),"Check","OK")</f>
        <v>OK</v>
      </c>
      <c r="U540" s="11">
        <v>4.3999999999999997E-2</v>
      </c>
      <c r="V540" s="15">
        <f t="shared" si="123"/>
        <v>0</v>
      </c>
      <c r="W540" s="11">
        <f t="shared" si="124"/>
        <v>0.55024459281802152</v>
      </c>
      <c r="X540" s="17">
        <f t="shared" si="125"/>
        <v>9188.85</v>
      </c>
      <c r="Y540" s="17">
        <f t="shared" si="126"/>
        <v>11241.921599999996</v>
      </c>
      <c r="Z540" s="17">
        <f t="shared" si="127"/>
        <v>20430.771599999996</v>
      </c>
      <c r="AA540" s="17" t="str">
        <f t="shared" si="128"/>
        <v>Q3-2023</v>
      </c>
      <c r="AB540" s="12" t="str">
        <f t="shared" si="129"/>
        <v>Jul-2023</v>
      </c>
      <c r="AC540" s="12" t="str">
        <f t="shared" si="130"/>
        <v>Medium</v>
      </c>
      <c r="AD540">
        <v>15</v>
      </c>
      <c r="AE540" s="12">
        <f>_xlfn.MINIFS(Table1[MonthDate], Table1[Country], Table1[[#This Row],[Country]])</f>
        <v>44927</v>
      </c>
      <c r="AF540" s="12">
        <f t="shared" si="131"/>
        <v>45108</v>
      </c>
      <c r="AG540">
        <f>AD540*(1 + Scenario_Control!$B$4)</f>
        <v>16.5</v>
      </c>
      <c r="AH540">
        <f>O540*(1 + Scenario_Control!$B$3)</f>
        <v>643.21950000000004</v>
      </c>
      <c r="AI540">
        <f t="shared" si="132"/>
        <v>4494.7697520000002</v>
      </c>
      <c r="AJ540">
        <f t="shared" si="133"/>
        <v>-6118.3519980000001</v>
      </c>
      <c r="AK540" s="29">
        <f>MIN(Q540*(1-U540), Scenario_Control!$B$2*Q540)</f>
        <v>284.94800000000004</v>
      </c>
      <c r="AL540" s="15">
        <f t="shared" si="134"/>
        <v>1</v>
      </c>
      <c r="AM540" s="8">
        <f>DATEDIF(Table1[[#This Row],[Country_FirstMonth]], Table1[[#This Row],[MonthDate]], "m")</f>
        <v>6</v>
      </c>
    </row>
    <row r="541" spans="1:39" x14ac:dyDescent="0.25">
      <c r="A541" t="s">
        <v>553</v>
      </c>
      <c r="B541" s="12">
        <v>45288</v>
      </c>
      <c r="C541" s="12">
        <f t="shared" si="120"/>
        <v>45292</v>
      </c>
      <c r="D541" s="2" t="str">
        <f>IF(Table1[[#This Row],[RequiredDate]]&lt;Table1[[#This Row],[OrderDate]],"Check","OK")</f>
        <v>OK</v>
      </c>
      <c r="E541" s="2">
        <v>45292</v>
      </c>
      <c r="F541" s="15">
        <f t="shared" si="121"/>
        <v>4</v>
      </c>
      <c r="G541" t="s">
        <v>646</v>
      </c>
      <c r="H541" t="s">
        <v>661</v>
      </c>
      <c r="I541" t="s">
        <v>695</v>
      </c>
      <c r="J541" t="s">
        <v>702</v>
      </c>
      <c r="K541" t="s">
        <v>710</v>
      </c>
      <c r="L541" t="s">
        <v>720</v>
      </c>
      <c r="M541" t="s">
        <v>728</v>
      </c>
      <c r="N541" t="s">
        <v>1271</v>
      </c>
      <c r="O541" s="29">
        <v>1141.8</v>
      </c>
      <c r="P541" t="str">
        <f>IF(Table1[[#This Row],[UnitPrice]]&lt;=0,"Check","OK")</f>
        <v>OK</v>
      </c>
      <c r="Q541" s="29">
        <f t="shared" si="122"/>
        <v>2318.7399999999998</v>
      </c>
      <c r="R541">
        <v>2318.7399999999998</v>
      </c>
      <c r="S541" s="5">
        <f>IF(Table1[[#This Row],[Discount_Flag]]="Check", MIN(MAX(Table1[[#This Row],[DiscountPct]],0),0.3), Table1[[#This Row],[DiscountPct]])</f>
        <v>0.107</v>
      </c>
      <c r="T541" t="str">
        <f>IF(OR(Table1[[#This Row],[DiscountPct]]&lt;0,Table1[[#This Row],[DiscountPct]]&gt;0.3),"Check","OK")</f>
        <v>OK</v>
      </c>
      <c r="U541" s="11">
        <v>0.107</v>
      </c>
      <c r="V541" s="15">
        <f t="shared" si="123"/>
        <v>0</v>
      </c>
      <c r="W541" s="11">
        <f t="shared" si="124"/>
        <v>0.44857490612468304</v>
      </c>
      <c r="X541" s="17">
        <f t="shared" si="125"/>
        <v>36537.599999999999</v>
      </c>
      <c r="Y541" s="17">
        <f t="shared" si="126"/>
        <v>29722.714239999994</v>
      </c>
      <c r="Z541" s="17">
        <f t="shared" si="127"/>
        <v>66260.314239999992</v>
      </c>
      <c r="AA541" s="17" t="str">
        <f t="shared" si="128"/>
        <v>Q4-2023</v>
      </c>
      <c r="AB541" s="12" t="str">
        <f t="shared" si="129"/>
        <v>Dec-2023</v>
      </c>
      <c r="AC541" s="12" t="str">
        <f t="shared" si="130"/>
        <v>High</v>
      </c>
      <c r="AD541">
        <v>32</v>
      </c>
      <c r="AE541" s="12">
        <f>_xlfn.MINIFS(Table1[MonthDate], Table1[Country], Table1[[#This Row],[Country]])</f>
        <v>44927</v>
      </c>
      <c r="AF541" s="12">
        <f t="shared" si="131"/>
        <v>45261</v>
      </c>
      <c r="AG541">
        <f>AD541*(1 + Scenario_Control!$B$4)</f>
        <v>35.200000000000003</v>
      </c>
      <c r="AH541">
        <f>O541*(1 + Scenario_Control!$B$3)</f>
        <v>1198.8900000000001</v>
      </c>
      <c r="AI541">
        <f t="shared" si="132"/>
        <v>14577.269132800002</v>
      </c>
      <c r="AJ541">
        <f t="shared" si="133"/>
        <v>-27623.658867200007</v>
      </c>
      <c r="AK541" s="29">
        <f>MIN(Q541*(1-U541), Scenario_Control!$B$2*Q541)</f>
        <v>463.74799999999999</v>
      </c>
      <c r="AL541" s="15">
        <f t="shared" si="134"/>
        <v>1</v>
      </c>
      <c r="AM541" s="8">
        <f>DATEDIF(Table1[[#This Row],[Country_FirstMonth]], Table1[[#This Row],[MonthDate]], "m")</f>
        <v>11</v>
      </c>
    </row>
    <row r="542" spans="1:39" x14ac:dyDescent="0.25">
      <c r="A542" t="s">
        <v>554</v>
      </c>
      <c r="B542" s="12">
        <v>44952</v>
      </c>
      <c r="C542" s="12">
        <f t="shared" si="120"/>
        <v>44972</v>
      </c>
      <c r="D542" s="2" t="str">
        <f>IF(Table1[[#This Row],[RequiredDate]]&lt;Table1[[#This Row],[OrderDate]],"Check","OK")</f>
        <v>OK</v>
      </c>
      <c r="E542" s="2">
        <v>44972</v>
      </c>
      <c r="F542" s="15">
        <f t="shared" si="121"/>
        <v>20</v>
      </c>
      <c r="G542" t="s">
        <v>649</v>
      </c>
      <c r="H542" t="s">
        <v>656</v>
      </c>
      <c r="I542" t="s">
        <v>671</v>
      </c>
      <c r="J542" t="s">
        <v>705</v>
      </c>
      <c r="K542" t="s">
        <v>708</v>
      </c>
      <c r="L542" t="s">
        <v>719</v>
      </c>
      <c r="M542" t="s">
        <v>729</v>
      </c>
      <c r="N542" t="s">
        <v>1272</v>
      </c>
      <c r="O542" s="29">
        <v>492.62</v>
      </c>
      <c r="P542" t="str">
        <f>IF(Table1[[#This Row],[UnitPrice]]&lt;=0,"Check","OK")</f>
        <v>OK</v>
      </c>
      <c r="Q542" s="29">
        <f t="shared" si="122"/>
        <v>366.7</v>
      </c>
      <c r="R542">
        <v>366.7</v>
      </c>
      <c r="S542" s="5">
        <f>IF(Table1[[#This Row],[Discount_Flag]]="Check", MIN(MAX(Table1[[#This Row],[DiscountPct]],0),0.3), Table1[[#This Row],[DiscountPct]])</f>
        <v>8.8999999999999996E-2</v>
      </c>
      <c r="T542" t="str">
        <f>IF(OR(Table1[[#This Row],[DiscountPct]]&lt;0,Table1[[#This Row],[DiscountPct]]&gt;0.3),"Check","OK")</f>
        <v>OK</v>
      </c>
      <c r="U542" s="11">
        <v>8.8999999999999996E-2</v>
      </c>
      <c r="V542" s="15">
        <f t="shared" si="123"/>
        <v>0</v>
      </c>
      <c r="W542" s="11">
        <f t="shared" si="124"/>
        <v>-0.47462894052840809</v>
      </c>
      <c r="X542" s="17">
        <f t="shared" si="125"/>
        <v>4926.2</v>
      </c>
      <c r="Y542" s="17">
        <f t="shared" si="126"/>
        <v>-1585.5629999999996</v>
      </c>
      <c r="Z542" s="17">
        <f t="shared" si="127"/>
        <v>3340.6370000000002</v>
      </c>
      <c r="AA542" s="17" t="str">
        <f t="shared" si="128"/>
        <v>Q1-2023</v>
      </c>
      <c r="AB542" s="12" t="str">
        <f t="shared" si="129"/>
        <v>Jan-2023</v>
      </c>
      <c r="AC542" s="12" t="str">
        <f t="shared" si="130"/>
        <v>Low</v>
      </c>
      <c r="AD542">
        <v>10</v>
      </c>
      <c r="AE542" s="12">
        <f>_xlfn.MINIFS(Table1[MonthDate], Table1[Country], Table1[[#This Row],[Country]])</f>
        <v>44927</v>
      </c>
      <c r="AF542" s="12">
        <f t="shared" si="131"/>
        <v>44927</v>
      </c>
      <c r="AG542">
        <f>AD542*(1 + Scenario_Control!$B$4)</f>
        <v>11</v>
      </c>
      <c r="AH542">
        <f>O542*(1 + Scenario_Control!$B$3)</f>
        <v>517.25099999999998</v>
      </c>
      <c r="AI542">
        <f t="shared" si="132"/>
        <v>734.94014000000004</v>
      </c>
      <c r="AJ542">
        <f t="shared" si="133"/>
        <v>-4954.8208599999998</v>
      </c>
      <c r="AK542" s="29">
        <f>MIN(Q542*(1-U542), Scenario_Control!$B$2*Q542)</f>
        <v>73.34</v>
      </c>
      <c r="AL542" s="15">
        <f t="shared" si="134"/>
        <v>0</v>
      </c>
      <c r="AM542" s="8">
        <f>DATEDIF(Table1[[#This Row],[Country_FirstMonth]], Table1[[#This Row],[MonthDate]], "m")</f>
        <v>0</v>
      </c>
    </row>
    <row r="543" spans="1:39" x14ac:dyDescent="0.25">
      <c r="A543" t="s">
        <v>555</v>
      </c>
      <c r="B543" s="12">
        <v>45115</v>
      </c>
      <c r="C543" s="12">
        <f t="shared" si="120"/>
        <v>45116</v>
      </c>
      <c r="D543" s="2" t="str">
        <f>IF(Table1[[#This Row],[RequiredDate]]&lt;Table1[[#This Row],[OrderDate]],"Check","OK")</f>
        <v>OK</v>
      </c>
      <c r="E543" s="2">
        <v>45116</v>
      </c>
      <c r="F543" s="15">
        <f t="shared" si="121"/>
        <v>1</v>
      </c>
      <c r="G543" t="s">
        <v>646</v>
      </c>
      <c r="H543" t="s">
        <v>650</v>
      </c>
      <c r="I543" t="s">
        <v>664</v>
      </c>
      <c r="J543" t="s">
        <v>704</v>
      </c>
      <c r="K543" t="s">
        <v>708</v>
      </c>
      <c r="L543" t="s">
        <v>726</v>
      </c>
      <c r="M543" t="s">
        <v>731</v>
      </c>
      <c r="N543" t="s">
        <v>1273</v>
      </c>
      <c r="O543" s="29">
        <v>1258.72</v>
      </c>
      <c r="P543" t="str">
        <f>IF(Table1[[#This Row],[UnitPrice]]&lt;=0,"Check","OK")</f>
        <v>OK</v>
      </c>
      <c r="Q543" s="29">
        <f t="shared" si="122"/>
        <v>2797.41</v>
      </c>
      <c r="R543">
        <v>2797.41</v>
      </c>
      <c r="S543" s="5">
        <f>IF(Table1[[#This Row],[Discount_Flag]]="Check", MIN(MAX(Table1[[#This Row],[DiscountPct]],0),0.3), Table1[[#This Row],[DiscountPct]])</f>
        <v>0</v>
      </c>
      <c r="T543" t="str">
        <f>IF(OR(Table1[[#This Row],[DiscountPct]]&lt;0,Table1[[#This Row],[DiscountPct]]&gt;0.3),"Check","OK")</f>
        <v>OK</v>
      </c>
      <c r="U543" s="11">
        <v>0</v>
      </c>
      <c r="V543" s="15">
        <f t="shared" si="123"/>
        <v>0</v>
      </c>
      <c r="W543" s="11">
        <f t="shared" si="124"/>
        <v>0.55004093071805704</v>
      </c>
      <c r="X543" s="17">
        <f t="shared" si="125"/>
        <v>8811.0400000000009</v>
      </c>
      <c r="Y543" s="17">
        <f t="shared" si="126"/>
        <v>10770.829999999998</v>
      </c>
      <c r="Z543" s="17">
        <f t="shared" si="127"/>
        <v>19581.87</v>
      </c>
      <c r="AA543" s="17" t="str">
        <f t="shared" si="128"/>
        <v>Q3-2023</v>
      </c>
      <c r="AB543" s="12" t="str">
        <f t="shared" si="129"/>
        <v>Jul-2023</v>
      </c>
      <c r="AC543" s="12" t="str">
        <f t="shared" si="130"/>
        <v>High</v>
      </c>
      <c r="AD543">
        <v>7</v>
      </c>
      <c r="AE543" s="12">
        <f>_xlfn.MINIFS(Table1[MonthDate], Table1[Country], Table1[[#This Row],[Country]])</f>
        <v>44927</v>
      </c>
      <c r="AF543" s="12">
        <f t="shared" si="131"/>
        <v>45108</v>
      </c>
      <c r="AG543">
        <f>AD543*(1 + Scenario_Control!$B$4)</f>
        <v>7.7000000000000011</v>
      </c>
      <c r="AH543">
        <f>O543*(1 + Scenario_Control!$B$3)</f>
        <v>1321.6560000000002</v>
      </c>
      <c r="AI543">
        <f t="shared" si="132"/>
        <v>4308.0114000000003</v>
      </c>
      <c r="AJ543">
        <f t="shared" si="133"/>
        <v>-5868.7398000000021</v>
      </c>
      <c r="AK543" s="29">
        <f>MIN(Q543*(1-U543), Scenario_Control!$B$2*Q543)</f>
        <v>559.48199999999997</v>
      </c>
      <c r="AL543" s="15">
        <f t="shared" si="134"/>
        <v>1</v>
      </c>
      <c r="AM543" s="8">
        <f>DATEDIF(Table1[[#This Row],[Country_FirstMonth]], Table1[[#This Row],[MonthDate]], "m")</f>
        <v>6</v>
      </c>
    </row>
    <row r="544" spans="1:39" x14ac:dyDescent="0.25">
      <c r="A544" t="s">
        <v>556</v>
      </c>
      <c r="B544" s="12">
        <v>45450</v>
      </c>
      <c r="C544" s="12">
        <f t="shared" si="120"/>
        <v>45452</v>
      </c>
      <c r="D544" s="2" t="str">
        <f>IF(Table1[[#This Row],[RequiredDate]]&lt;Table1[[#This Row],[OrderDate]],"Check","OK")</f>
        <v>OK</v>
      </c>
      <c r="E544" s="2">
        <v>45452</v>
      </c>
      <c r="F544" s="15">
        <f t="shared" si="121"/>
        <v>2</v>
      </c>
      <c r="G544" t="s">
        <v>647</v>
      </c>
      <c r="H544" t="s">
        <v>659</v>
      </c>
      <c r="I544" t="s">
        <v>685</v>
      </c>
      <c r="J544" t="s">
        <v>701</v>
      </c>
      <c r="K544" t="s">
        <v>707</v>
      </c>
      <c r="L544" t="s">
        <v>719</v>
      </c>
      <c r="M544" t="s">
        <v>732</v>
      </c>
      <c r="N544" t="s">
        <v>1274</v>
      </c>
      <c r="O544" s="29">
        <v>1370.28</v>
      </c>
      <c r="P544" t="str">
        <f>IF(Table1[[#This Row],[UnitPrice]]&lt;=0,"Check","OK")</f>
        <v>OK</v>
      </c>
      <c r="Q544" s="29">
        <f t="shared" si="122"/>
        <v>2209.66</v>
      </c>
      <c r="R544">
        <v>2209.66</v>
      </c>
      <c r="S544" s="5">
        <f>IF(Table1[[#This Row],[Discount_Flag]]="Check", MIN(MAX(Table1[[#This Row],[DiscountPct]],0),0.3), Table1[[#This Row],[DiscountPct]])</f>
        <v>0.13300000000000001</v>
      </c>
      <c r="T544" t="str">
        <f>IF(OR(Table1[[#This Row],[DiscountPct]]&lt;0,Table1[[#This Row],[DiscountPct]]&gt;0.3),"Check","OK")</f>
        <v>OK</v>
      </c>
      <c r="U544" s="11">
        <v>0.13300000000000001</v>
      </c>
      <c r="V544" s="15">
        <f t="shared" si="123"/>
        <v>0</v>
      </c>
      <c r="W544" s="11">
        <f t="shared" si="124"/>
        <v>0.28473863442079589</v>
      </c>
      <c r="X544" s="17">
        <f t="shared" si="125"/>
        <v>21924.48</v>
      </c>
      <c r="Y544" s="17">
        <f t="shared" si="126"/>
        <v>8727.9235199999966</v>
      </c>
      <c r="Z544" s="17">
        <f t="shared" si="127"/>
        <v>30652.403519999996</v>
      </c>
      <c r="AA544" s="17" t="str">
        <f t="shared" si="128"/>
        <v>Q2-2024</v>
      </c>
      <c r="AB544" s="12" t="str">
        <f t="shared" si="129"/>
        <v>Jun-2024</v>
      </c>
      <c r="AC544" s="12" t="str">
        <f t="shared" si="130"/>
        <v>High</v>
      </c>
      <c r="AD544">
        <v>16</v>
      </c>
      <c r="AE544" s="12">
        <f>_xlfn.MINIFS(Table1[MonthDate], Table1[Country], Table1[[#This Row],[Country]])</f>
        <v>44927</v>
      </c>
      <c r="AF544" s="12">
        <f t="shared" si="131"/>
        <v>45444</v>
      </c>
      <c r="AG544">
        <f>AD544*(1 + Scenario_Control!$B$4)</f>
        <v>17.600000000000001</v>
      </c>
      <c r="AH544">
        <f>O544*(1 + Scenario_Control!$B$3)</f>
        <v>1438.7940000000001</v>
      </c>
      <c r="AI544">
        <f t="shared" si="132"/>
        <v>6743.5287744000007</v>
      </c>
      <c r="AJ544">
        <f t="shared" si="133"/>
        <v>-18579.2456256</v>
      </c>
      <c r="AK544" s="29">
        <f>MIN(Q544*(1-U544), Scenario_Control!$B$2*Q544)</f>
        <v>441.93200000000002</v>
      </c>
      <c r="AL544" s="15">
        <f t="shared" si="134"/>
        <v>1</v>
      </c>
      <c r="AM544" s="8">
        <f>DATEDIF(Table1[[#This Row],[Country_FirstMonth]], Table1[[#This Row],[MonthDate]], "m")</f>
        <v>17</v>
      </c>
    </row>
    <row r="545" spans="1:39" x14ac:dyDescent="0.25">
      <c r="A545" t="s">
        <v>557</v>
      </c>
      <c r="B545" s="12">
        <v>44968</v>
      </c>
      <c r="C545" s="12">
        <f t="shared" si="120"/>
        <v>44969</v>
      </c>
      <c r="D545" s="2" t="str">
        <f>IF(Table1[[#This Row],[RequiredDate]]&lt;Table1[[#This Row],[OrderDate]],"Check","OK")</f>
        <v>OK</v>
      </c>
      <c r="E545" s="2">
        <v>44969</v>
      </c>
      <c r="F545" s="15">
        <f t="shared" si="121"/>
        <v>1</v>
      </c>
      <c r="G545" t="s">
        <v>646</v>
      </c>
      <c r="H545" t="s">
        <v>651</v>
      </c>
      <c r="I545" t="s">
        <v>663</v>
      </c>
      <c r="J545" t="s">
        <v>703</v>
      </c>
      <c r="K545" t="s">
        <v>711</v>
      </c>
      <c r="L545" t="s">
        <v>726</v>
      </c>
      <c r="M545" t="s">
        <v>733</v>
      </c>
      <c r="N545" t="s">
        <v>1275</v>
      </c>
      <c r="O545" s="29">
        <v>944.61</v>
      </c>
      <c r="P545" t="str">
        <f>IF(Table1[[#This Row],[UnitPrice]]&lt;=0,"Check","OK")</f>
        <v>OK</v>
      </c>
      <c r="Q545" s="29">
        <f t="shared" si="122"/>
        <v>839.04</v>
      </c>
      <c r="R545">
        <v>839.04</v>
      </c>
      <c r="S545" s="5">
        <f>IF(Table1[[#This Row],[Discount_Flag]]="Check", MIN(MAX(Table1[[#This Row],[DiscountPct]],0),0.3), Table1[[#This Row],[DiscountPct]])</f>
        <v>5.8999999999999997E-2</v>
      </c>
      <c r="T545" t="str">
        <f>IF(OR(Table1[[#This Row],[DiscountPct]]&lt;0,Table1[[#This Row],[DiscountPct]]&gt;0.3),"Check","OK")</f>
        <v>OK</v>
      </c>
      <c r="U545" s="11">
        <v>5.8999999999999997E-2</v>
      </c>
      <c r="V545" s="15">
        <f t="shared" si="123"/>
        <v>0</v>
      </c>
      <c r="W545" s="11">
        <f t="shared" si="124"/>
        <v>-0.19641059343363726</v>
      </c>
      <c r="X545" s="17">
        <f t="shared" si="125"/>
        <v>5667.66</v>
      </c>
      <c r="Y545" s="17">
        <f t="shared" si="126"/>
        <v>-930.44016000000011</v>
      </c>
      <c r="Z545" s="17">
        <f t="shared" si="127"/>
        <v>4737.2198399999997</v>
      </c>
      <c r="AA545" s="17" t="str">
        <f t="shared" si="128"/>
        <v>Q1-2023</v>
      </c>
      <c r="AB545" s="12" t="str">
        <f t="shared" si="129"/>
        <v>Feb-2023</v>
      </c>
      <c r="AC545" s="12" t="str">
        <f t="shared" si="130"/>
        <v>Medium</v>
      </c>
      <c r="AD545">
        <v>6</v>
      </c>
      <c r="AE545" s="12">
        <f>_xlfn.MINIFS(Table1[MonthDate], Table1[Country], Table1[[#This Row],[Country]])</f>
        <v>44927</v>
      </c>
      <c r="AF545" s="12">
        <f t="shared" si="131"/>
        <v>44958</v>
      </c>
      <c r="AG545">
        <f>AD545*(1 + Scenario_Control!$B$4)</f>
        <v>6.6000000000000005</v>
      </c>
      <c r="AH545">
        <f>O545*(1 + Scenario_Control!$B$3)</f>
        <v>991.84050000000002</v>
      </c>
      <c r="AI545">
        <f t="shared" si="132"/>
        <v>1042.1883648</v>
      </c>
      <c r="AJ545">
        <f t="shared" si="133"/>
        <v>-5503.9589352000003</v>
      </c>
      <c r="AK545" s="29">
        <f>MIN(Q545*(1-U545), Scenario_Control!$B$2*Q545)</f>
        <v>167.80799999999999</v>
      </c>
      <c r="AL545" s="15">
        <f t="shared" si="134"/>
        <v>1</v>
      </c>
      <c r="AM545" s="8">
        <f>DATEDIF(Table1[[#This Row],[Country_FirstMonth]], Table1[[#This Row],[MonthDate]], "m")</f>
        <v>1</v>
      </c>
    </row>
    <row r="546" spans="1:39" x14ac:dyDescent="0.25">
      <c r="A546" t="s">
        <v>558</v>
      </c>
      <c r="B546" s="12">
        <v>45108</v>
      </c>
      <c r="C546" s="12">
        <f t="shared" si="120"/>
        <v>45115</v>
      </c>
      <c r="D546" s="2" t="str">
        <f>IF(Table1[[#This Row],[RequiredDate]]&lt;Table1[[#This Row],[OrderDate]],"Check","OK")</f>
        <v>OK</v>
      </c>
      <c r="E546" s="2">
        <v>45115</v>
      </c>
      <c r="F546" s="15">
        <f t="shared" si="121"/>
        <v>7</v>
      </c>
      <c r="G546" t="s">
        <v>649</v>
      </c>
      <c r="H546" t="s">
        <v>656</v>
      </c>
      <c r="I546" t="s">
        <v>698</v>
      </c>
      <c r="J546" t="s">
        <v>705</v>
      </c>
      <c r="K546" t="s">
        <v>710</v>
      </c>
      <c r="L546" t="s">
        <v>725</v>
      </c>
      <c r="M546" t="s">
        <v>731</v>
      </c>
      <c r="N546" t="s">
        <v>1276</v>
      </c>
      <c r="O546" s="29">
        <v>460.21</v>
      </c>
      <c r="P546" t="str">
        <f>IF(Table1[[#This Row],[UnitPrice]]&lt;=0,"Check","OK")</f>
        <v>OK</v>
      </c>
      <c r="Q546" s="29">
        <f t="shared" si="122"/>
        <v>1139.1500000000001</v>
      </c>
      <c r="R546">
        <v>1139.1500000000001</v>
      </c>
      <c r="S546" s="5">
        <f>IF(Table1[[#This Row],[Discount_Flag]]="Check", MIN(MAX(Table1[[#This Row],[DiscountPct]],0),0.3), Table1[[#This Row],[DiscountPct]])</f>
        <v>0.115</v>
      </c>
      <c r="T546" t="str">
        <f>IF(OR(Table1[[#This Row],[DiscountPct]]&lt;0,Table1[[#This Row],[DiscountPct]]&gt;0.3),"Check","OK")</f>
        <v>OK</v>
      </c>
      <c r="U546" s="11">
        <v>0.115</v>
      </c>
      <c r="V546" s="15">
        <f t="shared" si="123"/>
        <v>0</v>
      </c>
      <c r="W546" s="11">
        <f t="shared" si="124"/>
        <v>0.54350937151821255</v>
      </c>
      <c r="X546" s="17">
        <f t="shared" si="125"/>
        <v>6442.94</v>
      </c>
      <c r="Y546" s="17">
        <f t="shared" si="126"/>
        <v>7671.1285000000016</v>
      </c>
      <c r="Z546" s="17">
        <f t="shared" si="127"/>
        <v>14114.068500000001</v>
      </c>
      <c r="AA546" s="17" t="str">
        <f t="shared" si="128"/>
        <v>Q3-2023</v>
      </c>
      <c r="AB546" s="12" t="str">
        <f t="shared" si="129"/>
        <v>Jul-2023</v>
      </c>
      <c r="AC546" s="12" t="str">
        <f t="shared" si="130"/>
        <v>Medium</v>
      </c>
      <c r="AD546">
        <v>14</v>
      </c>
      <c r="AE546" s="12">
        <f>_xlfn.MINIFS(Table1[MonthDate], Table1[Country], Table1[[#This Row],[Country]])</f>
        <v>44927</v>
      </c>
      <c r="AF546" s="12">
        <f t="shared" si="131"/>
        <v>45108</v>
      </c>
      <c r="AG546">
        <f>AD546*(1 + Scenario_Control!$B$4)</f>
        <v>15.400000000000002</v>
      </c>
      <c r="AH546">
        <f>O546*(1 + Scenario_Control!$B$3)</f>
        <v>483.22050000000002</v>
      </c>
      <c r="AI546">
        <f t="shared" si="132"/>
        <v>3105.0950700000012</v>
      </c>
      <c r="AJ546">
        <f t="shared" si="133"/>
        <v>-4336.5006300000005</v>
      </c>
      <c r="AK546" s="29">
        <f>MIN(Q546*(1-U546), Scenario_Control!$B$2*Q546)</f>
        <v>227.83000000000004</v>
      </c>
      <c r="AL546" s="15">
        <f t="shared" si="134"/>
        <v>1</v>
      </c>
      <c r="AM546" s="8">
        <f>DATEDIF(Table1[[#This Row],[Country_FirstMonth]], Table1[[#This Row],[MonthDate]], "m")</f>
        <v>6</v>
      </c>
    </row>
    <row r="547" spans="1:39" x14ac:dyDescent="0.25">
      <c r="A547" t="s">
        <v>559</v>
      </c>
      <c r="B547" s="12">
        <v>45889</v>
      </c>
      <c r="C547" s="12">
        <f t="shared" si="120"/>
        <v>45895</v>
      </c>
      <c r="D547" s="2" t="str">
        <f>IF(Table1[[#This Row],[RequiredDate]]&lt;Table1[[#This Row],[OrderDate]],"Check","OK")</f>
        <v>OK</v>
      </c>
      <c r="E547" s="2">
        <v>45895</v>
      </c>
      <c r="F547" s="15">
        <f t="shared" si="121"/>
        <v>6</v>
      </c>
      <c r="G547" t="s">
        <v>648</v>
      </c>
      <c r="H547" t="s">
        <v>660</v>
      </c>
      <c r="I547" t="s">
        <v>700</v>
      </c>
      <c r="J547" t="s">
        <v>701</v>
      </c>
      <c r="K547" t="s">
        <v>707</v>
      </c>
      <c r="L547" t="s">
        <v>724</v>
      </c>
      <c r="M547" t="s">
        <v>729</v>
      </c>
      <c r="N547" t="s">
        <v>1277</v>
      </c>
      <c r="O547" s="29">
        <v>1304.95</v>
      </c>
      <c r="P547" t="str">
        <f>IF(Table1[[#This Row],[UnitPrice]]&lt;=0,"Check","OK")</f>
        <v>OK</v>
      </c>
      <c r="Q547" s="29">
        <f t="shared" si="122"/>
        <v>1712.03</v>
      </c>
      <c r="R547">
        <v>1712.03</v>
      </c>
      <c r="S547" s="5">
        <f>IF(Table1[[#This Row],[Discount_Flag]]="Check", MIN(MAX(Table1[[#This Row],[DiscountPct]],0),0.3), Table1[[#This Row],[DiscountPct]])</f>
        <v>0.21199999999999999</v>
      </c>
      <c r="T547" t="str">
        <f>IF(OR(Table1[[#This Row],[DiscountPct]]&lt;0,Table1[[#This Row],[DiscountPct]]&gt;0.3),"Check","OK")</f>
        <v>OK</v>
      </c>
      <c r="U547" s="11">
        <v>0.21199999999999999</v>
      </c>
      <c r="V547" s="15">
        <f t="shared" si="123"/>
        <v>1</v>
      </c>
      <c r="W547" s="11">
        <f t="shared" si="124"/>
        <v>3.2710922833287949E-2</v>
      </c>
      <c r="X547" s="17">
        <f t="shared" si="125"/>
        <v>10439.6</v>
      </c>
      <c r="Y547" s="17">
        <f t="shared" si="126"/>
        <v>353.03711999999905</v>
      </c>
      <c r="Z547" s="17">
        <f t="shared" si="127"/>
        <v>10792.637119999999</v>
      </c>
      <c r="AA547" s="17" t="str">
        <f t="shared" si="128"/>
        <v>Q3-2025</v>
      </c>
      <c r="AB547" s="12" t="str">
        <f t="shared" si="129"/>
        <v>Aug-2025</v>
      </c>
      <c r="AC547" s="12" t="str">
        <f t="shared" si="130"/>
        <v>Medium</v>
      </c>
      <c r="AD547">
        <v>8</v>
      </c>
      <c r="AE547" s="12">
        <f>_xlfn.MINIFS(Table1[MonthDate], Table1[Country], Table1[[#This Row],[Country]])</f>
        <v>44927</v>
      </c>
      <c r="AF547" s="12">
        <f t="shared" si="131"/>
        <v>45870</v>
      </c>
      <c r="AG547">
        <f>AD547*(1 + Scenario_Control!$B$4)</f>
        <v>8.8000000000000007</v>
      </c>
      <c r="AH547">
        <f>O547*(1 + Scenario_Control!$B$3)</f>
        <v>1370.1975000000002</v>
      </c>
      <c r="AI547">
        <f t="shared" si="132"/>
        <v>2374.3801664000002</v>
      </c>
      <c r="AJ547">
        <f t="shared" si="133"/>
        <v>-9683.3578336000028</v>
      </c>
      <c r="AK547" s="29">
        <f>MIN(Q547*(1-U547), Scenario_Control!$B$2*Q547)</f>
        <v>342.40600000000001</v>
      </c>
      <c r="AL547" s="15">
        <f t="shared" si="134"/>
        <v>1</v>
      </c>
      <c r="AM547" s="8">
        <f>DATEDIF(Table1[[#This Row],[Country_FirstMonth]], Table1[[#This Row],[MonthDate]], "m")</f>
        <v>31</v>
      </c>
    </row>
    <row r="548" spans="1:39" x14ac:dyDescent="0.25">
      <c r="A548" t="s">
        <v>560</v>
      </c>
      <c r="B548" s="12">
        <v>45355</v>
      </c>
      <c r="C548" s="12">
        <f t="shared" si="120"/>
        <v>45367</v>
      </c>
      <c r="D548" s="2" t="str">
        <f>IF(Table1[[#This Row],[RequiredDate]]&lt;Table1[[#This Row],[OrderDate]],"Check","OK")</f>
        <v>OK</v>
      </c>
      <c r="E548" s="2">
        <v>45367</v>
      </c>
      <c r="F548" s="15">
        <f t="shared" si="121"/>
        <v>12</v>
      </c>
      <c r="G548" t="s">
        <v>646</v>
      </c>
      <c r="H548" t="s">
        <v>661</v>
      </c>
      <c r="I548" t="s">
        <v>682</v>
      </c>
      <c r="J548" t="s">
        <v>706</v>
      </c>
      <c r="K548" t="s">
        <v>710</v>
      </c>
      <c r="L548" t="s">
        <v>724</v>
      </c>
      <c r="M548" t="s">
        <v>732</v>
      </c>
      <c r="N548" t="s">
        <v>1278</v>
      </c>
      <c r="O548" s="29">
        <v>441.08</v>
      </c>
      <c r="P548" t="str">
        <f>IF(Table1[[#This Row],[UnitPrice]]&lt;=0,"Check","OK")</f>
        <v>OK</v>
      </c>
      <c r="Q548" s="29">
        <f t="shared" si="122"/>
        <v>1054.29</v>
      </c>
      <c r="R548">
        <v>1054.29</v>
      </c>
      <c r="S548" s="5">
        <f>IF(Table1[[#This Row],[Discount_Flag]]="Check", MIN(MAX(Table1[[#This Row],[DiscountPct]],0),0.3), Table1[[#This Row],[DiscountPct]])</f>
        <v>0.23699999999999999</v>
      </c>
      <c r="T548" t="str">
        <f>IF(OR(Table1[[#This Row],[DiscountPct]]&lt;0,Table1[[#This Row],[DiscountPct]]&gt;0.3),"Check","OK")</f>
        <v>OK</v>
      </c>
      <c r="U548" s="11">
        <v>0.23699999999999999</v>
      </c>
      <c r="V548" s="15">
        <f t="shared" si="123"/>
        <v>1</v>
      </c>
      <c r="W548" s="11">
        <f t="shared" si="124"/>
        <v>0.45168169985932899</v>
      </c>
      <c r="X548" s="17">
        <f t="shared" si="125"/>
        <v>2646.48</v>
      </c>
      <c r="Y548" s="17">
        <f t="shared" si="126"/>
        <v>2180.0596199999995</v>
      </c>
      <c r="Z548" s="17">
        <f t="shared" si="127"/>
        <v>4826.5396199999996</v>
      </c>
      <c r="AA548" s="17" t="str">
        <f t="shared" si="128"/>
        <v>Q1-2024</v>
      </c>
      <c r="AB548" s="12" t="str">
        <f t="shared" si="129"/>
        <v>Mar-2024</v>
      </c>
      <c r="AC548" s="12" t="str">
        <f t="shared" si="130"/>
        <v>Medium</v>
      </c>
      <c r="AD548">
        <v>6</v>
      </c>
      <c r="AE548" s="12">
        <f>_xlfn.MINIFS(Table1[MonthDate], Table1[Country], Table1[[#This Row],[Country]])</f>
        <v>44927</v>
      </c>
      <c r="AF548" s="12">
        <f t="shared" si="131"/>
        <v>45352</v>
      </c>
      <c r="AG548">
        <f>AD548*(1 + Scenario_Control!$B$4)</f>
        <v>6.6000000000000005</v>
      </c>
      <c r="AH548">
        <f>O548*(1 + Scenario_Control!$B$3)</f>
        <v>463.13400000000001</v>
      </c>
      <c r="AI548">
        <f t="shared" si="132"/>
        <v>1061.8387164000001</v>
      </c>
      <c r="AJ548">
        <f t="shared" si="133"/>
        <v>-1994.8456836000005</v>
      </c>
      <c r="AK548" s="29">
        <f>MIN(Q548*(1-U548), Scenario_Control!$B$2*Q548)</f>
        <v>210.858</v>
      </c>
      <c r="AL548" s="15">
        <f t="shared" si="134"/>
        <v>0</v>
      </c>
      <c r="AM548" s="8">
        <f>DATEDIF(Table1[[#This Row],[Country_FirstMonth]], Table1[[#This Row],[MonthDate]], "m")</f>
        <v>14</v>
      </c>
    </row>
    <row r="549" spans="1:39" x14ac:dyDescent="0.25">
      <c r="A549" t="s">
        <v>561</v>
      </c>
      <c r="B549" s="12">
        <v>45177</v>
      </c>
      <c r="C549" s="12">
        <f t="shared" si="120"/>
        <v>45201</v>
      </c>
      <c r="D549" s="2" t="str">
        <f>IF(Table1[[#This Row],[RequiredDate]]&lt;Table1[[#This Row],[OrderDate]],"Check","OK")</f>
        <v>OK</v>
      </c>
      <c r="E549" s="2">
        <v>45201</v>
      </c>
      <c r="F549" s="15">
        <f t="shared" si="121"/>
        <v>24</v>
      </c>
      <c r="G549" t="s">
        <v>648</v>
      </c>
      <c r="H549" t="s">
        <v>653</v>
      </c>
      <c r="I549" t="s">
        <v>667</v>
      </c>
      <c r="J549" t="s">
        <v>702</v>
      </c>
      <c r="K549" t="s">
        <v>711</v>
      </c>
      <c r="L549" t="s">
        <v>720</v>
      </c>
      <c r="M549" t="s">
        <v>733</v>
      </c>
      <c r="N549" t="s">
        <v>1279</v>
      </c>
      <c r="O549" s="29">
        <v>1299.03</v>
      </c>
      <c r="P549" t="str">
        <f>IF(Table1[[#This Row],[UnitPrice]]&lt;=0,"Check","OK")</f>
        <v>OK</v>
      </c>
      <c r="Q549" s="29">
        <f t="shared" si="122"/>
        <v>2451.2199999999998</v>
      </c>
      <c r="R549">
        <v>2451.2199999999998</v>
      </c>
      <c r="S549" s="5">
        <f>IF(Table1[[#This Row],[Discount_Flag]]="Check", MIN(MAX(Table1[[#This Row],[DiscountPct]],0),0.3), Table1[[#This Row],[DiscountPct]])</f>
        <v>0.20799999999999999</v>
      </c>
      <c r="T549" t="str">
        <f>IF(OR(Table1[[#This Row],[DiscountPct]]&lt;0,Table1[[#This Row],[DiscountPct]]&gt;0.3),"Check","OK")</f>
        <v>OK</v>
      </c>
      <c r="U549" s="11">
        <v>0.20799999999999999</v>
      </c>
      <c r="V549" s="15">
        <f t="shared" si="123"/>
        <v>1</v>
      </c>
      <c r="W549" s="11">
        <f t="shared" si="124"/>
        <v>0.3308681416032041</v>
      </c>
      <c r="X549" s="17">
        <f t="shared" si="125"/>
        <v>10392.24</v>
      </c>
      <c r="Y549" s="17">
        <f t="shared" si="126"/>
        <v>5138.6899199999989</v>
      </c>
      <c r="Z549" s="17">
        <f t="shared" si="127"/>
        <v>15530.929919999999</v>
      </c>
      <c r="AA549" s="17" t="str">
        <f t="shared" si="128"/>
        <v>Q3-2023</v>
      </c>
      <c r="AB549" s="12" t="str">
        <f t="shared" si="129"/>
        <v>Sept-2023</v>
      </c>
      <c r="AC549" s="12" t="str">
        <f t="shared" si="130"/>
        <v>High</v>
      </c>
      <c r="AD549">
        <v>8</v>
      </c>
      <c r="AE549" s="12">
        <f>_xlfn.MINIFS(Table1[MonthDate], Table1[Country], Table1[[#This Row],[Country]])</f>
        <v>44927</v>
      </c>
      <c r="AF549" s="12">
        <f t="shared" si="131"/>
        <v>45170</v>
      </c>
      <c r="AG549">
        <f>AD549*(1 + Scenario_Control!$B$4)</f>
        <v>8.8000000000000007</v>
      </c>
      <c r="AH549">
        <f>O549*(1 + Scenario_Control!$B$3)</f>
        <v>1363.9815000000001</v>
      </c>
      <c r="AI549">
        <f t="shared" si="132"/>
        <v>3416.8045824000005</v>
      </c>
      <c r="AJ549">
        <f t="shared" si="133"/>
        <v>-8586.2326176000024</v>
      </c>
      <c r="AK549" s="29">
        <f>MIN(Q549*(1-U549), Scenario_Control!$B$2*Q549)</f>
        <v>490.24399999999997</v>
      </c>
      <c r="AL549" s="15">
        <f t="shared" si="134"/>
        <v>0</v>
      </c>
      <c r="AM549" s="8">
        <f>DATEDIF(Table1[[#This Row],[Country_FirstMonth]], Table1[[#This Row],[MonthDate]], "m")</f>
        <v>8</v>
      </c>
    </row>
    <row r="550" spans="1:39" x14ac:dyDescent="0.25">
      <c r="A550" t="s">
        <v>562</v>
      </c>
      <c r="B550" s="12">
        <v>44985</v>
      </c>
      <c r="C550" s="12">
        <f t="shared" si="120"/>
        <v>44991</v>
      </c>
      <c r="D550" s="2" t="str">
        <f>IF(Table1[[#This Row],[RequiredDate]]&lt;Table1[[#This Row],[OrderDate]],"Check","OK")</f>
        <v>OK</v>
      </c>
      <c r="E550" s="2">
        <v>44991</v>
      </c>
      <c r="F550" s="15">
        <f t="shared" si="121"/>
        <v>6</v>
      </c>
      <c r="G550" t="s">
        <v>649</v>
      </c>
      <c r="H550" t="s">
        <v>656</v>
      </c>
      <c r="I550" t="s">
        <v>698</v>
      </c>
      <c r="J550" t="s">
        <v>705</v>
      </c>
      <c r="K550" t="s">
        <v>709</v>
      </c>
      <c r="L550" t="s">
        <v>726</v>
      </c>
      <c r="M550" t="s">
        <v>728</v>
      </c>
      <c r="N550" t="s">
        <v>1280</v>
      </c>
      <c r="O550" s="29">
        <v>880.02</v>
      </c>
      <c r="P550" t="str">
        <f>IF(Table1[[#This Row],[UnitPrice]]&lt;=0,"Check","OK")</f>
        <v>OK</v>
      </c>
      <c r="Q550" s="29">
        <f t="shared" si="122"/>
        <v>1251.21</v>
      </c>
      <c r="R550">
        <v>1251.21</v>
      </c>
      <c r="S550" s="5">
        <f>IF(Table1[[#This Row],[Discount_Flag]]="Check", MIN(MAX(Table1[[#This Row],[DiscountPct]],0),0.3), Table1[[#This Row],[DiscountPct]])</f>
        <v>0.123</v>
      </c>
      <c r="T550" t="str">
        <f>IF(OR(Table1[[#This Row],[DiscountPct]]&lt;0,Table1[[#This Row],[DiscountPct]]&gt;0.3),"Check","OK")</f>
        <v>OK</v>
      </c>
      <c r="U550" s="11">
        <v>0.123</v>
      </c>
      <c r="V550" s="15">
        <f t="shared" si="123"/>
        <v>0</v>
      </c>
      <c r="W550" s="11">
        <f t="shared" si="124"/>
        <v>0.19802146915172672</v>
      </c>
      <c r="X550" s="17">
        <f t="shared" si="125"/>
        <v>25520.579999999998</v>
      </c>
      <c r="Y550" s="17">
        <f t="shared" si="126"/>
        <v>6301.4439300000049</v>
      </c>
      <c r="Z550" s="17">
        <f t="shared" si="127"/>
        <v>31822.023930000003</v>
      </c>
      <c r="AA550" s="17" t="str">
        <f t="shared" si="128"/>
        <v>Q1-2023</v>
      </c>
      <c r="AB550" s="12" t="str">
        <f t="shared" si="129"/>
        <v>Feb-2023</v>
      </c>
      <c r="AC550" s="12" t="str">
        <f t="shared" si="130"/>
        <v>Medium</v>
      </c>
      <c r="AD550">
        <v>29</v>
      </c>
      <c r="AE550" s="12">
        <f>_xlfn.MINIFS(Table1[MonthDate], Table1[Country], Table1[[#This Row],[Country]])</f>
        <v>44927</v>
      </c>
      <c r="AF550" s="12">
        <f t="shared" si="131"/>
        <v>44958</v>
      </c>
      <c r="AG550">
        <f>AD550*(1 + Scenario_Control!$B$4)</f>
        <v>31.900000000000002</v>
      </c>
      <c r="AH550">
        <f>O550*(1 + Scenario_Control!$B$3)</f>
        <v>924.02100000000007</v>
      </c>
      <c r="AI550">
        <f t="shared" si="132"/>
        <v>7000.8452646000005</v>
      </c>
      <c r="AJ550">
        <f t="shared" si="133"/>
        <v>-22475.424635400002</v>
      </c>
      <c r="AK550" s="29">
        <f>MIN(Q550*(1-U550), Scenario_Control!$B$2*Q550)</f>
        <v>250.24200000000002</v>
      </c>
      <c r="AL550" s="15">
        <f t="shared" si="134"/>
        <v>1</v>
      </c>
      <c r="AM550" s="8">
        <f>DATEDIF(Table1[[#This Row],[Country_FirstMonth]], Table1[[#This Row],[MonthDate]], "m")</f>
        <v>1</v>
      </c>
    </row>
    <row r="551" spans="1:39" x14ac:dyDescent="0.25">
      <c r="A551" t="s">
        <v>563</v>
      </c>
      <c r="B551" s="12">
        <v>45486</v>
      </c>
      <c r="C551" s="12">
        <f t="shared" si="120"/>
        <v>45507</v>
      </c>
      <c r="D551" s="2" t="str">
        <f>IF(Table1[[#This Row],[RequiredDate]]&lt;Table1[[#This Row],[OrderDate]],"Check","OK")</f>
        <v>OK</v>
      </c>
      <c r="E551" s="2">
        <v>45507</v>
      </c>
      <c r="F551" s="15">
        <f t="shared" si="121"/>
        <v>21</v>
      </c>
      <c r="G551" t="s">
        <v>648</v>
      </c>
      <c r="H551" t="s">
        <v>655</v>
      </c>
      <c r="I551" t="s">
        <v>692</v>
      </c>
      <c r="J551" t="s">
        <v>701</v>
      </c>
      <c r="K551" t="s">
        <v>709</v>
      </c>
      <c r="L551" t="s">
        <v>724</v>
      </c>
      <c r="M551" t="s">
        <v>732</v>
      </c>
      <c r="N551" t="s">
        <v>1281</v>
      </c>
      <c r="O551" s="29">
        <v>702.98</v>
      </c>
      <c r="P551" t="str">
        <f>IF(Table1[[#This Row],[UnitPrice]]&lt;=0,"Check","OK")</f>
        <v>OK</v>
      </c>
      <c r="Q551" s="29">
        <f t="shared" si="122"/>
        <v>1104.8</v>
      </c>
      <c r="R551">
        <v>1104.8</v>
      </c>
      <c r="S551" s="5">
        <f>IF(Table1[[#This Row],[Discount_Flag]]="Check", MIN(MAX(Table1[[#This Row],[DiscountPct]],0),0.3), Table1[[#This Row],[DiscountPct]])</f>
        <v>0.17499999999999999</v>
      </c>
      <c r="T551" t="str">
        <f>IF(OR(Table1[[#This Row],[DiscountPct]]&lt;0,Table1[[#This Row],[DiscountPct]]&gt;0.3),"Check","OK")</f>
        <v>OK</v>
      </c>
      <c r="U551" s="11">
        <v>0.17499999999999999</v>
      </c>
      <c r="V551" s="15">
        <f t="shared" si="123"/>
        <v>0</v>
      </c>
      <c r="W551" s="11">
        <f t="shared" si="124"/>
        <v>0.22873192460448061</v>
      </c>
      <c r="X551" s="17">
        <f t="shared" si="125"/>
        <v>8435.76</v>
      </c>
      <c r="Y551" s="17">
        <f t="shared" si="126"/>
        <v>2501.7599999999984</v>
      </c>
      <c r="Z551" s="17">
        <f t="shared" si="127"/>
        <v>10937.519999999999</v>
      </c>
      <c r="AA551" s="17" t="str">
        <f t="shared" si="128"/>
        <v>Q3-2024</v>
      </c>
      <c r="AB551" s="12" t="str">
        <f t="shared" si="129"/>
        <v>Jul-2024</v>
      </c>
      <c r="AC551" s="12" t="str">
        <f t="shared" si="130"/>
        <v>Medium</v>
      </c>
      <c r="AD551">
        <v>12</v>
      </c>
      <c r="AE551" s="12">
        <f>_xlfn.MINIFS(Table1[MonthDate], Table1[Country], Table1[[#This Row],[Country]])</f>
        <v>44927</v>
      </c>
      <c r="AF551" s="12">
        <f t="shared" si="131"/>
        <v>45474</v>
      </c>
      <c r="AG551">
        <f>AD551*(1 + Scenario_Control!$B$4)</f>
        <v>13.200000000000001</v>
      </c>
      <c r="AH551">
        <f>O551*(1 + Scenario_Control!$B$3)</f>
        <v>738.12900000000002</v>
      </c>
      <c r="AI551">
        <f t="shared" si="132"/>
        <v>2406.2544000000003</v>
      </c>
      <c r="AJ551">
        <f t="shared" si="133"/>
        <v>-7337.0484000000015</v>
      </c>
      <c r="AK551" s="29">
        <f>MIN(Q551*(1-U551), Scenario_Control!$B$2*Q551)</f>
        <v>220.96</v>
      </c>
      <c r="AL551" s="15">
        <f t="shared" si="134"/>
        <v>0</v>
      </c>
      <c r="AM551" s="8">
        <f>DATEDIF(Table1[[#This Row],[Country_FirstMonth]], Table1[[#This Row],[MonthDate]], "m")</f>
        <v>18</v>
      </c>
    </row>
    <row r="552" spans="1:39" x14ac:dyDescent="0.25">
      <c r="A552" t="s">
        <v>564</v>
      </c>
      <c r="B552" s="12">
        <v>45633</v>
      </c>
      <c r="C552" s="12">
        <f t="shared" si="120"/>
        <v>45652</v>
      </c>
      <c r="D552" s="2" t="str">
        <f>IF(Table1[[#This Row],[RequiredDate]]&lt;Table1[[#This Row],[OrderDate]],"Check","OK")</f>
        <v>OK</v>
      </c>
      <c r="E552" s="2">
        <v>45652</v>
      </c>
      <c r="F552" s="15">
        <f t="shared" si="121"/>
        <v>19</v>
      </c>
      <c r="G552" t="s">
        <v>649</v>
      </c>
      <c r="H552" t="s">
        <v>658</v>
      </c>
      <c r="I552" t="s">
        <v>683</v>
      </c>
      <c r="J552" t="s">
        <v>706</v>
      </c>
      <c r="K552" t="s">
        <v>708</v>
      </c>
      <c r="L552" t="s">
        <v>726</v>
      </c>
      <c r="M552" t="s">
        <v>729</v>
      </c>
      <c r="N552" t="s">
        <v>1282</v>
      </c>
      <c r="O552" s="29">
        <v>1035.24</v>
      </c>
      <c r="P552" t="str">
        <f>IF(Table1[[#This Row],[UnitPrice]]&lt;=0,"Check","OK")</f>
        <v>OK</v>
      </c>
      <c r="Q552" s="29">
        <f t="shared" si="122"/>
        <v>2383.41</v>
      </c>
      <c r="R552">
        <v>2383.41</v>
      </c>
      <c r="S552" s="5">
        <f>IF(Table1[[#This Row],[Discount_Flag]]="Check", MIN(MAX(Table1[[#This Row],[DiscountPct]],0),0.3), Table1[[#This Row],[DiscountPct]])</f>
        <v>0.17</v>
      </c>
      <c r="T552" t="str">
        <f>IF(OR(Table1[[#This Row],[DiscountPct]]&lt;0,Table1[[#This Row],[DiscountPct]]&gt;0.3),"Check","OK")</f>
        <v>OK</v>
      </c>
      <c r="U552" s="11">
        <v>0.17</v>
      </c>
      <c r="V552" s="15">
        <f t="shared" si="123"/>
        <v>0</v>
      </c>
      <c r="W552" s="11">
        <f t="shared" si="124"/>
        <v>0.47668378145860962</v>
      </c>
      <c r="X552" s="17">
        <f t="shared" si="125"/>
        <v>15528.6</v>
      </c>
      <c r="Y552" s="17">
        <f t="shared" si="126"/>
        <v>14144.854499999992</v>
      </c>
      <c r="Z552" s="17">
        <f t="shared" si="127"/>
        <v>29673.454499999993</v>
      </c>
      <c r="AA552" s="17" t="str">
        <f t="shared" si="128"/>
        <v>Q4-2024</v>
      </c>
      <c r="AB552" s="12" t="str">
        <f t="shared" si="129"/>
        <v>Dec-2024</v>
      </c>
      <c r="AC552" s="12" t="str">
        <f t="shared" si="130"/>
        <v>High</v>
      </c>
      <c r="AD552">
        <v>15</v>
      </c>
      <c r="AE552" s="12">
        <f>_xlfn.MINIFS(Table1[MonthDate], Table1[Country], Table1[[#This Row],[Country]])</f>
        <v>44927</v>
      </c>
      <c r="AF552" s="12">
        <f t="shared" si="131"/>
        <v>45627</v>
      </c>
      <c r="AG552">
        <f>AD552*(1 + Scenario_Control!$B$4)</f>
        <v>16.5</v>
      </c>
      <c r="AH552">
        <f>O552*(1 + Scenario_Control!$B$3)</f>
        <v>1087.002</v>
      </c>
      <c r="AI552">
        <f t="shared" si="132"/>
        <v>6528.1599900000001</v>
      </c>
      <c r="AJ552">
        <f t="shared" si="133"/>
        <v>-11407.373009999999</v>
      </c>
      <c r="AK552" s="29">
        <f>MIN(Q552*(1-U552), Scenario_Control!$B$2*Q552)</f>
        <v>476.68200000000002</v>
      </c>
      <c r="AL552" s="15">
        <f t="shared" si="134"/>
        <v>0</v>
      </c>
      <c r="AM552" s="8">
        <f>DATEDIF(Table1[[#This Row],[Country_FirstMonth]], Table1[[#This Row],[MonthDate]], "m")</f>
        <v>23</v>
      </c>
    </row>
    <row r="553" spans="1:39" x14ac:dyDescent="0.25">
      <c r="A553" t="s">
        <v>565</v>
      </c>
      <c r="B553" s="12">
        <v>45875</v>
      </c>
      <c r="C553" s="12">
        <f t="shared" si="120"/>
        <v>45892</v>
      </c>
      <c r="D553" s="2" t="str">
        <f>IF(Table1[[#This Row],[RequiredDate]]&lt;Table1[[#This Row],[OrderDate]],"Check","OK")</f>
        <v>OK</v>
      </c>
      <c r="E553" s="2">
        <v>45892</v>
      </c>
      <c r="F553" s="15">
        <f t="shared" si="121"/>
        <v>17</v>
      </c>
      <c r="G553" t="s">
        <v>648</v>
      </c>
      <c r="H553" t="s">
        <v>655</v>
      </c>
      <c r="I553" t="s">
        <v>672</v>
      </c>
      <c r="J553" t="s">
        <v>704</v>
      </c>
      <c r="K553" t="s">
        <v>710</v>
      </c>
      <c r="L553" t="s">
        <v>720</v>
      </c>
      <c r="M553" t="s">
        <v>732</v>
      </c>
      <c r="N553" t="s">
        <v>1283</v>
      </c>
      <c r="O553" s="29">
        <v>86.64</v>
      </c>
      <c r="P553" t="str">
        <f>IF(Table1[[#This Row],[UnitPrice]]&lt;=0,"Check","OK")</f>
        <v>OK</v>
      </c>
      <c r="Q553" s="29">
        <f t="shared" si="122"/>
        <v>213.06</v>
      </c>
      <c r="R553">
        <v>213.06</v>
      </c>
      <c r="S553" s="5">
        <f>IF(Table1[[#This Row],[Discount_Flag]]="Check", MIN(MAX(Table1[[#This Row],[DiscountPct]],0),0.3), Table1[[#This Row],[DiscountPct]])</f>
        <v>0.21199999999999999</v>
      </c>
      <c r="T553" t="str">
        <f>IF(OR(Table1[[#This Row],[DiscountPct]]&lt;0,Table1[[#This Row],[DiscountPct]]&gt;0.3),"Check","OK")</f>
        <v>OK</v>
      </c>
      <c r="U553" s="11">
        <v>0.21199999999999999</v>
      </c>
      <c r="V553" s="15">
        <f t="shared" si="123"/>
        <v>1</v>
      </c>
      <c r="W553" s="11">
        <f t="shared" si="124"/>
        <v>0.48395175735154322</v>
      </c>
      <c r="X553" s="17">
        <f t="shared" si="125"/>
        <v>953.04</v>
      </c>
      <c r="Y553" s="17">
        <f t="shared" si="126"/>
        <v>893.76407999999992</v>
      </c>
      <c r="Z553" s="17">
        <f t="shared" si="127"/>
        <v>1846.8040799999999</v>
      </c>
      <c r="AA553" s="17" t="str">
        <f t="shared" si="128"/>
        <v>Q3-2025</v>
      </c>
      <c r="AB553" s="12" t="str">
        <f t="shared" si="129"/>
        <v>Aug-2025</v>
      </c>
      <c r="AC553" s="12" t="str">
        <f t="shared" si="130"/>
        <v>Low</v>
      </c>
      <c r="AD553">
        <v>11</v>
      </c>
      <c r="AE553" s="12">
        <f>_xlfn.MINIFS(Table1[MonthDate], Table1[Country], Table1[[#This Row],[Country]])</f>
        <v>44927</v>
      </c>
      <c r="AF553" s="12">
        <f t="shared" si="131"/>
        <v>45870</v>
      </c>
      <c r="AG553">
        <f>AD553*(1 + Scenario_Control!$B$4)</f>
        <v>12.100000000000001</v>
      </c>
      <c r="AH553">
        <f>O553*(1 + Scenario_Control!$B$3)</f>
        <v>90.972000000000008</v>
      </c>
      <c r="AI553">
        <f t="shared" si="132"/>
        <v>406.29689760000008</v>
      </c>
      <c r="AJ553">
        <f t="shared" si="133"/>
        <v>-694.46430240000007</v>
      </c>
      <c r="AK553" s="29">
        <f>MIN(Q553*(1-U553), Scenario_Control!$B$2*Q553)</f>
        <v>42.612000000000002</v>
      </c>
      <c r="AL553" s="15">
        <f t="shared" si="134"/>
        <v>0</v>
      </c>
      <c r="AM553" s="8">
        <f>DATEDIF(Table1[[#This Row],[Country_FirstMonth]], Table1[[#This Row],[MonthDate]], "m")</f>
        <v>31</v>
      </c>
    </row>
    <row r="554" spans="1:39" x14ac:dyDescent="0.25">
      <c r="A554" t="s">
        <v>566</v>
      </c>
      <c r="B554" s="12">
        <v>44988</v>
      </c>
      <c r="C554" s="12">
        <f t="shared" si="120"/>
        <v>45005</v>
      </c>
      <c r="D554" s="2" t="str">
        <f>IF(Table1[[#This Row],[RequiredDate]]&lt;Table1[[#This Row],[OrderDate]],"Check","OK")</f>
        <v>OK</v>
      </c>
      <c r="E554" s="2">
        <v>45005</v>
      </c>
      <c r="F554" s="15">
        <f t="shared" si="121"/>
        <v>17</v>
      </c>
      <c r="G554" t="s">
        <v>647</v>
      </c>
      <c r="H554" t="s">
        <v>652</v>
      </c>
      <c r="I554" t="s">
        <v>694</v>
      </c>
      <c r="J554" t="s">
        <v>705</v>
      </c>
      <c r="K554" t="s">
        <v>708</v>
      </c>
      <c r="L554" t="s">
        <v>726</v>
      </c>
      <c r="M554" t="s">
        <v>729</v>
      </c>
      <c r="N554" t="s">
        <v>1284</v>
      </c>
      <c r="O554" s="29">
        <v>1171.17</v>
      </c>
      <c r="P554" t="str">
        <f>IF(Table1[[#This Row],[UnitPrice]]&lt;=0,"Check","OK")</f>
        <v>OK</v>
      </c>
      <c r="Q554" s="29">
        <f t="shared" si="122"/>
        <v>2030.64</v>
      </c>
      <c r="R554">
        <v>2030.64</v>
      </c>
      <c r="S554" s="5">
        <f>IF(Table1[[#This Row],[Discount_Flag]]="Check", MIN(MAX(Table1[[#This Row],[DiscountPct]],0),0.3), Table1[[#This Row],[DiscountPct]])</f>
        <v>0.157</v>
      </c>
      <c r="T554" t="str">
        <f>IF(OR(Table1[[#This Row],[DiscountPct]]&lt;0,Table1[[#This Row],[DiscountPct]]&gt;0.3),"Check","OK")</f>
        <v>OK</v>
      </c>
      <c r="U554" s="11">
        <v>0.157</v>
      </c>
      <c r="V554" s="15">
        <f t="shared" si="123"/>
        <v>0</v>
      </c>
      <c r="W554" s="11">
        <f t="shared" si="124"/>
        <v>0.31583724528830415</v>
      </c>
      <c r="X554" s="17">
        <f t="shared" si="125"/>
        <v>12882.87</v>
      </c>
      <c r="Y554" s="17">
        <f t="shared" si="126"/>
        <v>5947.254719999999</v>
      </c>
      <c r="Z554" s="17">
        <f t="shared" si="127"/>
        <v>18830.12472</v>
      </c>
      <c r="AA554" s="17" t="str">
        <f t="shared" si="128"/>
        <v>Q1-2023</v>
      </c>
      <c r="AB554" s="12" t="str">
        <f t="shared" si="129"/>
        <v>Mar-2023</v>
      </c>
      <c r="AC554" s="12" t="str">
        <f t="shared" si="130"/>
        <v>High</v>
      </c>
      <c r="AD554">
        <v>11</v>
      </c>
      <c r="AE554" s="12">
        <f>_xlfn.MINIFS(Table1[MonthDate], Table1[Country], Table1[[#This Row],[Country]])</f>
        <v>44986</v>
      </c>
      <c r="AF554" s="12">
        <f t="shared" si="131"/>
        <v>44986</v>
      </c>
      <c r="AG554">
        <f>AD554*(1 + Scenario_Control!$B$4)</f>
        <v>12.100000000000001</v>
      </c>
      <c r="AH554">
        <f>O554*(1 + Scenario_Control!$B$3)</f>
        <v>1229.7285000000002</v>
      </c>
      <c r="AI554">
        <f t="shared" si="132"/>
        <v>4142.6274384000008</v>
      </c>
      <c r="AJ554">
        <f t="shared" si="133"/>
        <v>-10737.087411600003</v>
      </c>
      <c r="AK554" s="29">
        <f>MIN(Q554*(1-U554), Scenario_Control!$B$2*Q554)</f>
        <v>406.12800000000004</v>
      </c>
      <c r="AL554" s="15">
        <f t="shared" si="134"/>
        <v>0</v>
      </c>
      <c r="AM554" s="8">
        <f>DATEDIF(Table1[[#This Row],[Country_FirstMonth]], Table1[[#This Row],[MonthDate]], "m")</f>
        <v>0</v>
      </c>
    </row>
    <row r="555" spans="1:39" x14ac:dyDescent="0.25">
      <c r="A555" t="s">
        <v>567</v>
      </c>
      <c r="B555" s="12">
        <v>45704</v>
      </c>
      <c r="C555" s="12">
        <f t="shared" si="120"/>
        <v>45733</v>
      </c>
      <c r="D555" s="2" t="str">
        <f>IF(Table1[[#This Row],[RequiredDate]]&lt;Table1[[#This Row],[OrderDate]],"Check","OK")</f>
        <v>OK</v>
      </c>
      <c r="E555" s="2">
        <v>45733</v>
      </c>
      <c r="F555" s="15">
        <f t="shared" si="121"/>
        <v>29</v>
      </c>
      <c r="G555" t="s">
        <v>649</v>
      </c>
      <c r="H555" t="s">
        <v>656</v>
      </c>
      <c r="I555" t="s">
        <v>684</v>
      </c>
      <c r="J555" t="s">
        <v>704</v>
      </c>
      <c r="K555" t="s">
        <v>707</v>
      </c>
      <c r="L555" t="s">
        <v>716</v>
      </c>
      <c r="M555" t="s">
        <v>733</v>
      </c>
      <c r="N555" t="s">
        <v>1285</v>
      </c>
      <c r="O555" s="29">
        <v>730.42</v>
      </c>
      <c r="P555" t="str">
        <f>IF(Table1[[#This Row],[UnitPrice]]&lt;=0,"Check","OK")</f>
        <v>OK</v>
      </c>
      <c r="Q555" s="29">
        <f t="shared" si="122"/>
        <v>956.7</v>
      </c>
      <c r="R555">
        <v>956.7</v>
      </c>
      <c r="S555" s="5">
        <f>IF(Table1[[#This Row],[Discount_Flag]]="Check", MIN(MAX(Table1[[#This Row],[DiscountPct]],0),0.3), Table1[[#This Row],[DiscountPct]])</f>
        <v>4.2000000000000003E-2</v>
      </c>
      <c r="T555" t="str">
        <f>IF(OR(Table1[[#This Row],[DiscountPct]]&lt;0,Table1[[#This Row],[DiscountPct]]&gt;0.3),"Check","OK")</f>
        <v>OK</v>
      </c>
      <c r="U555" s="11">
        <v>4.2000000000000003E-2</v>
      </c>
      <c r="V555" s="15">
        <f t="shared" si="123"/>
        <v>0</v>
      </c>
      <c r="W555" s="11">
        <f t="shared" si="124"/>
        <v>0.20304945256975698</v>
      </c>
      <c r="X555" s="17">
        <f t="shared" si="125"/>
        <v>16069.24</v>
      </c>
      <c r="Y555" s="17">
        <f t="shared" si="126"/>
        <v>4094.1692000000021</v>
      </c>
      <c r="Z555" s="17">
        <f t="shared" si="127"/>
        <v>20163.409200000002</v>
      </c>
      <c r="AA555" s="17" t="str">
        <f t="shared" si="128"/>
        <v>Q1-2025</v>
      </c>
      <c r="AB555" s="12" t="str">
        <f t="shared" si="129"/>
        <v>Feb-2025</v>
      </c>
      <c r="AC555" s="12" t="str">
        <f t="shared" si="130"/>
        <v>Medium</v>
      </c>
      <c r="AD555">
        <v>22</v>
      </c>
      <c r="AE555" s="12">
        <f>_xlfn.MINIFS(Table1[MonthDate], Table1[Country], Table1[[#This Row],[Country]])</f>
        <v>44927</v>
      </c>
      <c r="AF555" s="12">
        <f t="shared" si="131"/>
        <v>45689</v>
      </c>
      <c r="AG555">
        <f>AD555*(1 + Scenario_Control!$B$4)</f>
        <v>24.200000000000003</v>
      </c>
      <c r="AH555">
        <f>O555*(1 + Scenario_Control!$B$3)</f>
        <v>766.94100000000003</v>
      </c>
      <c r="AI555">
        <f t="shared" si="132"/>
        <v>4435.9500240000016</v>
      </c>
      <c r="AJ555">
        <f t="shared" si="133"/>
        <v>-14124.022176000002</v>
      </c>
      <c r="AK555" s="29">
        <f>MIN(Q555*(1-U555), Scenario_Control!$B$2*Q555)</f>
        <v>191.34000000000003</v>
      </c>
      <c r="AL555" s="15">
        <f t="shared" si="134"/>
        <v>0</v>
      </c>
      <c r="AM555" s="8">
        <f>DATEDIF(Table1[[#This Row],[Country_FirstMonth]], Table1[[#This Row],[MonthDate]], "m")</f>
        <v>25</v>
      </c>
    </row>
    <row r="556" spans="1:39" x14ac:dyDescent="0.25">
      <c r="A556" t="s">
        <v>568</v>
      </c>
      <c r="B556" s="12">
        <v>45703</v>
      </c>
      <c r="C556" s="12">
        <f t="shared" si="120"/>
        <v>45717</v>
      </c>
      <c r="D556" s="2" t="str">
        <f>IF(Table1[[#This Row],[RequiredDate]]&lt;Table1[[#This Row],[OrderDate]],"Check","OK")</f>
        <v>OK</v>
      </c>
      <c r="E556" s="2">
        <v>45717</v>
      </c>
      <c r="F556" s="15">
        <f t="shared" si="121"/>
        <v>14</v>
      </c>
      <c r="G556" t="s">
        <v>646</v>
      </c>
      <c r="H556" t="s">
        <v>650</v>
      </c>
      <c r="I556" t="s">
        <v>675</v>
      </c>
      <c r="J556" t="s">
        <v>702</v>
      </c>
      <c r="K556" t="s">
        <v>711</v>
      </c>
      <c r="L556" t="s">
        <v>716</v>
      </c>
      <c r="M556" t="s">
        <v>733</v>
      </c>
      <c r="N556" t="s">
        <v>1286</v>
      </c>
      <c r="O556" s="29">
        <v>1162.8599999999999</v>
      </c>
      <c r="P556" t="str">
        <f>IF(Table1[[#This Row],[UnitPrice]]&lt;=0,"Check","OK")</f>
        <v>OK</v>
      </c>
      <c r="Q556" s="29">
        <f t="shared" si="122"/>
        <v>1447.68</v>
      </c>
      <c r="R556">
        <v>1447.68</v>
      </c>
      <c r="S556" s="5">
        <f>IF(Table1[[#This Row],[Discount_Flag]]="Check", MIN(MAX(Table1[[#This Row],[DiscountPct]],0),0.3), Table1[[#This Row],[DiscountPct]])</f>
        <v>8.6999999999999994E-2</v>
      </c>
      <c r="T556" t="str">
        <f>IF(OR(Table1[[#This Row],[DiscountPct]]&lt;0,Table1[[#This Row],[DiscountPct]]&gt;0.3),"Check","OK")</f>
        <v>OK</v>
      </c>
      <c r="U556" s="11">
        <v>8.6999999999999994E-2</v>
      </c>
      <c r="V556" s="15">
        <f t="shared" si="123"/>
        <v>0</v>
      </c>
      <c r="W556" s="11">
        <f t="shared" si="124"/>
        <v>0.12019975247021369</v>
      </c>
      <c r="X556" s="17">
        <f t="shared" si="125"/>
        <v>13954.32</v>
      </c>
      <c r="Y556" s="17">
        <f t="shared" si="126"/>
        <v>1906.4620800000012</v>
      </c>
      <c r="Z556" s="17">
        <f t="shared" si="127"/>
        <v>15860.782080000001</v>
      </c>
      <c r="AA556" s="17" t="str">
        <f t="shared" si="128"/>
        <v>Q1-2025</v>
      </c>
      <c r="AB556" s="12" t="str">
        <f t="shared" si="129"/>
        <v>Feb-2025</v>
      </c>
      <c r="AC556" s="12" t="str">
        <f t="shared" si="130"/>
        <v>Medium</v>
      </c>
      <c r="AD556">
        <v>12</v>
      </c>
      <c r="AE556" s="12">
        <f>_xlfn.MINIFS(Table1[MonthDate], Table1[Country], Table1[[#This Row],[Country]])</f>
        <v>44927</v>
      </c>
      <c r="AF556" s="12">
        <f t="shared" si="131"/>
        <v>45689</v>
      </c>
      <c r="AG556">
        <f>AD556*(1 + Scenario_Control!$B$4)</f>
        <v>13.200000000000001</v>
      </c>
      <c r="AH556">
        <f>O556*(1 + Scenario_Control!$B$3)</f>
        <v>1221.0029999999999</v>
      </c>
      <c r="AI556">
        <f t="shared" si="132"/>
        <v>3489.3720576000005</v>
      </c>
      <c r="AJ556">
        <f t="shared" si="133"/>
        <v>-12627.867542399999</v>
      </c>
      <c r="AK556" s="29">
        <f>MIN(Q556*(1-U556), Scenario_Control!$B$2*Q556)</f>
        <v>289.536</v>
      </c>
      <c r="AL556" s="15">
        <f t="shared" si="134"/>
        <v>0</v>
      </c>
      <c r="AM556" s="8">
        <f>DATEDIF(Table1[[#This Row],[Country_FirstMonth]], Table1[[#This Row],[MonthDate]], "m")</f>
        <v>25</v>
      </c>
    </row>
    <row r="557" spans="1:39" x14ac:dyDescent="0.25">
      <c r="A557" t="s">
        <v>569</v>
      </c>
      <c r="B557" s="12">
        <v>45535</v>
      </c>
      <c r="C557" s="12">
        <f t="shared" si="120"/>
        <v>45561</v>
      </c>
      <c r="D557" s="2" t="str">
        <f>IF(Table1[[#This Row],[RequiredDate]]&lt;Table1[[#This Row],[OrderDate]],"Check","OK")</f>
        <v>OK</v>
      </c>
      <c r="E557" s="2">
        <v>45561</v>
      </c>
      <c r="F557" s="15">
        <f t="shared" si="121"/>
        <v>26</v>
      </c>
      <c r="G557" t="s">
        <v>647</v>
      </c>
      <c r="H557" t="s">
        <v>652</v>
      </c>
      <c r="I557" t="s">
        <v>689</v>
      </c>
      <c r="J557" t="s">
        <v>702</v>
      </c>
      <c r="K557" t="s">
        <v>708</v>
      </c>
      <c r="L557" t="s">
        <v>714</v>
      </c>
      <c r="M557" t="s">
        <v>730</v>
      </c>
      <c r="N557" t="s">
        <v>1287</v>
      </c>
      <c r="O557" s="29">
        <v>1189.03</v>
      </c>
      <c r="P557" t="str">
        <f>IF(Table1[[#This Row],[UnitPrice]]&lt;=0,"Check","OK")</f>
        <v>OK</v>
      </c>
      <c r="Q557" s="29">
        <f t="shared" si="122"/>
        <v>2949.62</v>
      </c>
      <c r="R557">
        <v>2949.62</v>
      </c>
      <c r="S557" s="5">
        <f>IF(Table1[[#This Row],[Discount_Flag]]="Check", MIN(MAX(Table1[[#This Row],[DiscountPct]],0),0.3), Table1[[#This Row],[DiscountPct]])</f>
        <v>0.125</v>
      </c>
      <c r="T557" t="str">
        <f>IF(OR(Table1[[#This Row],[DiscountPct]]&lt;0,Table1[[#This Row],[DiscountPct]]&gt;0.3),"Check","OK")</f>
        <v>OK</v>
      </c>
      <c r="U557" s="11">
        <v>0.125</v>
      </c>
      <c r="V557" s="15">
        <f t="shared" si="123"/>
        <v>0</v>
      </c>
      <c r="W557" s="11">
        <f t="shared" si="124"/>
        <v>0.53929949330034765</v>
      </c>
      <c r="X557" s="17">
        <f t="shared" si="125"/>
        <v>15457.39</v>
      </c>
      <c r="Y557" s="17">
        <f t="shared" si="126"/>
        <v>18094.537499999999</v>
      </c>
      <c r="Z557" s="17">
        <f t="shared" si="127"/>
        <v>33551.927499999998</v>
      </c>
      <c r="AA557" s="17" t="str">
        <f t="shared" si="128"/>
        <v>Q3-2024</v>
      </c>
      <c r="AB557" s="12" t="str">
        <f t="shared" si="129"/>
        <v>Aug-2024</v>
      </c>
      <c r="AC557" s="12" t="str">
        <f t="shared" si="130"/>
        <v>High</v>
      </c>
      <c r="AD557">
        <v>13</v>
      </c>
      <c r="AE557" s="12">
        <f>_xlfn.MINIFS(Table1[MonthDate], Table1[Country], Table1[[#This Row],[Country]])</f>
        <v>44986</v>
      </c>
      <c r="AF557" s="12">
        <f t="shared" si="131"/>
        <v>45505</v>
      </c>
      <c r="AG557">
        <f>AD557*(1 + Scenario_Control!$B$4)</f>
        <v>14.3</v>
      </c>
      <c r="AH557">
        <f>O557*(1 + Scenario_Control!$B$3)</f>
        <v>1248.4815000000001</v>
      </c>
      <c r="AI557">
        <f t="shared" si="132"/>
        <v>7381.4240500000005</v>
      </c>
      <c r="AJ557">
        <f t="shared" si="133"/>
        <v>-10471.861400000002</v>
      </c>
      <c r="AK557" s="29">
        <f>MIN(Q557*(1-U557), Scenario_Control!$B$2*Q557)</f>
        <v>589.92399999999998</v>
      </c>
      <c r="AL557" s="15">
        <f t="shared" si="134"/>
        <v>0</v>
      </c>
      <c r="AM557" s="8">
        <f>DATEDIF(Table1[[#This Row],[Country_FirstMonth]], Table1[[#This Row],[MonthDate]], "m")</f>
        <v>17</v>
      </c>
    </row>
    <row r="558" spans="1:39" x14ac:dyDescent="0.25">
      <c r="A558" t="s">
        <v>570</v>
      </c>
      <c r="B558" s="12">
        <v>45053</v>
      </c>
      <c r="C558" s="12">
        <f t="shared" si="120"/>
        <v>45066</v>
      </c>
      <c r="D558" s="2" t="str">
        <f>IF(Table1[[#This Row],[RequiredDate]]&lt;Table1[[#This Row],[OrderDate]],"Check","OK")</f>
        <v>OK</v>
      </c>
      <c r="E558" s="2">
        <v>45066</v>
      </c>
      <c r="F558" s="15">
        <f t="shared" si="121"/>
        <v>13</v>
      </c>
      <c r="G558" t="s">
        <v>647</v>
      </c>
      <c r="H558" t="s">
        <v>654</v>
      </c>
      <c r="I558" t="s">
        <v>691</v>
      </c>
      <c r="J558" t="s">
        <v>706</v>
      </c>
      <c r="K558" t="s">
        <v>707</v>
      </c>
      <c r="L558" t="s">
        <v>726</v>
      </c>
      <c r="M558" t="s">
        <v>733</v>
      </c>
      <c r="N558" t="s">
        <v>1288</v>
      </c>
      <c r="O558" s="29">
        <v>1443.28</v>
      </c>
      <c r="P558" t="str">
        <f>IF(Table1[[#This Row],[UnitPrice]]&lt;=0,"Check","OK")</f>
        <v>OK</v>
      </c>
      <c r="Q558" s="29">
        <f t="shared" si="122"/>
        <v>2580.5700000000002</v>
      </c>
      <c r="R558">
        <v>2580.5700000000002</v>
      </c>
      <c r="S558" s="5">
        <f>IF(Table1[[#This Row],[Discount_Flag]]="Check", MIN(MAX(Table1[[#This Row],[DiscountPct]],0),0.3), Table1[[#This Row],[DiscountPct]])</f>
        <v>0</v>
      </c>
      <c r="T558" t="str">
        <f>IF(OR(Table1[[#This Row],[DiscountPct]]&lt;0,Table1[[#This Row],[DiscountPct]]&gt;0.3),"Check","OK")</f>
        <v>OK</v>
      </c>
      <c r="U558" s="11">
        <v>0</v>
      </c>
      <c r="V558" s="15">
        <f t="shared" si="123"/>
        <v>0</v>
      </c>
      <c r="W558" s="11">
        <f t="shared" si="124"/>
        <v>0.4407127107577008</v>
      </c>
      <c r="X558" s="17">
        <f t="shared" si="125"/>
        <v>25979.040000000001</v>
      </c>
      <c r="Y558" s="17">
        <f t="shared" si="126"/>
        <v>20471.22</v>
      </c>
      <c r="Z558" s="17">
        <f t="shared" si="127"/>
        <v>46450.26</v>
      </c>
      <c r="AA558" s="17" t="str">
        <f t="shared" si="128"/>
        <v>Q2-2023</v>
      </c>
      <c r="AB558" s="12" t="str">
        <f t="shared" si="129"/>
        <v>May-2023</v>
      </c>
      <c r="AC558" s="12" t="str">
        <f t="shared" si="130"/>
        <v>High</v>
      </c>
      <c r="AD558">
        <v>18</v>
      </c>
      <c r="AE558" s="12">
        <f>_xlfn.MINIFS(Table1[MonthDate], Table1[Country], Table1[[#This Row],[Country]])</f>
        <v>44927</v>
      </c>
      <c r="AF558" s="12">
        <f t="shared" si="131"/>
        <v>45047</v>
      </c>
      <c r="AG558">
        <f>AD558*(1 + Scenario_Control!$B$4)</f>
        <v>19.8</v>
      </c>
      <c r="AH558">
        <f>O558*(1 + Scenario_Control!$B$3)</f>
        <v>1515.444</v>
      </c>
      <c r="AI558">
        <f t="shared" si="132"/>
        <v>10219.057200000001</v>
      </c>
      <c r="AJ558">
        <f t="shared" si="133"/>
        <v>-19786.733999999997</v>
      </c>
      <c r="AK558" s="29">
        <f>MIN(Q558*(1-U558), Scenario_Control!$B$2*Q558)</f>
        <v>516.11400000000003</v>
      </c>
      <c r="AL558" s="15">
        <f t="shared" si="134"/>
        <v>0</v>
      </c>
      <c r="AM558" s="8">
        <f>DATEDIF(Table1[[#This Row],[Country_FirstMonth]], Table1[[#This Row],[MonthDate]], "m")</f>
        <v>4</v>
      </c>
    </row>
    <row r="559" spans="1:39" x14ac:dyDescent="0.25">
      <c r="A559" t="s">
        <v>571</v>
      </c>
      <c r="B559" s="12">
        <v>45791</v>
      </c>
      <c r="C559" s="12">
        <f t="shared" si="120"/>
        <v>45798</v>
      </c>
      <c r="D559" s="2" t="str">
        <f>IF(Table1[[#This Row],[RequiredDate]]&lt;Table1[[#This Row],[OrderDate]],"Check","OK")</f>
        <v>Check</v>
      </c>
      <c r="E559" s="2">
        <v>45789</v>
      </c>
      <c r="F559" s="15">
        <f t="shared" si="121"/>
        <v>7</v>
      </c>
      <c r="G559" t="s">
        <v>648</v>
      </c>
      <c r="H559" t="s">
        <v>653</v>
      </c>
      <c r="I559" t="s">
        <v>688</v>
      </c>
      <c r="J559" t="s">
        <v>703</v>
      </c>
      <c r="K559" t="s">
        <v>710</v>
      </c>
      <c r="L559" t="s">
        <v>721</v>
      </c>
      <c r="M559" t="s">
        <v>728</v>
      </c>
      <c r="N559" t="s">
        <v>1289</v>
      </c>
      <c r="O559" s="29">
        <v>883.5</v>
      </c>
      <c r="P559" t="str">
        <f>IF(Table1[[#This Row],[UnitPrice]]&lt;=0,"Check","OK")</f>
        <v>OK</v>
      </c>
      <c r="Q559" s="29">
        <f t="shared" si="122"/>
        <v>1978.91</v>
      </c>
      <c r="R559">
        <v>1978.91</v>
      </c>
      <c r="S559" s="5">
        <f>IF(Table1[[#This Row],[Discount_Flag]]="Check", MIN(MAX(Table1[[#This Row],[DiscountPct]],0),0.3), Table1[[#This Row],[DiscountPct]])</f>
        <v>5.3999999999999999E-2</v>
      </c>
      <c r="T559" t="str">
        <f>IF(OR(Table1[[#This Row],[DiscountPct]]&lt;0,Table1[[#This Row],[DiscountPct]]&gt;0.3),"Check","OK")</f>
        <v>OK</v>
      </c>
      <c r="U559" s="11">
        <v>5.3999999999999999E-2</v>
      </c>
      <c r="V559" s="15">
        <f t="shared" si="123"/>
        <v>0</v>
      </c>
      <c r="W559" s="11">
        <f t="shared" si="124"/>
        <v>0.52805718970390547</v>
      </c>
      <c r="X559" s="17">
        <f t="shared" si="125"/>
        <v>23854.5</v>
      </c>
      <c r="Y559" s="17">
        <f t="shared" si="126"/>
        <v>26690.819219999998</v>
      </c>
      <c r="Z559" s="17">
        <f t="shared" si="127"/>
        <v>50545.319219999998</v>
      </c>
      <c r="AA559" s="17" t="str">
        <f t="shared" si="128"/>
        <v>Q2-2025</v>
      </c>
      <c r="AB559" s="12" t="str">
        <f t="shared" si="129"/>
        <v>May-2025</v>
      </c>
      <c r="AC559" s="12" t="str">
        <f t="shared" si="130"/>
        <v>High</v>
      </c>
      <c r="AD559">
        <v>27</v>
      </c>
      <c r="AE559" s="12">
        <f>_xlfn.MINIFS(Table1[MonthDate], Table1[Country], Table1[[#This Row],[Country]])</f>
        <v>44927</v>
      </c>
      <c r="AF559" s="12">
        <f t="shared" si="131"/>
        <v>45778</v>
      </c>
      <c r="AG559">
        <f>AD559*(1 + Scenario_Control!$B$4)</f>
        <v>29.700000000000003</v>
      </c>
      <c r="AH559">
        <f>O559*(1 + Scenario_Control!$B$3)</f>
        <v>927.67500000000007</v>
      </c>
      <c r="AI559">
        <f t="shared" si="132"/>
        <v>11119.970228400001</v>
      </c>
      <c r="AJ559">
        <f t="shared" si="133"/>
        <v>-16431.977271600004</v>
      </c>
      <c r="AK559" s="29">
        <f>MIN(Q559*(1-U559), Scenario_Control!$B$2*Q559)</f>
        <v>395.78200000000004</v>
      </c>
      <c r="AL559" s="15">
        <f t="shared" si="134"/>
        <v>1</v>
      </c>
      <c r="AM559" s="8">
        <f>DATEDIF(Table1[[#This Row],[Country_FirstMonth]], Table1[[#This Row],[MonthDate]], "m")</f>
        <v>28</v>
      </c>
    </row>
    <row r="560" spans="1:39" x14ac:dyDescent="0.25">
      <c r="A560" t="s">
        <v>572</v>
      </c>
      <c r="B560" s="12">
        <v>45362</v>
      </c>
      <c r="C560" s="12">
        <f t="shared" si="120"/>
        <v>45380</v>
      </c>
      <c r="D560" s="2" t="str">
        <f>IF(Table1[[#This Row],[RequiredDate]]&lt;Table1[[#This Row],[OrderDate]],"Check","OK")</f>
        <v>OK</v>
      </c>
      <c r="E560" s="2">
        <v>45380</v>
      </c>
      <c r="F560" s="15">
        <f t="shared" si="121"/>
        <v>18</v>
      </c>
      <c r="G560" t="s">
        <v>648</v>
      </c>
      <c r="H560" t="s">
        <v>660</v>
      </c>
      <c r="I560" t="s">
        <v>700</v>
      </c>
      <c r="J560" t="s">
        <v>701</v>
      </c>
      <c r="K560" t="s">
        <v>707</v>
      </c>
      <c r="L560" t="s">
        <v>724</v>
      </c>
      <c r="M560" t="s">
        <v>732</v>
      </c>
      <c r="N560" t="s">
        <v>1290</v>
      </c>
      <c r="O560" s="29">
        <v>710.98</v>
      </c>
      <c r="P560" t="str">
        <f>IF(Table1[[#This Row],[UnitPrice]]&lt;=0,"Check","OK")</f>
        <v>OK</v>
      </c>
      <c r="Q560" s="29">
        <f t="shared" si="122"/>
        <v>1481.45</v>
      </c>
      <c r="R560">
        <v>1481.45</v>
      </c>
      <c r="S560" s="5">
        <f>IF(Table1[[#This Row],[Discount_Flag]]="Check", MIN(MAX(Table1[[#This Row],[DiscountPct]],0),0.3), Table1[[#This Row],[DiscountPct]])</f>
        <v>0.21099999999999999</v>
      </c>
      <c r="T560" t="str">
        <f>IF(OR(Table1[[#This Row],[DiscountPct]]&lt;0,Table1[[#This Row],[DiscountPct]]&gt;0.3),"Check","OK")</f>
        <v>OK</v>
      </c>
      <c r="U560" s="11">
        <v>0.21099999999999999</v>
      </c>
      <c r="V560" s="15">
        <f t="shared" si="123"/>
        <v>1</v>
      </c>
      <c r="W560" s="11">
        <f t="shared" si="124"/>
        <v>0.39173422264120461</v>
      </c>
      <c r="X560" s="17">
        <f t="shared" si="125"/>
        <v>6398.82</v>
      </c>
      <c r="Y560" s="17">
        <f t="shared" si="126"/>
        <v>4120.9564500000015</v>
      </c>
      <c r="Z560" s="17">
        <f t="shared" si="127"/>
        <v>10519.776450000001</v>
      </c>
      <c r="AA560" s="17" t="str">
        <f t="shared" si="128"/>
        <v>Q1-2024</v>
      </c>
      <c r="AB560" s="12" t="str">
        <f t="shared" si="129"/>
        <v>Mar-2024</v>
      </c>
      <c r="AC560" s="12" t="str">
        <f t="shared" si="130"/>
        <v>Medium</v>
      </c>
      <c r="AD560">
        <v>9</v>
      </c>
      <c r="AE560" s="12">
        <f>_xlfn.MINIFS(Table1[MonthDate], Table1[Country], Table1[[#This Row],[Country]])</f>
        <v>44927</v>
      </c>
      <c r="AF560" s="12">
        <f t="shared" si="131"/>
        <v>45352</v>
      </c>
      <c r="AG560">
        <f>AD560*(1 + Scenario_Control!$B$4)</f>
        <v>9.9</v>
      </c>
      <c r="AH560">
        <f>O560*(1 + Scenario_Control!$B$3)</f>
        <v>746.529</v>
      </c>
      <c r="AI560">
        <f t="shared" si="132"/>
        <v>2314.3508190000002</v>
      </c>
      <c r="AJ560">
        <f t="shared" si="133"/>
        <v>-5076.2862809999997</v>
      </c>
      <c r="AK560" s="29">
        <f>MIN(Q560*(1-U560), Scenario_Control!$B$2*Q560)</f>
        <v>296.29000000000002</v>
      </c>
      <c r="AL560" s="15">
        <f t="shared" si="134"/>
        <v>0</v>
      </c>
      <c r="AM560" s="8">
        <f>DATEDIF(Table1[[#This Row],[Country_FirstMonth]], Table1[[#This Row],[MonthDate]], "m")</f>
        <v>14</v>
      </c>
    </row>
    <row r="561" spans="1:39" x14ac:dyDescent="0.25">
      <c r="A561" t="s">
        <v>573</v>
      </c>
      <c r="B561" s="12">
        <v>45430</v>
      </c>
      <c r="C561" s="12">
        <f t="shared" si="120"/>
        <v>45434</v>
      </c>
      <c r="D561" s="2" t="str">
        <f>IF(Table1[[#This Row],[RequiredDate]]&lt;Table1[[#This Row],[OrderDate]],"Check","OK")</f>
        <v>OK</v>
      </c>
      <c r="E561" s="2">
        <v>45434</v>
      </c>
      <c r="F561" s="15">
        <f t="shared" si="121"/>
        <v>4</v>
      </c>
      <c r="G561" t="s">
        <v>646</v>
      </c>
      <c r="H561" t="s">
        <v>650</v>
      </c>
      <c r="I561" t="s">
        <v>664</v>
      </c>
      <c r="J561" t="s">
        <v>701</v>
      </c>
      <c r="K561" t="s">
        <v>711</v>
      </c>
      <c r="L561" t="s">
        <v>722</v>
      </c>
      <c r="M561" t="s">
        <v>733</v>
      </c>
      <c r="N561" t="s">
        <v>1291</v>
      </c>
      <c r="O561" s="29">
        <v>857.42</v>
      </c>
      <c r="P561" t="str">
        <f>IF(Table1[[#This Row],[UnitPrice]]&lt;=0,"Check","OK")</f>
        <v>OK</v>
      </c>
      <c r="Q561" s="29">
        <f t="shared" si="122"/>
        <v>1658.92</v>
      </c>
      <c r="R561">
        <v>1658.92</v>
      </c>
      <c r="S561" s="5">
        <f>IF(Table1[[#This Row],[Discount_Flag]]="Check", MIN(MAX(Table1[[#This Row],[DiscountPct]],0),0.3), Table1[[#This Row],[DiscountPct]])</f>
        <v>0.122</v>
      </c>
      <c r="T561" t="str">
        <f>IF(OR(Table1[[#This Row],[DiscountPct]]&lt;0,Table1[[#This Row],[DiscountPct]]&gt;0.3),"Check","OK")</f>
        <v>OK</v>
      </c>
      <c r="U561" s="11">
        <v>0.122</v>
      </c>
      <c r="V561" s="15">
        <f t="shared" si="123"/>
        <v>0</v>
      </c>
      <c r="W561" s="11">
        <f t="shared" si="124"/>
        <v>0.41132763215544305</v>
      </c>
      <c r="X561" s="17">
        <f t="shared" si="125"/>
        <v>7716.78</v>
      </c>
      <c r="Y561" s="17">
        <f t="shared" si="126"/>
        <v>5392.0058400000007</v>
      </c>
      <c r="Z561" s="17">
        <f t="shared" si="127"/>
        <v>13108.78584</v>
      </c>
      <c r="AA561" s="17" t="str">
        <f t="shared" si="128"/>
        <v>Q2-2024</v>
      </c>
      <c r="AB561" s="12" t="str">
        <f t="shared" si="129"/>
        <v>May-2024</v>
      </c>
      <c r="AC561" s="12" t="str">
        <f t="shared" si="130"/>
        <v>Medium</v>
      </c>
      <c r="AD561">
        <v>9</v>
      </c>
      <c r="AE561" s="12">
        <f>_xlfn.MINIFS(Table1[MonthDate], Table1[Country], Table1[[#This Row],[Country]])</f>
        <v>44927</v>
      </c>
      <c r="AF561" s="12">
        <f t="shared" si="131"/>
        <v>45413</v>
      </c>
      <c r="AG561">
        <f>AD561*(1 + Scenario_Control!$B$4)</f>
        <v>9.9</v>
      </c>
      <c r="AH561">
        <f>O561*(1 + Scenario_Control!$B$3)</f>
        <v>900.29099999999994</v>
      </c>
      <c r="AI561">
        <f t="shared" si="132"/>
        <v>2883.9328848000009</v>
      </c>
      <c r="AJ561">
        <f t="shared" si="133"/>
        <v>-6028.9480151999996</v>
      </c>
      <c r="AK561" s="29">
        <f>MIN(Q561*(1-U561), Scenario_Control!$B$2*Q561)</f>
        <v>331.78400000000005</v>
      </c>
      <c r="AL561" s="15">
        <f t="shared" si="134"/>
        <v>1</v>
      </c>
      <c r="AM561" s="8">
        <f>DATEDIF(Table1[[#This Row],[Country_FirstMonth]], Table1[[#This Row],[MonthDate]], "m")</f>
        <v>16</v>
      </c>
    </row>
    <row r="562" spans="1:39" x14ac:dyDescent="0.25">
      <c r="A562" t="s">
        <v>574</v>
      </c>
      <c r="B562" s="12">
        <v>45299</v>
      </c>
      <c r="C562" s="12">
        <f t="shared" si="120"/>
        <v>45303</v>
      </c>
      <c r="D562" s="2" t="str">
        <f>IF(Table1[[#This Row],[RequiredDate]]&lt;Table1[[#This Row],[OrderDate]],"Check","OK")</f>
        <v>OK</v>
      </c>
      <c r="E562" s="2">
        <v>45303</v>
      </c>
      <c r="F562" s="15">
        <f t="shared" si="121"/>
        <v>4</v>
      </c>
      <c r="G562" t="s">
        <v>647</v>
      </c>
      <c r="H562" t="s">
        <v>654</v>
      </c>
      <c r="I562" t="s">
        <v>668</v>
      </c>
      <c r="J562" t="s">
        <v>701</v>
      </c>
      <c r="K562" t="s">
        <v>711</v>
      </c>
      <c r="L562" t="s">
        <v>718</v>
      </c>
      <c r="M562" t="s">
        <v>728</v>
      </c>
      <c r="N562" t="s">
        <v>1292</v>
      </c>
      <c r="O562" s="29">
        <v>802.32</v>
      </c>
      <c r="P562" t="str">
        <f>IF(Table1[[#This Row],[UnitPrice]]&lt;=0,"Check","OK")</f>
        <v>OK</v>
      </c>
      <c r="Q562" s="29">
        <f t="shared" si="122"/>
        <v>602.34</v>
      </c>
      <c r="R562">
        <v>602.34</v>
      </c>
      <c r="S562" s="5">
        <f>IF(Table1[[#This Row],[Discount_Flag]]="Check", MIN(MAX(Table1[[#This Row],[DiscountPct]],0),0.3), Table1[[#This Row],[DiscountPct]])</f>
        <v>0.12</v>
      </c>
      <c r="T562" t="str">
        <f>IF(OR(Table1[[#This Row],[DiscountPct]]&lt;0,Table1[[#This Row],[DiscountPct]]&gt;0.3),"Check","OK")</f>
        <v>OK</v>
      </c>
      <c r="U562" s="11">
        <v>0.12</v>
      </c>
      <c r="V562" s="15">
        <f t="shared" si="123"/>
        <v>0</v>
      </c>
      <c r="W562" s="11">
        <f t="shared" si="124"/>
        <v>-0.51364224977134632</v>
      </c>
      <c r="X562" s="17">
        <f t="shared" si="125"/>
        <v>20058</v>
      </c>
      <c r="Y562" s="17">
        <f t="shared" si="126"/>
        <v>-6806.52</v>
      </c>
      <c r="Z562" s="17">
        <f t="shared" si="127"/>
        <v>13251.48</v>
      </c>
      <c r="AA562" s="17" t="str">
        <f t="shared" si="128"/>
        <v>Q1-2024</v>
      </c>
      <c r="AB562" s="12" t="str">
        <f t="shared" si="129"/>
        <v>Jan-2024</v>
      </c>
      <c r="AC562" s="12" t="str">
        <f t="shared" si="130"/>
        <v>Low</v>
      </c>
      <c r="AD562">
        <v>25</v>
      </c>
      <c r="AE562" s="12">
        <f>_xlfn.MINIFS(Table1[MonthDate], Table1[Country], Table1[[#This Row],[Country]])</f>
        <v>44927</v>
      </c>
      <c r="AF562" s="12">
        <f t="shared" si="131"/>
        <v>45292</v>
      </c>
      <c r="AG562">
        <f>AD562*(1 + Scenario_Control!$B$4)</f>
        <v>27.500000000000004</v>
      </c>
      <c r="AH562">
        <f>O562*(1 + Scenario_Control!$B$3)</f>
        <v>842.43600000000004</v>
      </c>
      <c r="AI562">
        <f t="shared" si="132"/>
        <v>2915.3256000000006</v>
      </c>
      <c r="AJ562">
        <f t="shared" si="133"/>
        <v>-20251.664400000005</v>
      </c>
      <c r="AK562" s="29">
        <f>MIN(Q562*(1-U562), Scenario_Control!$B$2*Q562)</f>
        <v>120.46800000000002</v>
      </c>
      <c r="AL562" s="15">
        <f t="shared" si="134"/>
        <v>1</v>
      </c>
      <c r="AM562" s="8">
        <f>DATEDIF(Table1[[#This Row],[Country_FirstMonth]], Table1[[#This Row],[MonthDate]], "m")</f>
        <v>12</v>
      </c>
    </row>
    <row r="563" spans="1:39" x14ac:dyDescent="0.25">
      <c r="A563" t="s">
        <v>575</v>
      </c>
      <c r="B563" s="12">
        <v>45590</v>
      </c>
      <c r="C563" s="12">
        <f t="shared" si="120"/>
        <v>45601</v>
      </c>
      <c r="D563" s="2" t="str">
        <f>IF(Table1[[#This Row],[RequiredDate]]&lt;Table1[[#This Row],[OrderDate]],"Check","OK")</f>
        <v>OK</v>
      </c>
      <c r="E563" s="2">
        <v>45601</v>
      </c>
      <c r="F563" s="15">
        <f t="shared" si="121"/>
        <v>11</v>
      </c>
      <c r="G563" t="s">
        <v>648</v>
      </c>
      <c r="H563" t="s">
        <v>660</v>
      </c>
      <c r="I563" t="s">
        <v>700</v>
      </c>
      <c r="J563" t="s">
        <v>701</v>
      </c>
      <c r="K563" t="s">
        <v>710</v>
      </c>
      <c r="L563" t="s">
        <v>725</v>
      </c>
      <c r="M563" t="s">
        <v>727</v>
      </c>
      <c r="N563" t="s">
        <v>1293</v>
      </c>
      <c r="O563" s="29">
        <v>446.66</v>
      </c>
      <c r="P563" t="str">
        <f>IF(Table1[[#This Row],[UnitPrice]]&lt;=0,"Check","OK")</f>
        <v>OK</v>
      </c>
      <c r="Q563" s="29">
        <f t="shared" si="122"/>
        <v>527.64</v>
      </c>
      <c r="R563">
        <v>527.64</v>
      </c>
      <c r="S563" s="5">
        <f>IF(Table1[[#This Row],[Discount_Flag]]="Check", MIN(MAX(Table1[[#This Row],[DiscountPct]],0),0.3), Table1[[#This Row],[DiscountPct]])</f>
        <v>0.14499999999999999</v>
      </c>
      <c r="T563" t="str">
        <f>IF(OR(Table1[[#This Row],[DiscountPct]]&lt;0,Table1[[#This Row],[DiscountPct]]&gt;0.3),"Check","OK")</f>
        <v>OK</v>
      </c>
      <c r="U563" s="11">
        <v>0.14499999999999999</v>
      </c>
      <c r="V563" s="15">
        <f t="shared" si="123"/>
        <v>0</v>
      </c>
      <c r="W563" s="11">
        <f t="shared" si="124"/>
        <v>9.9132804087137105E-3</v>
      </c>
      <c r="X563" s="17">
        <f t="shared" si="125"/>
        <v>6699.9000000000005</v>
      </c>
      <c r="Y563" s="17">
        <f t="shared" si="126"/>
        <v>67.082999999998719</v>
      </c>
      <c r="Z563" s="17">
        <f t="shared" si="127"/>
        <v>6766.9829999999993</v>
      </c>
      <c r="AA563" s="17" t="str">
        <f t="shared" si="128"/>
        <v>Q4-2024</v>
      </c>
      <c r="AB563" s="12" t="str">
        <f t="shared" si="129"/>
        <v>Oct-2024</v>
      </c>
      <c r="AC563" s="12" t="str">
        <f t="shared" si="130"/>
        <v>Low</v>
      </c>
      <c r="AD563">
        <v>15</v>
      </c>
      <c r="AE563" s="12">
        <f>_xlfn.MINIFS(Table1[MonthDate], Table1[Country], Table1[[#This Row],[Country]])</f>
        <v>44927</v>
      </c>
      <c r="AF563" s="12">
        <f t="shared" si="131"/>
        <v>45566</v>
      </c>
      <c r="AG563">
        <f>AD563*(1 + Scenario_Control!$B$4)</f>
        <v>16.5</v>
      </c>
      <c r="AH563">
        <f>O563*(1 + Scenario_Control!$B$3)</f>
        <v>468.99300000000005</v>
      </c>
      <c r="AI563">
        <f t="shared" si="132"/>
        <v>1488.7362599999999</v>
      </c>
      <c r="AJ563">
        <f t="shared" si="133"/>
        <v>-6249.6482400000014</v>
      </c>
      <c r="AK563" s="29">
        <f>MIN(Q563*(1-U563), Scenario_Control!$B$2*Q563)</f>
        <v>105.52800000000001</v>
      </c>
      <c r="AL563" s="15">
        <f t="shared" si="134"/>
        <v>0</v>
      </c>
      <c r="AM563" s="8">
        <f>DATEDIF(Table1[[#This Row],[Country_FirstMonth]], Table1[[#This Row],[MonthDate]], "m")</f>
        <v>21</v>
      </c>
    </row>
    <row r="564" spans="1:39" x14ac:dyDescent="0.25">
      <c r="A564" t="s">
        <v>576</v>
      </c>
      <c r="B564" s="12">
        <v>45626</v>
      </c>
      <c r="C564" s="12">
        <f t="shared" si="120"/>
        <v>45645</v>
      </c>
      <c r="D564" s="2" t="str">
        <f>IF(Table1[[#This Row],[RequiredDate]]&lt;Table1[[#This Row],[OrderDate]],"Check","OK")</f>
        <v>OK</v>
      </c>
      <c r="E564" s="2">
        <v>45645</v>
      </c>
      <c r="F564" s="15">
        <f t="shared" si="121"/>
        <v>19</v>
      </c>
      <c r="G564" t="s">
        <v>646</v>
      </c>
      <c r="H564" t="s">
        <v>650</v>
      </c>
      <c r="I564" t="s">
        <v>662</v>
      </c>
      <c r="J564" t="s">
        <v>701</v>
      </c>
      <c r="K564" t="s">
        <v>708</v>
      </c>
      <c r="L564" t="s">
        <v>716</v>
      </c>
      <c r="M564" t="s">
        <v>730</v>
      </c>
      <c r="N564" t="s">
        <v>1294</v>
      </c>
      <c r="O564" s="29">
        <v>1195.98</v>
      </c>
      <c r="P564" t="str">
        <f>IF(Table1[[#This Row],[UnitPrice]]&lt;=0,"Check","OK")</f>
        <v>OK</v>
      </c>
      <c r="Q564" s="29">
        <f t="shared" si="122"/>
        <v>1841.9</v>
      </c>
      <c r="R564">
        <v>1841.9</v>
      </c>
      <c r="S564" s="5">
        <f>IF(Table1[[#This Row],[Discount_Flag]]="Check", MIN(MAX(Table1[[#This Row],[DiscountPct]],0),0.3), Table1[[#This Row],[DiscountPct]])</f>
        <v>5.5E-2</v>
      </c>
      <c r="T564" t="str">
        <f>IF(OR(Table1[[#This Row],[DiscountPct]]&lt;0,Table1[[#This Row],[DiscountPct]]&gt;0.3),"Check","OK")</f>
        <v>OK</v>
      </c>
      <c r="U564" s="11">
        <v>5.5E-2</v>
      </c>
      <c r="V564" s="15">
        <f t="shared" si="123"/>
        <v>0</v>
      </c>
      <c r="W564" s="11">
        <f t="shared" si="124"/>
        <v>0.31289032977506842</v>
      </c>
      <c r="X564" s="17">
        <f t="shared" si="125"/>
        <v>22723.62</v>
      </c>
      <c r="Y564" s="17">
        <f t="shared" si="126"/>
        <v>10347.694500000001</v>
      </c>
      <c r="Z564" s="17">
        <f t="shared" si="127"/>
        <v>33071.3145</v>
      </c>
      <c r="AA564" s="17" t="str">
        <f t="shared" si="128"/>
        <v>Q4-2024</v>
      </c>
      <c r="AB564" s="12" t="str">
        <f t="shared" si="129"/>
        <v>Nov-2024</v>
      </c>
      <c r="AC564" s="12" t="str">
        <f t="shared" si="130"/>
        <v>Medium</v>
      </c>
      <c r="AD564">
        <v>19</v>
      </c>
      <c r="AE564" s="12">
        <f>_xlfn.MINIFS(Table1[MonthDate], Table1[Country], Table1[[#This Row],[Country]])</f>
        <v>44927</v>
      </c>
      <c r="AF564" s="12">
        <f t="shared" si="131"/>
        <v>45597</v>
      </c>
      <c r="AG564">
        <f>AD564*(1 + Scenario_Control!$B$4)</f>
        <v>20.900000000000002</v>
      </c>
      <c r="AH564">
        <f>O564*(1 + Scenario_Control!$B$3)</f>
        <v>1255.779</v>
      </c>
      <c r="AI564">
        <f t="shared" si="132"/>
        <v>7275.689190000001</v>
      </c>
      <c r="AJ564">
        <f t="shared" si="133"/>
        <v>-18970.091910000003</v>
      </c>
      <c r="AK564" s="29">
        <f>MIN(Q564*(1-U564), Scenario_Control!$B$2*Q564)</f>
        <v>368.38000000000005</v>
      </c>
      <c r="AL564" s="15">
        <f t="shared" si="134"/>
        <v>0</v>
      </c>
      <c r="AM564" s="8">
        <f>DATEDIF(Table1[[#This Row],[Country_FirstMonth]], Table1[[#This Row],[MonthDate]], "m")</f>
        <v>22</v>
      </c>
    </row>
    <row r="565" spans="1:39" x14ac:dyDescent="0.25">
      <c r="A565" t="s">
        <v>577</v>
      </c>
      <c r="B565" s="12">
        <v>45029</v>
      </c>
      <c r="C565" s="12">
        <f t="shared" si="120"/>
        <v>45048</v>
      </c>
      <c r="D565" s="2" t="str">
        <f>IF(Table1[[#This Row],[RequiredDate]]&lt;Table1[[#This Row],[OrderDate]],"Check","OK")</f>
        <v>OK</v>
      </c>
      <c r="E565" s="2">
        <v>45048</v>
      </c>
      <c r="F565" s="15">
        <f t="shared" si="121"/>
        <v>19</v>
      </c>
      <c r="G565" t="s">
        <v>648</v>
      </c>
      <c r="H565" t="s">
        <v>653</v>
      </c>
      <c r="I565" t="s">
        <v>681</v>
      </c>
      <c r="J565" t="s">
        <v>704</v>
      </c>
      <c r="K565" t="s">
        <v>710</v>
      </c>
      <c r="L565" t="s">
        <v>718</v>
      </c>
      <c r="M565" t="s">
        <v>732</v>
      </c>
      <c r="N565" t="s">
        <v>1295</v>
      </c>
      <c r="O565" s="29">
        <v>671.05</v>
      </c>
      <c r="P565" t="str">
        <f>IF(Table1[[#This Row],[UnitPrice]]&lt;=0,"Check","OK")</f>
        <v>OK</v>
      </c>
      <c r="Q565" s="29">
        <f t="shared" si="122"/>
        <v>1645.48</v>
      </c>
      <c r="R565">
        <v>1645.48</v>
      </c>
      <c r="S565" s="5">
        <f>IF(Table1[[#This Row],[Discount_Flag]]="Check", MIN(MAX(Table1[[#This Row],[DiscountPct]],0),0.3), Table1[[#This Row],[DiscountPct]])</f>
        <v>0.13700000000000001</v>
      </c>
      <c r="T565" t="str">
        <f>IF(OR(Table1[[#This Row],[DiscountPct]]&lt;0,Table1[[#This Row],[DiscountPct]]&gt;0.3),"Check","OK")</f>
        <v>OK</v>
      </c>
      <c r="U565" s="11">
        <v>0.13700000000000001</v>
      </c>
      <c r="V565" s="15">
        <f t="shared" si="123"/>
        <v>0</v>
      </c>
      <c r="W565" s="11">
        <f t="shared" si="124"/>
        <v>0.52744596377517172</v>
      </c>
      <c r="X565" s="17">
        <f t="shared" si="125"/>
        <v>4026.2999999999997</v>
      </c>
      <c r="Y565" s="17">
        <f t="shared" si="126"/>
        <v>4493.9954400000006</v>
      </c>
      <c r="Z565" s="17">
        <f t="shared" si="127"/>
        <v>8520.2954399999999</v>
      </c>
      <c r="AA565" s="17" t="str">
        <f t="shared" si="128"/>
        <v>Q2-2023</v>
      </c>
      <c r="AB565" s="12" t="str">
        <f t="shared" si="129"/>
        <v>Apr-2023</v>
      </c>
      <c r="AC565" s="12" t="str">
        <f t="shared" si="130"/>
        <v>Medium</v>
      </c>
      <c r="AD565">
        <v>6</v>
      </c>
      <c r="AE565" s="12">
        <f>_xlfn.MINIFS(Table1[MonthDate], Table1[Country], Table1[[#This Row],[Country]])</f>
        <v>44927</v>
      </c>
      <c r="AF565" s="12">
        <f t="shared" si="131"/>
        <v>45017</v>
      </c>
      <c r="AG565">
        <f>AD565*(1 + Scenario_Control!$B$4)</f>
        <v>6.6000000000000005</v>
      </c>
      <c r="AH565">
        <f>O565*(1 + Scenario_Control!$B$3)</f>
        <v>704.60249999999996</v>
      </c>
      <c r="AI565">
        <f t="shared" si="132"/>
        <v>1874.4649968000001</v>
      </c>
      <c r="AJ565">
        <f t="shared" si="133"/>
        <v>-2775.9115032</v>
      </c>
      <c r="AK565" s="29">
        <f>MIN(Q565*(1-U565), Scenario_Control!$B$2*Q565)</f>
        <v>329.096</v>
      </c>
      <c r="AL565" s="15">
        <f t="shared" si="134"/>
        <v>0</v>
      </c>
      <c r="AM565" s="8">
        <f>DATEDIF(Table1[[#This Row],[Country_FirstMonth]], Table1[[#This Row],[MonthDate]], "m")</f>
        <v>3</v>
      </c>
    </row>
    <row r="566" spans="1:39" x14ac:dyDescent="0.25">
      <c r="A566" t="s">
        <v>578</v>
      </c>
      <c r="B566" s="12">
        <v>45692</v>
      </c>
      <c r="C566" s="12">
        <f t="shared" si="120"/>
        <v>45696</v>
      </c>
      <c r="D566" s="2" t="str">
        <f>IF(Table1[[#This Row],[RequiredDate]]&lt;Table1[[#This Row],[OrderDate]],"Check","OK")</f>
        <v>OK</v>
      </c>
      <c r="E566" s="2">
        <v>45696</v>
      </c>
      <c r="F566" s="15">
        <f t="shared" si="121"/>
        <v>4</v>
      </c>
      <c r="G566" t="s">
        <v>649</v>
      </c>
      <c r="H566" t="s">
        <v>658</v>
      </c>
      <c r="I566" t="s">
        <v>693</v>
      </c>
      <c r="J566" t="s">
        <v>706</v>
      </c>
      <c r="K566" t="s">
        <v>709</v>
      </c>
      <c r="L566" t="s">
        <v>716</v>
      </c>
      <c r="M566" t="s">
        <v>729</v>
      </c>
      <c r="N566" t="s">
        <v>1296</v>
      </c>
      <c r="O566" s="29">
        <v>586.21</v>
      </c>
      <c r="P566" t="str">
        <f>IF(Table1[[#This Row],[UnitPrice]]&lt;=0,"Check","OK")</f>
        <v>OK</v>
      </c>
      <c r="Q566" s="29">
        <f t="shared" si="122"/>
        <v>727.22</v>
      </c>
      <c r="R566">
        <v>727.22</v>
      </c>
      <c r="S566" s="5">
        <f>IF(Table1[[#This Row],[Discount_Flag]]="Check", MIN(MAX(Table1[[#This Row],[DiscountPct]],0),0.3), Table1[[#This Row],[DiscountPct]])</f>
        <v>6.8000000000000005E-2</v>
      </c>
      <c r="T566" t="str">
        <f>IF(OR(Table1[[#This Row],[DiscountPct]]&lt;0,Table1[[#This Row],[DiscountPct]]&gt;0.3),"Check","OK")</f>
        <v>OK</v>
      </c>
      <c r="U566" s="11">
        <v>6.8000000000000005E-2</v>
      </c>
      <c r="V566" s="15">
        <f t="shared" si="123"/>
        <v>0</v>
      </c>
      <c r="W566" s="11">
        <f t="shared" si="124"/>
        <v>0.13508884973559721</v>
      </c>
      <c r="X566" s="17">
        <f t="shared" si="125"/>
        <v>8793.1500000000015</v>
      </c>
      <c r="Y566" s="17">
        <f t="shared" si="126"/>
        <v>1373.3855999999996</v>
      </c>
      <c r="Z566" s="17">
        <f t="shared" si="127"/>
        <v>10166.535600000001</v>
      </c>
      <c r="AA566" s="17" t="str">
        <f t="shared" si="128"/>
        <v>Q1-2025</v>
      </c>
      <c r="AB566" s="12" t="str">
        <f t="shared" si="129"/>
        <v>Feb-2025</v>
      </c>
      <c r="AC566" s="12" t="str">
        <f t="shared" si="130"/>
        <v>Medium</v>
      </c>
      <c r="AD566">
        <v>15</v>
      </c>
      <c r="AE566" s="12">
        <f>_xlfn.MINIFS(Table1[MonthDate], Table1[Country], Table1[[#This Row],[Country]])</f>
        <v>44927</v>
      </c>
      <c r="AF566" s="12">
        <f t="shared" si="131"/>
        <v>45689</v>
      </c>
      <c r="AG566">
        <f>AD566*(1 + Scenario_Control!$B$4)</f>
        <v>16.5</v>
      </c>
      <c r="AH566">
        <f>O566*(1 + Scenario_Control!$B$3)</f>
        <v>615.52050000000008</v>
      </c>
      <c r="AI566">
        <f t="shared" si="132"/>
        <v>2236.6378320000003</v>
      </c>
      <c r="AJ566">
        <f t="shared" si="133"/>
        <v>-7919.4504180000004</v>
      </c>
      <c r="AK566" s="29">
        <f>MIN(Q566*(1-U566), Scenario_Control!$B$2*Q566)</f>
        <v>145.44400000000002</v>
      </c>
      <c r="AL566" s="15">
        <f t="shared" si="134"/>
        <v>1</v>
      </c>
      <c r="AM566" s="8">
        <f>DATEDIF(Table1[[#This Row],[Country_FirstMonth]], Table1[[#This Row],[MonthDate]], "m")</f>
        <v>25</v>
      </c>
    </row>
    <row r="567" spans="1:39" x14ac:dyDescent="0.25">
      <c r="A567" t="s">
        <v>579</v>
      </c>
      <c r="B567" s="12">
        <v>45315</v>
      </c>
      <c r="C567" s="12">
        <f t="shared" si="120"/>
        <v>45326</v>
      </c>
      <c r="D567" s="2" t="str">
        <f>IF(Table1[[#This Row],[RequiredDate]]&lt;Table1[[#This Row],[OrderDate]],"Check","OK")</f>
        <v>OK</v>
      </c>
      <c r="E567" s="2">
        <v>45326</v>
      </c>
      <c r="F567" s="15">
        <f t="shared" si="121"/>
        <v>11</v>
      </c>
      <c r="G567" t="s">
        <v>649</v>
      </c>
      <c r="H567" t="s">
        <v>658</v>
      </c>
      <c r="I567" t="s">
        <v>693</v>
      </c>
      <c r="J567" t="s">
        <v>704</v>
      </c>
      <c r="K567" t="s">
        <v>707</v>
      </c>
      <c r="L567" t="s">
        <v>717</v>
      </c>
      <c r="M567" t="s">
        <v>731</v>
      </c>
      <c r="N567" t="s">
        <v>1297</v>
      </c>
      <c r="O567" s="29">
        <v>525.34</v>
      </c>
      <c r="P567" t="str">
        <f>IF(Table1[[#This Row],[UnitPrice]]&lt;=0,"Check","OK")</f>
        <v>OK</v>
      </c>
      <c r="Q567" s="29">
        <f t="shared" si="122"/>
        <v>1233.79</v>
      </c>
      <c r="R567">
        <v>1233.79</v>
      </c>
      <c r="S567" s="5">
        <f>IF(Table1[[#This Row],[Discount_Flag]]="Check", MIN(MAX(Table1[[#This Row],[DiscountPct]],0),0.3), Table1[[#This Row],[DiscountPct]])</f>
        <v>0.14299999999999999</v>
      </c>
      <c r="T567" t="str">
        <f>IF(OR(Table1[[#This Row],[DiscountPct]]&lt;0,Table1[[#This Row],[DiscountPct]]&gt;0.3),"Check","OK")</f>
        <v>OK</v>
      </c>
      <c r="U567" s="11">
        <v>0.14299999999999999</v>
      </c>
      <c r="V567" s="15">
        <f t="shared" si="123"/>
        <v>0</v>
      </c>
      <c r="W567" s="11">
        <f t="shared" si="124"/>
        <v>0.50315788494082736</v>
      </c>
      <c r="X567" s="17">
        <f t="shared" si="125"/>
        <v>2101.36</v>
      </c>
      <c r="Y567" s="17">
        <f t="shared" si="126"/>
        <v>2128.0721199999994</v>
      </c>
      <c r="Z567" s="17">
        <f t="shared" si="127"/>
        <v>4229.4321199999995</v>
      </c>
      <c r="AA567" s="17" t="str">
        <f t="shared" si="128"/>
        <v>Q1-2024</v>
      </c>
      <c r="AB567" s="12" t="str">
        <f t="shared" si="129"/>
        <v>Jan-2024</v>
      </c>
      <c r="AC567" s="12" t="str">
        <f t="shared" si="130"/>
        <v>Medium</v>
      </c>
      <c r="AD567">
        <v>4</v>
      </c>
      <c r="AE567" s="12">
        <f>_xlfn.MINIFS(Table1[MonthDate], Table1[Country], Table1[[#This Row],[Country]])</f>
        <v>44927</v>
      </c>
      <c r="AF567" s="12">
        <f t="shared" si="131"/>
        <v>45292</v>
      </c>
      <c r="AG567">
        <f>AD567*(1 + Scenario_Control!$B$4)</f>
        <v>4.4000000000000004</v>
      </c>
      <c r="AH567">
        <f>O567*(1 + Scenario_Control!$B$3)</f>
        <v>551.60700000000008</v>
      </c>
      <c r="AI567">
        <f t="shared" si="132"/>
        <v>930.47506640000006</v>
      </c>
      <c r="AJ567">
        <f t="shared" si="133"/>
        <v>-1496.5957336000004</v>
      </c>
      <c r="AK567" s="29">
        <f>MIN(Q567*(1-U567), Scenario_Control!$B$2*Q567)</f>
        <v>246.75800000000001</v>
      </c>
      <c r="AL567" s="15">
        <f t="shared" si="134"/>
        <v>0</v>
      </c>
      <c r="AM567" s="8">
        <f>DATEDIF(Table1[[#This Row],[Country_FirstMonth]], Table1[[#This Row],[MonthDate]], "m")</f>
        <v>12</v>
      </c>
    </row>
    <row r="568" spans="1:39" x14ac:dyDescent="0.25">
      <c r="A568" t="s">
        <v>580</v>
      </c>
      <c r="B568" s="12">
        <v>45330</v>
      </c>
      <c r="C568" s="12">
        <f t="shared" si="120"/>
        <v>45331</v>
      </c>
      <c r="D568" s="2" t="str">
        <f>IF(Table1[[#This Row],[RequiredDate]]&lt;Table1[[#This Row],[OrderDate]],"Check","OK")</f>
        <v>OK</v>
      </c>
      <c r="E568" s="2">
        <v>45331</v>
      </c>
      <c r="F568" s="15">
        <f t="shared" si="121"/>
        <v>1</v>
      </c>
      <c r="G568" t="s">
        <v>646</v>
      </c>
      <c r="H568" t="s">
        <v>650</v>
      </c>
      <c r="I568" t="s">
        <v>675</v>
      </c>
      <c r="J568" t="s">
        <v>701</v>
      </c>
      <c r="K568" t="s">
        <v>711</v>
      </c>
      <c r="L568" t="s">
        <v>721</v>
      </c>
      <c r="M568" t="s">
        <v>727</v>
      </c>
      <c r="N568" t="s">
        <v>1298</v>
      </c>
      <c r="O568" s="29">
        <v>1233.52</v>
      </c>
      <c r="P568" t="str">
        <f>IF(Table1[[#This Row],[UnitPrice]]&lt;=0,"Check","OK")</f>
        <v>OK</v>
      </c>
      <c r="Q568" s="29">
        <f t="shared" si="122"/>
        <v>1543.76</v>
      </c>
      <c r="R568">
        <v>1543.76</v>
      </c>
      <c r="S568" s="5">
        <f>IF(Table1[[#This Row],[Discount_Flag]]="Check", MIN(MAX(Table1[[#This Row],[DiscountPct]],0),0.3), Table1[[#This Row],[DiscountPct]])</f>
        <v>0.126</v>
      </c>
      <c r="T568" t="str">
        <f>IF(OR(Table1[[#This Row],[DiscountPct]]&lt;0,Table1[[#This Row],[DiscountPct]]&gt;0.3),"Check","OK")</f>
        <v>OK</v>
      </c>
      <c r="U568" s="11">
        <v>0.126</v>
      </c>
      <c r="V568" s="15">
        <f t="shared" si="123"/>
        <v>0</v>
      </c>
      <c r="W568" s="11">
        <f t="shared" si="124"/>
        <v>8.5771030201277493E-2</v>
      </c>
      <c r="X568" s="17">
        <f t="shared" si="125"/>
        <v>16035.76</v>
      </c>
      <c r="Y568" s="17">
        <f t="shared" si="126"/>
        <v>1504.4411200000013</v>
      </c>
      <c r="Z568" s="17">
        <f t="shared" si="127"/>
        <v>17540.201120000002</v>
      </c>
      <c r="AA568" s="17" t="str">
        <f t="shared" si="128"/>
        <v>Q1-2024</v>
      </c>
      <c r="AB568" s="12" t="str">
        <f t="shared" si="129"/>
        <v>Feb-2024</v>
      </c>
      <c r="AC568" s="12" t="str">
        <f t="shared" si="130"/>
        <v>Medium</v>
      </c>
      <c r="AD568">
        <v>13</v>
      </c>
      <c r="AE568" s="12">
        <f>_xlfn.MINIFS(Table1[MonthDate], Table1[Country], Table1[[#This Row],[Country]])</f>
        <v>44927</v>
      </c>
      <c r="AF568" s="12">
        <f t="shared" si="131"/>
        <v>45323</v>
      </c>
      <c r="AG568">
        <f>AD568*(1 + Scenario_Control!$B$4)</f>
        <v>14.3</v>
      </c>
      <c r="AH568">
        <f>O568*(1 + Scenario_Control!$B$3)</f>
        <v>1295.1960000000001</v>
      </c>
      <c r="AI568">
        <f t="shared" si="132"/>
        <v>3858.8442464000004</v>
      </c>
      <c r="AJ568">
        <f t="shared" si="133"/>
        <v>-14662.458553600001</v>
      </c>
      <c r="AK568" s="29">
        <f>MIN(Q568*(1-U568), Scenario_Control!$B$2*Q568)</f>
        <v>308.75200000000001</v>
      </c>
      <c r="AL568" s="15">
        <f t="shared" si="134"/>
        <v>1</v>
      </c>
      <c r="AM568" s="8">
        <f>DATEDIF(Table1[[#This Row],[Country_FirstMonth]], Table1[[#This Row],[MonthDate]], "m")</f>
        <v>13</v>
      </c>
    </row>
    <row r="569" spans="1:39" x14ac:dyDescent="0.25">
      <c r="A569" t="s">
        <v>581</v>
      </c>
      <c r="B569" s="12">
        <v>45834</v>
      </c>
      <c r="C569" s="12">
        <f t="shared" si="120"/>
        <v>45849</v>
      </c>
      <c r="D569" s="2" t="str">
        <f>IF(Table1[[#This Row],[RequiredDate]]&lt;Table1[[#This Row],[OrderDate]],"Check","OK")</f>
        <v>OK</v>
      </c>
      <c r="E569" s="2">
        <v>45849</v>
      </c>
      <c r="F569" s="15">
        <f t="shared" si="121"/>
        <v>15</v>
      </c>
      <c r="G569" t="s">
        <v>646</v>
      </c>
      <c r="H569" t="s">
        <v>651</v>
      </c>
      <c r="I569" t="s">
        <v>663</v>
      </c>
      <c r="J569" t="s">
        <v>705</v>
      </c>
      <c r="K569" t="s">
        <v>708</v>
      </c>
      <c r="L569" t="s">
        <v>720</v>
      </c>
      <c r="M569" t="s">
        <v>731</v>
      </c>
      <c r="N569" t="s">
        <v>1299</v>
      </c>
      <c r="O569" s="29">
        <v>1170.1500000000001</v>
      </c>
      <c r="P569" t="str">
        <f>IF(Table1[[#This Row],[UnitPrice]]&lt;=0,"Check","OK")</f>
        <v>OK</v>
      </c>
      <c r="Q569" s="29">
        <f t="shared" si="122"/>
        <v>2115.19</v>
      </c>
      <c r="R569">
        <v>2115.19</v>
      </c>
      <c r="S569" s="5">
        <f>IF(Table1[[#This Row],[Discount_Flag]]="Check", MIN(MAX(Table1[[#This Row],[DiscountPct]],0),0.3), Table1[[#This Row],[DiscountPct]])</f>
        <v>9.1999999999999998E-2</v>
      </c>
      <c r="T569" t="str">
        <f>IF(OR(Table1[[#This Row],[DiscountPct]]&lt;0,Table1[[#This Row],[DiscountPct]]&gt;0.3),"Check","OK")</f>
        <v>OK</v>
      </c>
      <c r="U569" s="11">
        <v>9.1999999999999998E-2</v>
      </c>
      <c r="V569" s="15">
        <f t="shared" si="123"/>
        <v>0</v>
      </c>
      <c r="W569" s="11">
        <f t="shared" si="124"/>
        <v>0.39073489674946776</v>
      </c>
      <c r="X569" s="17">
        <f t="shared" si="125"/>
        <v>26913.45</v>
      </c>
      <c r="Y569" s="17">
        <f t="shared" si="126"/>
        <v>17260.177960000005</v>
      </c>
      <c r="Z569" s="17">
        <f t="shared" si="127"/>
        <v>44173.627960000005</v>
      </c>
      <c r="AA569" s="17" t="str">
        <f t="shared" si="128"/>
        <v>Q2-2025</v>
      </c>
      <c r="AB569" s="12" t="str">
        <f t="shared" si="129"/>
        <v>Jun-2025</v>
      </c>
      <c r="AC569" s="12" t="str">
        <f t="shared" si="130"/>
        <v>High</v>
      </c>
      <c r="AD569">
        <v>23</v>
      </c>
      <c r="AE569" s="12">
        <f>_xlfn.MINIFS(Table1[MonthDate], Table1[Country], Table1[[#This Row],[Country]])</f>
        <v>44927</v>
      </c>
      <c r="AF569" s="12">
        <f t="shared" si="131"/>
        <v>45809</v>
      </c>
      <c r="AG569">
        <f>AD569*(1 + Scenario_Control!$B$4)</f>
        <v>25.3</v>
      </c>
      <c r="AH569">
        <f>O569*(1 + Scenario_Control!$B$3)</f>
        <v>1228.6575000000003</v>
      </c>
      <c r="AI569">
        <f t="shared" si="132"/>
        <v>9718.1981512000002</v>
      </c>
      <c r="AJ569">
        <f t="shared" si="133"/>
        <v>-21366.836598800008</v>
      </c>
      <c r="AK569" s="29">
        <f>MIN(Q569*(1-U569), Scenario_Control!$B$2*Q569)</f>
        <v>423.03800000000001</v>
      </c>
      <c r="AL569" s="15">
        <f t="shared" si="134"/>
        <v>0</v>
      </c>
      <c r="AM569" s="8">
        <f>DATEDIF(Table1[[#This Row],[Country_FirstMonth]], Table1[[#This Row],[MonthDate]], "m")</f>
        <v>29</v>
      </c>
    </row>
    <row r="570" spans="1:39" x14ac:dyDescent="0.25">
      <c r="A570" t="s">
        <v>582</v>
      </c>
      <c r="B570" s="12">
        <v>45600</v>
      </c>
      <c r="C570" s="12">
        <f t="shared" si="120"/>
        <v>45603</v>
      </c>
      <c r="D570" s="2" t="str">
        <f>IF(Table1[[#This Row],[RequiredDate]]&lt;Table1[[#This Row],[OrderDate]],"Check","OK")</f>
        <v>OK</v>
      </c>
      <c r="E570" s="2">
        <v>45603</v>
      </c>
      <c r="F570" s="15">
        <f t="shared" si="121"/>
        <v>3</v>
      </c>
      <c r="G570" t="s">
        <v>649</v>
      </c>
      <c r="H570" t="s">
        <v>657</v>
      </c>
      <c r="I570" t="s">
        <v>679</v>
      </c>
      <c r="J570" t="s">
        <v>701</v>
      </c>
      <c r="K570" t="s">
        <v>708</v>
      </c>
      <c r="L570" t="s">
        <v>719</v>
      </c>
      <c r="M570" t="s">
        <v>732</v>
      </c>
      <c r="N570" t="s">
        <v>1300</v>
      </c>
      <c r="O570" s="29">
        <v>740.68</v>
      </c>
      <c r="P570" t="str">
        <f>IF(Table1[[#This Row],[UnitPrice]]&lt;=0,"Check","OK")</f>
        <v>OK</v>
      </c>
      <c r="Q570" s="29">
        <f t="shared" si="122"/>
        <v>1837.19</v>
      </c>
      <c r="R570">
        <v>1837.19</v>
      </c>
      <c r="S570" s="5">
        <f>IF(Table1[[#This Row],[Discount_Flag]]="Check", MIN(MAX(Table1[[#This Row],[DiscountPct]],0),0.3), Table1[[#This Row],[DiscountPct]])</f>
        <v>0.19700000000000001</v>
      </c>
      <c r="T570" t="str">
        <f>IF(OR(Table1[[#This Row],[DiscountPct]]&lt;0,Table1[[#This Row],[DiscountPct]]&gt;0.3),"Check","OK")</f>
        <v>OK</v>
      </c>
      <c r="U570" s="11">
        <v>0.19700000000000001</v>
      </c>
      <c r="V570" s="15">
        <f t="shared" si="123"/>
        <v>0</v>
      </c>
      <c r="W570" s="11">
        <f t="shared" si="124"/>
        <v>0.4979337827748298</v>
      </c>
      <c r="X570" s="17">
        <f t="shared" si="125"/>
        <v>12591.56</v>
      </c>
      <c r="Y570" s="17">
        <f t="shared" si="126"/>
        <v>12487.920689999997</v>
      </c>
      <c r="Z570" s="17">
        <f t="shared" si="127"/>
        <v>25079.480689999997</v>
      </c>
      <c r="AA570" s="17" t="str">
        <f t="shared" si="128"/>
        <v>Q4-2024</v>
      </c>
      <c r="AB570" s="12" t="str">
        <f t="shared" si="129"/>
        <v>Nov-2024</v>
      </c>
      <c r="AC570" s="12" t="str">
        <f t="shared" si="130"/>
        <v>Medium</v>
      </c>
      <c r="AD570">
        <v>17</v>
      </c>
      <c r="AE570" s="12">
        <f>_xlfn.MINIFS(Table1[MonthDate], Table1[Country], Table1[[#This Row],[Country]])</f>
        <v>44927</v>
      </c>
      <c r="AF570" s="12">
        <f t="shared" si="131"/>
        <v>45597</v>
      </c>
      <c r="AG570">
        <f>AD570*(1 + Scenario_Control!$B$4)</f>
        <v>18.700000000000003</v>
      </c>
      <c r="AH570">
        <f>O570*(1 + Scenario_Control!$B$3)</f>
        <v>777.71399999999994</v>
      </c>
      <c r="AI570">
        <f t="shared" si="132"/>
        <v>5517.4857518000017</v>
      </c>
      <c r="AJ570">
        <f t="shared" si="133"/>
        <v>-9025.7660481999992</v>
      </c>
      <c r="AK570" s="29">
        <f>MIN(Q570*(1-U570), Scenario_Control!$B$2*Q570)</f>
        <v>367.43800000000005</v>
      </c>
      <c r="AL570" s="15">
        <f t="shared" si="134"/>
        <v>1</v>
      </c>
      <c r="AM570" s="8">
        <f>DATEDIF(Table1[[#This Row],[Country_FirstMonth]], Table1[[#This Row],[MonthDate]], "m")</f>
        <v>22</v>
      </c>
    </row>
    <row r="571" spans="1:39" x14ac:dyDescent="0.25">
      <c r="A571" t="s">
        <v>583</v>
      </c>
      <c r="B571" s="12">
        <v>45342</v>
      </c>
      <c r="C571" s="12">
        <f t="shared" si="120"/>
        <v>45342</v>
      </c>
      <c r="D571" s="2" t="str">
        <f>IF(Table1[[#This Row],[RequiredDate]]&lt;Table1[[#This Row],[OrderDate]],"Check","OK")</f>
        <v>OK</v>
      </c>
      <c r="E571" s="2">
        <v>45342</v>
      </c>
      <c r="F571" s="15">
        <f t="shared" si="121"/>
        <v>0</v>
      </c>
      <c r="G571" t="s">
        <v>648</v>
      </c>
      <c r="H571" t="s">
        <v>660</v>
      </c>
      <c r="I571" t="s">
        <v>700</v>
      </c>
      <c r="J571" t="s">
        <v>706</v>
      </c>
      <c r="K571" t="s">
        <v>708</v>
      </c>
      <c r="L571" t="s">
        <v>712</v>
      </c>
      <c r="M571" t="s">
        <v>729</v>
      </c>
      <c r="N571" t="s">
        <v>1301</v>
      </c>
      <c r="O571" s="29">
        <v>1407.05</v>
      </c>
      <c r="P571" t="str">
        <f>IF(Table1[[#This Row],[UnitPrice]]&lt;=0,"Check","OK")</f>
        <v>OK</v>
      </c>
      <c r="Q571" s="29">
        <f t="shared" si="122"/>
        <v>2858.93</v>
      </c>
      <c r="R571">
        <v>2858.93</v>
      </c>
      <c r="S571" s="5">
        <f>IF(Table1[[#This Row],[Discount_Flag]]="Check", MIN(MAX(Table1[[#This Row],[DiscountPct]],0),0.3), Table1[[#This Row],[DiscountPct]])</f>
        <v>0</v>
      </c>
      <c r="T571" t="str">
        <f>IF(OR(Table1[[#This Row],[DiscountPct]]&lt;0,Table1[[#This Row],[DiscountPct]]&gt;0.3),"Check","OK")</f>
        <v>OK</v>
      </c>
      <c r="U571" s="11">
        <v>0</v>
      </c>
      <c r="V571" s="15">
        <f t="shared" si="123"/>
        <v>0</v>
      </c>
      <c r="W571" s="11">
        <f t="shared" si="124"/>
        <v>0.50784034586366222</v>
      </c>
      <c r="X571" s="17">
        <f t="shared" si="125"/>
        <v>16884.599999999999</v>
      </c>
      <c r="Y571" s="17">
        <f t="shared" si="126"/>
        <v>17422.559999999998</v>
      </c>
      <c r="Z571" s="17">
        <f t="shared" si="127"/>
        <v>34307.159999999996</v>
      </c>
      <c r="AA571" s="17" t="str">
        <f t="shared" si="128"/>
        <v>Q1-2024</v>
      </c>
      <c r="AB571" s="12" t="str">
        <f t="shared" si="129"/>
        <v>Feb-2024</v>
      </c>
      <c r="AC571" s="12" t="str">
        <f t="shared" si="130"/>
        <v>High</v>
      </c>
      <c r="AD571">
        <v>12</v>
      </c>
      <c r="AE571" s="12">
        <f>_xlfn.MINIFS(Table1[MonthDate], Table1[Country], Table1[[#This Row],[Country]])</f>
        <v>44927</v>
      </c>
      <c r="AF571" s="12">
        <f t="shared" si="131"/>
        <v>45323</v>
      </c>
      <c r="AG571">
        <f>AD571*(1 + Scenario_Control!$B$4)</f>
        <v>13.200000000000001</v>
      </c>
      <c r="AH571">
        <f>O571*(1 + Scenario_Control!$B$3)</f>
        <v>1477.4024999999999</v>
      </c>
      <c r="AI571">
        <f t="shared" si="132"/>
        <v>7547.5752000000002</v>
      </c>
      <c r="AJ571">
        <f t="shared" si="133"/>
        <v>-11954.1378</v>
      </c>
      <c r="AK571" s="29">
        <f>MIN(Q571*(1-U571), Scenario_Control!$B$2*Q571)</f>
        <v>571.78599999999994</v>
      </c>
      <c r="AL571" s="15">
        <f t="shared" si="134"/>
        <v>1</v>
      </c>
      <c r="AM571" s="8">
        <f>DATEDIF(Table1[[#This Row],[Country_FirstMonth]], Table1[[#This Row],[MonthDate]], "m")</f>
        <v>13</v>
      </c>
    </row>
    <row r="572" spans="1:39" x14ac:dyDescent="0.25">
      <c r="A572" t="s">
        <v>584</v>
      </c>
      <c r="B572" s="12">
        <v>45760</v>
      </c>
      <c r="C572" s="12">
        <f t="shared" si="120"/>
        <v>45761</v>
      </c>
      <c r="D572" s="2" t="str">
        <f>IF(Table1[[#This Row],[RequiredDate]]&lt;Table1[[#This Row],[OrderDate]],"Check","OK")</f>
        <v>OK</v>
      </c>
      <c r="E572" s="2">
        <v>45761</v>
      </c>
      <c r="F572" s="15">
        <f t="shared" si="121"/>
        <v>1</v>
      </c>
      <c r="G572" t="s">
        <v>647</v>
      </c>
      <c r="H572" t="s">
        <v>652</v>
      </c>
      <c r="I572" t="s">
        <v>666</v>
      </c>
      <c r="J572" t="s">
        <v>706</v>
      </c>
      <c r="K572" t="s">
        <v>708</v>
      </c>
      <c r="L572" t="s">
        <v>715</v>
      </c>
      <c r="M572" t="s">
        <v>727</v>
      </c>
      <c r="N572" t="s">
        <v>1302</v>
      </c>
      <c r="O572" s="29">
        <v>138.9</v>
      </c>
      <c r="P572" t="str">
        <f>IF(Table1[[#This Row],[UnitPrice]]&lt;=0,"Check","OK")</f>
        <v>OK</v>
      </c>
      <c r="Q572" s="29">
        <f t="shared" si="122"/>
        <v>289.92</v>
      </c>
      <c r="R572">
        <v>289.92</v>
      </c>
      <c r="S572" s="5">
        <f>IF(Table1[[#This Row],[Discount_Flag]]="Check", MIN(MAX(Table1[[#This Row],[DiscountPct]],0),0.3), Table1[[#This Row],[DiscountPct]])</f>
        <v>2.9000000000000001E-2</v>
      </c>
      <c r="T572" t="str">
        <f>IF(OR(Table1[[#This Row],[DiscountPct]]&lt;0,Table1[[#This Row],[DiscountPct]]&gt;0.3),"Check","OK")</f>
        <v>OK</v>
      </c>
      <c r="U572" s="11">
        <v>2.9000000000000001E-2</v>
      </c>
      <c r="V572" s="15">
        <f t="shared" si="123"/>
        <v>0</v>
      </c>
      <c r="W572" s="11">
        <f t="shared" si="124"/>
        <v>0.50659353025828491</v>
      </c>
      <c r="X572" s="17">
        <f t="shared" si="125"/>
        <v>1666.8000000000002</v>
      </c>
      <c r="Y572" s="17">
        <f t="shared" si="126"/>
        <v>1711.3478399999999</v>
      </c>
      <c r="Z572" s="17">
        <f t="shared" si="127"/>
        <v>3378.1478400000001</v>
      </c>
      <c r="AA572" s="17" t="str">
        <f t="shared" si="128"/>
        <v>Q2-2025</v>
      </c>
      <c r="AB572" s="12" t="str">
        <f t="shared" si="129"/>
        <v>Apr-2025</v>
      </c>
      <c r="AC572" s="12" t="str">
        <f t="shared" si="130"/>
        <v>Low</v>
      </c>
      <c r="AD572">
        <v>12</v>
      </c>
      <c r="AE572" s="12">
        <f>_xlfn.MINIFS(Table1[MonthDate], Table1[Country], Table1[[#This Row],[Country]])</f>
        <v>44986</v>
      </c>
      <c r="AF572" s="12">
        <f t="shared" si="131"/>
        <v>45748</v>
      </c>
      <c r="AG572">
        <f>AD572*(1 + Scenario_Control!$B$4)</f>
        <v>13.200000000000001</v>
      </c>
      <c r="AH572">
        <f>O572*(1 + Scenario_Control!$B$3)</f>
        <v>145.845</v>
      </c>
      <c r="AI572">
        <f t="shared" si="132"/>
        <v>743.19252480000011</v>
      </c>
      <c r="AJ572">
        <f t="shared" si="133"/>
        <v>-1181.9614752000002</v>
      </c>
      <c r="AK572" s="29">
        <f>MIN(Q572*(1-U572), Scenario_Control!$B$2*Q572)</f>
        <v>57.984000000000009</v>
      </c>
      <c r="AL572" s="15">
        <f t="shared" si="134"/>
        <v>1</v>
      </c>
      <c r="AM572" s="8">
        <f>DATEDIF(Table1[[#This Row],[Country_FirstMonth]], Table1[[#This Row],[MonthDate]], "m")</f>
        <v>25</v>
      </c>
    </row>
    <row r="573" spans="1:39" x14ac:dyDescent="0.25">
      <c r="A573" t="s">
        <v>585</v>
      </c>
      <c r="B573" s="12">
        <v>45078</v>
      </c>
      <c r="C573" s="12">
        <f t="shared" si="120"/>
        <v>45078</v>
      </c>
      <c r="D573" s="2" t="str">
        <f>IF(Table1[[#This Row],[RequiredDate]]&lt;Table1[[#This Row],[OrderDate]],"Check","OK")</f>
        <v>OK</v>
      </c>
      <c r="E573" s="2">
        <v>45078</v>
      </c>
      <c r="F573" s="15">
        <f t="shared" si="121"/>
        <v>0</v>
      </c>
      <c r="G573" t="s">
        <v>647</v>
      </c>
      <c r="H573" t="s">
        <v>654</v>
      </c>
      <c r="I573" t="s">
        <v>668</v>
      </c>
      <c r="J573" t="s">
        <v>701</v>
      </c>
      <c r="K573" t="s">
        <v>707</v>
      </c>
      <c r="L573" t="s">
        <v>718</v>
      </c>
      <c r="M573" t="s">
        <v>733</v>
      </c>
      <c r="N573" t="s">
        <v>1303</v>
      </c>
      <c r="O573" s="29">
        <v>669.37</v>
      </c>
      <c r="P573" t="str">
        <f>IF(Table1[[#This Row],[UnitPrice]]&lt;=0,"Check","OK")</f>
        <v>OK</v>
      </c>
      <c r="Q573" s="29">
        <f t="shared" si="122"/>
        <v>997.2</v>
      </c>
      <c r="R573">
        <v>997.2</v>
      </c>
      <c r="S573" s="5">
        <f>IF(Table1[[#This Row],[Discount_Flag]]="Check", MIN(MAX(Table1[[#This Row],[DiscountPct]],0),0.3), Table1[[#This Row],[DiscountPct]])</f>
        <v>8.2000000000000003E-2</v>
      </c>
      <c r="T573" t="str">
        <f>IF(OR(Table1[[#This Row],[DiscountPct]]&lt;0,Table1[[#This Row],[DiscountPct]]&gt;0.3),"Check","OK")</f>
        <v>OK</v>
      </c>
      <c r="U573" s="11">
        <v>8.2000000000000003E-2</v>
      </c>
      <c r="V573" s="15">
        <f t="shared" si="123"/>
        <v>0</v>
      </c>
      <c r="W573" s="11">
        <f t="shared" si="124"/>
        <v>0.26879139586484863</v>
      </c>
      <c r="X573" s="17">
        <f t="shared" si="125"/>
        <v>3346.85</v>
      </c>
      <c r="Y573" s="17">
        <f t="shared" si="126"/>
        <v>1230.2980000000002</v>
      </c>
      <c r="Z573" s="17">
        <f t="shared" si="127"/>
        <v>4577.1480000000001</v>
      </c>
      <c r="AA573" s="17" t="str">
        <f t="shared" si="128"/>
        <v>Q2-2023</v>
      </c>
      <c r="AB573" s="12" t="str">
        <f t="shared" si="129"/>
        <v>Jun-2023</v>
      </c>
      <c r="AC573" s="12" t="str">
        <f t="shared" si="130"/>
        <v>Medium</v>
      </c>
      <c r="AD573">
        <v>5</v>
      </c>
      <c r="AE573" s="12">
        <f>_xlfn.MINIFS(Table1[MonthDate], Table1[Country], Table1[[#This Row],[Country]])</f>
        <v>44927</v>
      </c>
      <c r="AF573" s="12">
        <f t="shared" si="131"/>
        <v>45078</v>
      </c>
      <c r="AG573">
        <f>AD573*(1 + Scenario_Control!$B$4)</f>
        <v>5.5</v>
      </c>
      <c r="AH573">
        <f>O573*(1 + Scenario_Control!$B$3)</f>
        <v>702.83850000000007</v>
      </c>
      <c r="AI573">
        <f t="shared" si="132"/>
        <v>1006.9725600000002</v>
      </c>
      <c r="AJ573">
        <f t="shared" si="133"/>
        <v>-2858.6391900000003</v>
      </c>
      <c r="AK573" s="29">
        <f>MIN(Q573*(1-U573), Scenario_Control!$B$2*Q573)</f>
        <v>199.44000000000003</v>
      </c>
      <c r="AL573" s="15">
        <f t="shared" si="134"/>
        <v>1</v>
      </c>
      <c r="AM573" s="8">
        <f>DATEDIF(Table1[[#This Row],[Country_FirstMonth]], Table1[[#This Row],[MonthDate]], "m")</f>
        <v>5</v>
      </c>
    </row>
    <row r="574" spans="1:39" x14ac:dyDescent="0.25">
      <c r="A574" t="s">
        <v>586</v>
      </c>
      <c r="B574" s="12">
        <v>45740</v>
      </c>
      <c r="C574" s="12">
        <f t="shared" si="120"/>
        <v>45751</v>
      </c>
      <c r="D574" s="2" t="str">
        <f>IF(Table1[[#This Row],[RequiredDate]]&lt;Table1[[#This Row],[OrderDate]],"Check","OK")</f>
        <v>OK</v>
      </c>
      <c r="E574" s="2">
        <v>45751</v>
      </c>
      <c r="F574" s="15">
        <f t="shared" si="121"/>
        <v>11</v>
      </c>
      <c r="G574" t="s">
        <v>647</v>
      </c>
      <c r="H574" t="s">
        <v>654</v>
      </c>
      <c r="I574" t="s">
        <v>691</v>
      </c>
      <c r="J574" t="s">
        <v>702</v>
      </c>
      <c r="K574" t="s">
        <v>709</v>
      </c>
      <c r="L574" t="s">
        <v>713</v>
      </c>
      <c r="M574" t="s">
        <v>730</v>
      </c>
      <c r="N574" t="s">
        <v>1304</v>
      </c>
      <c r="O574" s="29">
        <v>23.83</v>
      </c>
      <c r="P574" t="str">
        <f>IF(Table1[[#This Row],[UnitPrice]]&lt;=0,"Check","OK")</f>
        <v>OK</v>
      </c>
      <c r="Q574" s="29">
        <f t="shared" si="122"/>
        <v>47.29</v>
      </c>
      <c r="R574">
        <v>47.29</v>
      </c>
      <c r="S574" s="5">
        <f>IF(Table1[[#This Row],[Discount_Flag]]="Check", MIN(MAX(Table1[[#This Row],[DiscountPct]],0),0.3), Table1[[#This Row],[DiscountPct]])</f>
        <v>6.4000000000000001E-2</v>
      </c>
      <c r="T574" t="str">
        <f>IF(OR(Table1[[#This Row],[DiscountPct]]&lt;0,Table1[[#This Row],[DiscountPct]]&gt;0.3),"Check","OK")</f>
        <v>OK</v>
      </c>
      <c r="U574" s="11">
        <v>6.4000000000000001E-2</v>
      </c>
      <c r="V574" s="15">
        <f t="shared" si="123"/>
        <v>0</v>
      </c>
      <c r="W574" s="11">
        <f t="shared" si="124"/>
        <v>0.46163244429262618</v>
      </c>
      <c r="X574" s="17">
        <f t="shared" si="125"/>
        <v>452.77</v>
      </c>
      <c r="Y574" s="17">
        <f t="shared" si="126"/>
        <v>388.23536000000001</v>
      </c>
      <c r="Z574" s="17">
        <f t="shared" si="127"/>
        <v>841.00536</v>
      </c>
      <c r="AA574" s="17" t="str">
        <f t="shared" si="128"/>
        <v>Q1-2025</v>
      </c>
      <c r="AB574" s="12" t="str">
        <f t="shared" si="129"/>
        <v>Mar-2025</v>
      </c>
      <c r="AC574" s="12" t="str">
        <f t="shared" si="130"/>
        <v>Low</v>
      </c>
      <c r="AD574">
        <v>19</v>
      </c>
      <c r="AE574" s="12">
        <f>_xlfn.MINIFS(Table1[MonthDate], Table1[Country], Table1[[#This Row],[Country]])</f>
        <v>44927</v>
      </c>
      <c r="AF574" s="12">
        <f t="shared" si="131"/>
        <v>45717</v>
      </c>
      <c r="AG574">
        <f>AD574*(1 + Scenario_Control!$B$4)</f>
        <v>20.900000000000002</v>
      </c>
      <c r="AH574">
        <f>O574*(1 + Scenario_Control!$B$3)</f>
        <v>25.0215</v>
      </c>
      <c r="AI574">
        <f t="shared" si="132"/>
        <v>185.02117920000001</v>
      </c>
      <c r="AJ574">
        <f t="shared" si="133"/>
        <v>-337.92817080000009</v>
      </c>
      <c r="AK574" s="29">
        <f>MIN(Q574*(1-U574), Scenario_Control!$B$2*Q574)</f>
        <v>9.4580000000000002</v>
      </c>
      <c r="AL574" s="15">
        <f t="shared" si="134"/>
        <v>0</v>
      </c>
      <c r="AM574" s="8">
        <f>DATEDIF(Table1[[#This Row],[Country_FirstMonth]], Table1[[#This Row],[MonthDate]], "m")</f>
        <v>26</v>
      </c>
    </row>
    <row r="575" spans="1:39" x14ac:dyDescent="0.25">
      <c r="A575" t="s">
        <v>587</v>
      </c>
      <c r="B575" s="12">
        <v>45293</v>
      </c>
      <c r="C575" s="12">
        <f t="shared" si="120"/>
        <v>45293</v>
      </c>
      <c r="D575" s="2" t="str">
        <f>IF(Table1[[#This Row],[RequiredDate]]&lt;Table1[[#This Row],[OrderDate]],"Check","OK")</f>
        <v>OK</v>
      </c>
      <c r="E575" s="2">
        <v>45293</v>
      </c>
      <c r="F575" s="15">
        <f t="shared" si="121"/>
        <v>0</v>
      </c>
      <c r="G575" t="s">
        <v>648</v>
      </c>
      <c r="H575" t="s">
        <v>653</v>
      </c>
      <c r="I575" t="s">
        <v>688</v>
      </c>
      <c r="J575" t="s">
        <v>702</v>
      </c>
      <c r="K575" t="s">
        <v>711</v>
      </c>
      <c r="L575" t="s">
        <v>720</v>
      </c>
      <c r="M575" t="s">
        <v>731</v>
      </c>
      <c r="N575" t="s">
        <v>1305</v>
      </c>
      <c r="O575" s="29">
        <v>444.41</v>
      </c>
      <c r="P575" t="str">
        <f>IF(Table1[[#This Row],[UnitPrice]]&lt;=0,"Check","OK")</f>
        <v>OK</v>
      </c>
      <c r="Q575" s="29">
        <f t="shared" si="122"/>
        <v>754.24</v>
      </c>
      <c r="R575">
        <v>754.24</v>
      </c>
      <c r="S575" s="5">
        <f>IF(Table1[[#This Row],[Discount_Flag]]="Check", MIN(MAX(Table1[[#This Row],[DiscountPct]],0),0.3), Table1[[#This Row],[DiscountPct]])</f>
        <v>0.20699999999999999</v>
      </c>
      <c r="T575" t="str">
        <f>IF(OR(Table1[[#This Row],[DiscountPct]]&lt;0,Table1[[#This Row],[DiscountPct]]&gt;0.3),"Check","OK")</f>
        <v>OK</v>
      </c>
      <c r="U575" s="11">
        <v>0.20699999999999999</v>
      </c>
      <c r="V575" s="15">
        <f t="shared" si="123"/>
        <v>1</v>
      </c>
      <c r="W575" s="11">
        <f t="shared" si="124"/>
        <v>0.25697902360546598</v>
      </c>
      <c r="X575" s="17">
        <f t="shared" si="125"/>
        <v>14221.12</v>
      </c>
      <c r="Y575" s="17">
        <f t="shared" si="126"/>
        <v>4918.4742400000014</v>
      </c>
      <c r="Z575" s="17">
        <f t="shared" si="127"/>
        <v>19139.594240000002</v>
      </c>
      <c r="AA575" s="17" t="str">
        <f t="shared" si="128"/>
        <v>Q1-2024</v>
      </c>
      <c r="AB575" s="12" t="str">
        <f t="shared" si="129"/>
        <v>Jan-2024</v>
      </c>
      <c r="AC575" s="12" t="str">
        <f t="shared" si="130"/>
        <v>Medium</v>
      </c>
      <c r="AD575">
        <v>32</v>
      </c>
      <c r="AE575" s="12">
        <f>_xlfn.MINIFS(Table1[MonthDate], Table1[Country], Table1[[#This Row],[Country]])</f>
        <v>44927</v>
      </c>
      <c r="AF575" s="12">
        <f t="shared" si="131"/>
        <v>45292</v>
      </c>
      <c r="AG575">
        <f>AD575*(1 + Scenario_Control!$B$4)</f>
        <v>35.200000000000003</v>
      </c>
      <c r="AH575">
        <f>O575*(1 + Scenario_Control!$B$3)</f>
        <v>466.63050000000004</v>
      </c>
      <c r="AI575">
        <f t="shared" si="132"/>
        <v>4210.7107328000002</v>
      </c>
      <c r="AJ575">
        <f t="shared" si="133"/>
        <v>-12214.682867200003</v>
      </c>
      <c r="AK575" s="29">
        <f>MIN(Q575*(1-U575), Scenario_Control!$B$2*Q575)</f>
        <v>150.84800000000001</v>
      </c>
      <c r="AL575" s="15">
        <f t="shared" si="134"/>
        <v>1</v>
      </c>
      <c r="AM575" s="8">
        <f>DATEDIF(Table1[[#This Row],[Country_FirstMonth]], Table1[[#This Row],[MonthDate]], "m")</f>
        <v>12</v>
      </c>
    </row>
    <row r="576" spans="1:39" x14ac:dyDescent="0.25">
      <c r="A576" t="s">
        <v>588</v>
      </c>
      <c r="B576" s="12">
        <v>45279</v>
      </c>
      <c r="C576" s="12">
        <f t="shared" si="120"/>
        <v>45292</v>
      </c>
      <c r="D576" s="2" t="str">
        <f>IF(Table1[[#This Row],[RequiredDate]]&lt;Table1[[#This Row],[OrderDate]],"Check","OK")</f>
        <v>OK</v>
      </c>
      <c r="E576" s="2">
        <v>45292</v>
      </c>
      <c r="F576" s="15">
        <f t="shared" si="121"/>
        <v>13</v>
      </c>
      <c r="G576" t="s">
        <v>648</v>
      </c>
      <c r="H576" t="s">
        <v>653</v>
      </c>
      <c r="I576" t="s">
        <v>667</v>
      </c>
      <c r="J576" t="s">
        <v>706</v>
      </c>
      <c r="K576" t="s">
        <v>707</v>
      </c>
      <c r="L576" t="s">
        <v>723</v>
      </c>
      <c r="M576" t="s">
        <v>732</v>
      </c>
      <c r="N576" t="s">
        <v>1306</v>
      </c>
      <c r="O576" s="29">
        <v>856.1</v>
      </c>
      <c r="P576" t="str">
        <f>IF(Table1[[#This Row],[UnitPrice]]&lt;=0,"Check","OK")</f>
        <v>OK</v>
      </c>
      <c r="Q576" s="29">
        <f t="shared" si="122"/>
        <v>901.48</v>
      </c>
      <c r="R576">
        <v>901.48</v>
      </c>
      <c r="S576" s="5">
        <f>IF(Table1[[#This Row],[Discount_Flag]]="Check", MIN(MAX(Table1[[#This Row],[DiscountPct]],0),0.3), Table1[[#This Row],[DiscountPct]])</f>
        <v>5.6000000000000001E-2</v>
      </c>
      <c r="T576" t="str">
        <f>IF(OR(Table1[[#This Row],[DiscountPct]]&lt;0,Table1[[#This Row],[DiscountPct]]&gt;0.3),"Check","OK")</f>
        <v>OK</v>
      </c>
      <c r="U576" s="11">
        <v>5.6000000000000001E-2</v>
      </c>
      <c r="V576" s="15">
        <f t="shared" si="123"/>
        <v>0</v>
      </c>
      <c r="W576" s="11">
        <f t="shared" si="124"/>
        <v>-5.9963540182134192E-3</v>
      </c>
      <c r="X576" s="17">
        <f t="shared" si="125"/>
        <v>14553.7</v>
      </c>
      <c r="Y576" s="17">
        <f t="shared" si="126"/>
        <v>-86.748960000000807</v>
      </c>
      <c r="Z576" s="17">
        <f t="shared" si="127"/>
        <v>14466.95104</v>
      </c>
      <c r="AA576" s="17" t="str">
        <f t="shared" si="128"/>
        <v>Q4-2023</v>
      </c>
      <c r="AB576" s="12" t="str">
        <f t="shared" si="129"/>
        <v>Dec-2023</v>
      </c>
      <c r="AC576" s="12" t="str">
        <f t="shared" si="130"/>
        <v>Medium</v>
      </c>
      <c r="AD576">
        <v>17</v>
      </c>
      <c r="AE576" s="12">
        <f>_xlfn.MINIFS(Table1[MonthDate], Table1[Country], Table1[[#This Row],[Country]])</f>
        <v>44927</v>
      </c>
      <c r="AF576" s="12">
        <f t="shared" si="131"/>
        <v>45261</v>
      </c>
      <c r="AG576">
        <f>AD576*(1 + Scenario_Control!$B$4)</f>
        <v>18.700000000000003</v>
      </c>
      <c r="AH576">
        <f>O576*(1 + Scenario_Control!$B$3)</f>
        <v>898.90500000000009</v>
      </c>
      <c r="AI576">
        <f t="shared" si="132"/>
        <v>3182.7292288000003</v>
      </c>
      <c r="AJ576">
        <f t="shared" si="133"/>
        <v>-13626.794271200002</v>
      </c>
      <c r="AK576" s="29">
        <f>MIN(Q576*(1-U576), Scenario_Control!$B$2*Q576)</f>
        <v>180.29600000000002</v>
      </c>
      <c r="AL576" s="15">
        <f t="shared" si="134"/>
        <v>0</v>
      </c>
      <c r="AM576" s="8">
        <f>DATEDIF(Table1[[#This Row],[Country_FirstMonth]], Table1[[#This Row],[MonthDate]], "m")</f>
        <v>11</v>
      </c>
    </row>
    <row r="577" spans="1:39" x14ac:dyDescent="0.25">
      <c r="A577" t="s">
        <v>589</v>
      </c>
      <c r="B577" s="12">
        <v>45042</v>
      </c>
      <c r="C577" s="12">
        <f t="shared" si="120"/>
        <v>45042</v>
      </c>
      <c r="D577" s="2" t="str">
        <f>IF(Table1[[#This Row],[RequiredDate]]&lt;Table1[[#This Row],[OrderDate]],"Check","OK")</f>
        <v>OK</v>
      </c>
      <c r="E577" s="2">
        <v>45042</v>
      </c>
      <c r="F577" s="15">
        <f t="shared" si="121"/>
        <v>0</v>
      </c>
      <c r="G577" t="s">
        <v>649</v>
      </c>
      <c r="H577" t="s">
        <v>657</v>
      </c>
      <c r="I577" t="s">
        <v>673</v>
      </c>
      <c r="J577" t="s">
        <v>704</v>
      </c>
      <c r="K577" t="s">
        <v>711</v>
      </c>
      <c r="L577" t="s">
        <v>724</v>
      </c>
      <c r="M577" t="s">
        <v>727</v>
      </c>
      <c r="N577" t="s">
        <v>1307</v>
      </c>
      <c r="O577" s="29">
        <v>81.489999999999995</v>
      </c>
      <c r="P577" t="str">
        <f>IF(Table1[[#This Row],[UnitPrice]]&lt;=0,"Check","OK")</f>
        <v>OK</v>
      </c>
      <c r="Q577" s="29">
        <f t="shared" si="122"/>
        <v>113.08</v>
      </c>
      <c r="R577">
        <v>113.08</v>
      </c>
      <c r="S577" s="5">
        <f>IF(Table1[[#This Row],[Discount_Flag]]="Check", MIN(MAX(Table1[[#This Row],[DiscountPct]],0),0.3), Table1[[#This Row],[DiscountPct]])</f>
        <v>0.121</v>
      </c>
      <c r="T577" t="str">
        <f>IF(OR(Table1[[#This Row],[DiscountPct]]&lt;0,Table1[[#This Row],[DiscountPct]]&gt;0.3),"Check","OK")</f>
        <v>OK</v>
      </c>
      <c r="U577" s="11">
        <v>0.121</v>
      </c>
      <c r="V577" s="15">
        <f t="shared" si="123"/>
        <v>0</v>
      </c>
      <c r="W577" s="11">
        <f t="shared" si="124"/>
        <v>0.18015898215364362</v>
      </c>
      <c r="X577" s="17">
        <f t="shared" si="125"/>
        <v>407.45</v>
      </c>
      <c r="Y577" s="17">
        <f t="shared" si="126"/>
        <v>89.536600000000021</v>
      </c>
      <c r="Z577" s="17">
        <f t="shared" si="127"/>
        <v>496.98660000000001</v>
      </c>
      <c r="AA577" s="17" t="str">
        <f t="shared" si="128"/>
        <v>Q2-2023</v>
      </c>
      <c r="AB577" s="12" t="str">
        <f t="shared" si="129"/>
        <v>Apr-2023</v>
      </c>
      <c r="AC577" s="12" t="str">
        <f t="shared" si="130"/>
        <v>Low</v>
      </c>
      <c r="AD577">
        <v>5</v>
      </c>
      <c r="AE577" s="12">
        <f>_xlfn.MINIFS(Table1[MonthDate], Table1[Country], Table1[[#This Row],[Country]])</f>
        <v>44927</v>
      </c>
      <c r="AF577" s="12">
        <f t="shared" si="131"/>
        <v>45017</v>
      </c>
      <c r="AG577">
        <f>AD577*(1 + Scenario_Control!$B$4)</f>
        <v>5.5</v>
      </c>
      <c r="AH577">
        <f>O577*(1 + Scenario_Control!$B$3)</f>
        <v>85.564499999999995</v>
      </c>
      <c r="AI577">
        <f t="shared" si="132"/>
        <v>109.337052</v>
      </c>
      <c r="AJ577">
        <f t="shared" si="133"/>
        <v>-361.267698</v>
      </c>
      <c r="AK577" s="29">
        <f>MIN(Q577*(1-U577), Scenario_Control!$B$2*Q577)</f>
        <v>22.616</v>
      </c>
      <c r="AL577" s="15">
        <f t="shared" si="134"/>
        <v>1</v>
      </c>
      <c r="AM577" s="8">
        <f>DATEDIF(Table1[[#This Row],[Country_FirstMonth]], Table1[[#This Row],[MonthDate]], "m")</f>
        <v>3</v>
      </c>
    </row>
    <row r="578" spans="1:39" x14ac:dyDescent="0.25">
      <c r="A578" t="s">
        <v>590</v>
      </c>
      <c r="B578" s="12">
        <v>45872</v>
      </c>
      <c r="C578" s="12">
        <f t="shared" ref="C578:C633" si="135">IF(D578="Check",B578+7,E578)</f>
        <v>45885</v>
      </c>
      <c r="D578" s="2" t="str">
        <f>IF(Table1[[#This Row],[RequiredDate]]&lt;Table1[[#This Row],[OrderDate]],"Check","OK")</f>
        <v>OK</v>
      </c>
      <c r="E578" s="2">
        <v>45885</v>
      </c>
      <c r="F578" s="15">
        <f t="shared" ref="F578:F633" si="136">C578-B578</f>
        <v>13</v>
      </c>
      <c r="G578" t="s">
        <v>648</v>
      </c>
      <c r="H578" t="s">
        <v>653</v>
      </c>
      <c r="I578" t="s">
        <v>681</v>
      </c>
      <c r="J578" t="s">
        <v>706</v>
      </c>
      <c r="K578" t="s">
        <v>710</v>
      </c>
      <c r="L578" t="s">
        <v>719</v>
      </c>
      <c r="M578" t="s">
        <v>729</v>
      </c>
      <c r="N578" t="s">
        <v>1308</v>
      </c>
      <c r="O578" s="29">
        <v>698.66</v>
      </c>
      <c r="P578" t="str">
        <f>IF(Table1[[#This Row],[UnitPrice]]&lt;=0,"Check","OK")</f>
        <v>OK</v>
      </c>
      <c r="Q578" s="29">
        <f t="shared" ref="Q578:Q633" si="137">IF(R578&lt;0,0,R578)</f>
        <v>868.62</v>
      </c>
      <c r="R578">
        <v>868.62</v>
      </c>
      <c r="S578" s="5">
        <f>IF(Table1[[#This Row],[Discount_Flag]]="Check", MIN(MAX(Table1[[#This Row],[DiscountPct]],0),0.3), Table1[[#This Row],[DiscountPct]])</f>
        <v>7.1999999999999995E-2</v>
      </c>
      <c r="T578" t="str">
        <f>IF(OR(Table1[[#This Row],[DiscountPct]]&lt;0,Table1[[#This Row],[DiscountPct]]&gt;0.3),"Check","OK")</f>
        <v>OK</v>
      </c>
      <c r="U578" s="11">
        <v>7.1999999999999995E-2</v>
      </c>
      <c r="V578" s="15">
        <f t="shared" ref="V578:V633" si="138">IF(U578&gt;0.2,1,0)</f>
        <v>0</v>
      </c>
      <c r="W578" s="11">
        <f t="shared" ref="W578:W633" si="139">IF(Z578=0, 0, Y578/Z578)</f>
        <v>0.13326151906432637</v>
      </c>
      <c r="X578" s="17">
        <f t="shared" ref="X578:X633" si="140">O578*AD578</f>
        <v>10479.9</v>
      </c>
      <c r="Y578" s="17">
        <f t="shared" ref="Y578:Y633" si="141">Z578-X578</f>
        <v>1611.2903999999999</v>
      </c>
      <c r="Z578" s="17">
        <f t="shared" ref="Z578:Z633" si="142">Q578*AD578*(1-S578)</f>
        <v>12091.190399999999</v>
      </c>
      <c r="AA578" s="17" t="str">
        <f t="shared" ref="AA578:AA633" si="143">"Q"&amp;ROUNDUP(MONTH(B578)/3,0)&amp;"-"&amp;YEAR(B578)</f>
        <v>Q3-2025</v>
      </c>
      <c r="AB578" s="12" t="str">
        <f t="shared" ref="AB578:AB633" si="144">TEXT(B578,"MMM-YYYY")</f>
        <v>Aug-2025</v>
      </c>
      <c r="AC578" s="12" t="str">
        <f t="shared" ref="AC578:AC633" si="145">IF(Q578&lt;=$AE$639,"Low",IF(Q578&lt;=$AE$641,"Medium","High"))</f>
        <v>Medium</v>
      </c>
      <c r="AD578">
        <v>15</v>
      </c>
      <c r="AE578" s="12">
        <f>_xlfn.MINIFS(Table1[MonthDate], Table1[Country], Table1[[#This Row],[Country]])</f>
        <v>44927</v>
      </c>
      <c r="AF578" s="12">
        <f t="shared" ref="AF578:AF633" si="146">DATE(YEAR(B578), MONTH(B578), 1)</f>
        <v>45870</v>
      </c>
      <c r="AG578">
        <f>AD578*(1 + Scenario_Control!$B$4)</f>
        <v>16.5</v>
      </c>
      <c r="AH578">
        <f>O578*(1 + Scenario_Control!$B$3)</f>
        <v>733.59299999999996</v>
      </c>
      <c r="AI578">
        <f t="shared" ref="AI578:AI633" si="147">AK578 * AG578 * (1 - U578)</f>
        <v>2660.0618880000006</v>
      </c>
      <c r="AJ578">
        <f t="shared" ref="AJ578:AJ633" si="148">AI578 - (AH578 * AG578)</f>
        <v>-9444.2226119999996</v>
      </c>
      <c r="AK578" s="29">
        <f>MIN(Q578*(1-U578), Scenario_Control!$B$2*Q578)</f>
        <v>173.72400000000002</v>
      </c>
      <c r="AL578" s="15">
        <f t="shared" ref="AL578:AL633" si="149">IF(F578&lt;=7,1,0)</f>
        <v>0</v>
      </c>
      <c r="AM578" s="8">
        <f>DATEDIF(Table1[[#This Row],[Country_FirstMonth]], Table1[[#This Row],[MonthDate]], "m")</f>
        <v>31</v>
      </c>
    </row>
    <row r="579" spans="1:39" x14ac:dyDescent="0.25">
      <c r="A579" t="s">
        <v>591</v>
      </c>
      <c r="B579" s="12">
        <v>45140</v>
      </c>
      <c r="C579" s="12">
        <f t="shared" si="135"/>
        <v>45157</v>
      </c>
      <c r="D579" s="2" t="str">
        <f>IF(Table1[[#This Row],[RequiredDate]]&lt;Table1[[#This Row],[OrderDate]],"Check","OK")</f>
        <v>OK</v>
      </c>
      <c r="E579" s="2">
        <v>45157</v>
      </c>
      <c r="F579" s="15">
        <f t="shared" si="136"/>
        <v>17</v>
      </c>
      <c r="G579" t="s">
        <v>648</v>
      </c>
      <c r="H579" t="s">
        <v>653</v>
      </c>
      <c r="I579" t="s">
        <v>688</v>
      </c>
      <c r="J579" t="s">
        <v>701</v>
      </c>
      <c r="K579" t="s">
        <v>708</v>
      </c>
      <c r="L579" t="s">
        <v>721</v>
      </c>
      <c r="M579" t="s">
        <v>729</v>
      </c>
      <c r="N579" t="s">
        <v>1309</v>
      </c>
      <c r="O579" s="29">
        <v>175.38</v>
      </c>
      <c r="P579" t="str">
        <f>IF(Table1[[#This Row],[UnitPrice]]&lt;=0,"Check","OK")</f>
        <v>OK</v>
      </c>
      <c r="Q579" s="29">
        <f t="shared" si="137"/>
        <v>347.9</v>
      </c>
      <c r="R579">
        <v>347.9</v>
      </c>
      <c r="S579" s="5">
        <f>IF(Table1[[#This Row],[Discount_Flag]]="Check", MIN(MAX(Table1[[#This Row],[DiscountPct]],0),0.3), Table1[[#This Row],[DiscountPct]])</f>
        <v>7.1999999999999995E-2</v>
      </c>
      <c r="T579" t="str">
        <f>IF(OR(Table1[[#This Row],[DiscountPct]]&lt;0,Table1[[#This Row],[DiscountPct]]&gt;0.3),"Check","OK")</f>
        <v>OK</v>
      </c>
      <c r="U579" s="11">
        <v>7.1999999999999995E-2</v>
      </c>
      <c r="V579" s="15">
        <f t="shared" si="138"/>
        <v>0</v>
      </c>
      <c r="W579" s="11">
        <f t="shared" si="139"/>
        <v>0.45677761148169804</v>
      </c>
      <c r="X579" s="17">
        <f t="shared" si="140"/>
        <v>7541.34</v>
      </c>
      <c r="Y579" s="17">
        <f t="shared" si="141"/>
        <v>6341.2615999999998</v>
      </c>
      <c r="Z579" s="17">
        <f t="shared" si="142"/>
        <v>13882.6016</v>
      </c>
      <c r="AA579" s="17" t="str">
        <f t="shared" si="143"/>
        <v>Q3-2023</v>
      </c>
      <c r="AB579" s="12" t="str">
        <f t="shared" si="144"/>
        <v>Aug-2023</v>
      </c>
      <c r="AC579" s="12" t="str">
        <f t="shared" si="145"/>
        <v>Low</v>
      </c>
      <c r="AD579">
        <v>43</v>
      </c>
      <c r="AE579" s="12">
        <f>_xlfn.MINIFS(Table1[MonthDate], Table1[Country], Table1[[#This Row],[Country]])</f>
        <v>44927</v>
      </c>
      <c r="AF579" s="12">
        <f t="shared" si="146"/>
        <v>45139</v>
      </c>
      <c r="AG579">
        <f>AD579*(1 + Scenario_Control!$B$4)</f>
        <v>47.300000000000004</v>
      </c>
      <c r="AH579">
        <f>O579*(1 + Scenario_Control!$B$3)</f>
        <v>184.149</v>
      </c>
      <c r="AI579">
        <f t="shared" si="147"/>
        <v>3054.172352</v>
      </c>
      <c r="AJ579">
        <f t="shared" si="148"/>
        <v>-5656.0753480000021</v>
      </c>
      <c r="AK579" s="29">
        <f>MIN(Q579*(1-U579), Scenario_Control!$B$2*Q579)</f>
        <v>69.58</v>
      </c>
      <c r="AL579" s="15">
        <f t="shared" si="149"/>
        <v>0</v>
      </c>
      <c r="AM579" s="8">
        <f>DATEDIF(Table1[[#This Row],[Country_FirstMonth]], Table1[[#This Row],[MonthDate]], "m")</f>
        <v>7</v>
      </c>
    </row>
    <row r="580" spans="1:39" x14ac:dyDescent="0.25">
      <c r="A580" t="s">
        <v>592</v>
      </c>
      <c r="B580" s="12">
        <v>45092</v>
      </c>
      <c r="C580" s="12">
        <f t="shared" si="135"/>
        <v>45119</v>
      </c>
      <c r="D580" s="2" t="str">
        <f>IF(Table1[[#This Row],[RequiredDate]]&lt;Table1[[#This Row],[OrderDate]],"Check","OK")</f>
        <v>OK</v>
      </c>
      <c r="E580" s="2">
        <v>45119</v>
      </c>
      <c r="F580" s="15">
        <f t="shared" si="136"/>
        <v>27</v>
      </c>
      <c r="G580" t="s">
        <v>649</v>
      </c>
      <c r="H580" t="s">
        <v>658</v>
      </c>
      <c r="I580" t="s">
        <v>693</v>
      </c>
      <c r="J580" t="s">
        <v>704</v>
      </c>
      <c r="K580" t="s">
        <v>711</v>
      </c>
      <c r="L580" t="s">
        <v>714</v>
      </c>
      <c r="M580" t="s">
        <v>733</v>
      </c>
      <c r="N580" t="s">
        <v>1310</v>
      </c>
      <c r="O580" s="29">
        <v>751.28</v>
      </c>
      <c r="P580" t="str">
        <f>IF(Table1[[#This Row],[UnitPrice]]&lt;=0,"Check","OK")</f>
        <v>OK</v>
      </c>
      <c r="Q580" s="29">
        <f t="shared" si="137"/>
        <v>1111.8800000000001</v>
      </c>
      <c r="R580">
        <v>1111.8800000000001</v>
      </c>
      <c r="S580" s="5">
        <f>IF(Table1[[#This Row],[Discount_Flag]]="Check", MIN(MAX(Table1[[#This Row],[DiscountPct]],0),0.3), Table1[[#This Row],[DiscountPct]])</f>
        <v>0.13500000000000001</v>
      </c>
      <c r="T580" t="str">
        <f>IF(OR(Table1[[#This Row],[DiscountPct]]&lt;0,Table1[[#This Row],[DiscountPct]]&gt;0.3),"Check","OK")</f>
        <v>OK</v>
      </c>
      <c r="U580" s="11">
        <v>0.13500000000000001</v>
      </c>
      <c r="V580" s="15">
        <f t="shared" si="138"/>
        <v>0</v>
      </c>
      <c r="W580" s="11">
        <f t="shared" si="139"/>
        <v>0.21886193482433863</v>
      </c>
      <c r="X580" s="17">
        <f t="shared" si="140"/>
        <v>5258.96</v>
      </c>
      <c r="Y580" s="17">
        <f t="shared" si="141"/>
        <v>1473.4734000000008</v>
      </c>
      <c r="Z580" s="17">
        <f t="shared" si="142"/>
        <v>6732.4334000000008</v>
      </c>
      <c r="AA580" s="17" t="str">
        <f t="shared" si="143"/>
        <v>Q2-2023</v>
      </c>
      <c r="AB580" s="12" t="str">
        <f t="shared" si="144"/>
        <v>Jun-2023</v>
      </c>
      <c r="AC580" s="12" t="str">
        <f t="shared" si="145"/>
        <v>Medium</v>
      </c>
      <c r="AD580">
        <v>7</v>
      </c>
      <c r="AE580" s="12">
        <f>_xlfn.MINIFS(Table1[MonthDate], Table1[Country], Table1[[#This Row],[Country]])</f>
        <v>44927</v>
      </c>
      <c r="AF580" s="12">
        <f t="shared" si="146"/>
        <v>45078</v>
      </c>
      <c r="AG580">
        <f>AD580*(1 + Scenario_Control!$B$4)</f>
        <v>7.7000000000000011</v>
      </c>
      <c r="AH580">
        <f>O580*(1 + Scenario_Control!$B$3)</f>
        <v>788.84400000000005</v>
      </c>
      <c r="AI580">
        <f t="shared" si="147"/>
        <v>1481.1353480000005</v>
      </c>
      <c r="AJ580">
        <f t="shared" si="148"/>
        <v>-4592.9634520000009</v>
      </c>
      <c r="AK580" s="29">
        <f>MIN(Q580*(1-U580), Scenario_Control!$B$2*Q580)</f>
        <v>222.37600000000003</v>
      </c>
      <c r="AL580" s="15">
        <f t="shared" si="149"/>
        <v>0</v>
      </c>
      <c r="AM580" s="8">
        <f>DATEDIF(Table1[[#This Row],[Country_FirstMonth]], Table1[[#This Row],[MonthDate]], "m")</f>
        <v>5</v>
      </c>
    </row>
    <row r="581" spans="1:39" x14ac:dyDescent="0.25">
      <c r="A581" t="s">
        <v>593</v>
      </c>
      <c r="B581" s="12">
        <v>45607</v>
      </c>
      <c r="C581" s="12">
        <f t="shared" si="135"/>
        <v>45620</v>
      </c>
      <c r="D581" s="2" t="str">
        <f>IF(Table1[[#This Row],[RequiredDate]]&lt;Table1[[#This Row],[OrderDate]],"Check","OK")</f>
        <v>OK</v>
      </c>
      <c r="E581" s="2">
        <v>45620</v>
      </c>
      <c r="F581" s="15">
        <f t="shared" si="136"/>
        <v>13</v>
      </c>
      <c r="G581" t="s">
        <v>649</v>
      </c>
      <c r="H581" t="s">
        <v>658</v>
      </c>
      <c r="I581" t="s">
        <v>683</v>
      </c>
      <c r="J581" t="s">
        <v>701</v>
      </c>
      <c r="K581" t="s">
        <v>707</v>
      </c>
      <c r="L581" t="s">
        <v>718</v>
      </c>
      <c r="M581" t="s">
        <v>729</v>
      </c>
      <c r="N581" t="s">
        <v>1311</v>
      </c>
      <c r="O581" s="29">
        <v>164.53</v>
      </c>
      <c r="P581" t="str">
        <f>IF(Table1[[#This Row],[UnitPrice]]&lt;=0,"Check","OK")</f>
        <v>OK</v>
      </c>
      <c r="Q581" s="29">
        <f t="shared" si="137"/>
        <v>327.72</v>
      </c>
      <c r="R581">
        <v>327.72</v>
      </c>
      <c r="S581" s="5">
        <f>IF(Table1[[#This Row],[Discount_Flag]]="Check", MIN(MAX(Table1[[#This Row],[DiscountPct]],0),0.3), Table1[[#This Row],[DiscountPct]])</f>
        <v>6.7000000000000004E-2</v>
      </c>
      <c r="T581" t="str">
        <f>IF(OR(Table1[[#This Row],[DiscountPct]]&lt;0,Table1[[#This Row],[DiscountPct]]&gt;0.3),"Check","OK")</f>
        <v>OK</v>
      </c>
      <c r="U581" s="11">
        <v>6.7000000000000004E-2</v>
      </c>
      <c r="V581" s="15">
        <f t="shared" si="138"/>
        <v>0</v>
      </c>
      <c r="W581" s="11">
        <f t="shared" si="139"/>
        <v>0.46190307805960412</v>
      </c>
      <c r="X581" s="17">
        <f t="shared" si="140"/>
        <v>2303.42</v>
      </c>
      <c r="Y581" s="17">
        <f t="shared" si="141"/>
        <v>1977.25864</v>
      </c>
      <c r="Z581" s="17">
        <f t="shared" si="142"/>
        <v>4280.6786400000001</v>
      </c>
      <c r="AA581" s="17" t="str">
        <f t="shared" si="143"/>
        <v>Q4-2024</v>
      </c>
      <c r="AB581" s="12" t="str">
        <f t="shared" si="144"/>
        <v>Nov-2024</v>
      </c>
      <c r="AC581" s="12" t="str">
        <f t="shared" si="145"/>
        <v>Low</v>
      </c>
      <c r="AD581">
        <v>14</v>
      </c>
      <c r="AE581" s="12">
        <f>_xlfn.MINIFS(Table1[MonthDate], Table1[Country], Table1[[#This Row],[Country]])</f>
        <v>44927</v>
      </c>
      <c r="AF581" s="12">
        <f t="shared" si="146"/>
        <v>45597</v>
      </c>
      <c r="AG581">
        <f>AD581*(1 + Scenario_Control!$B$4)</f>
        <v>15.400000000000002</v>
      </c>
      <c r="AH581">
        <f>O581*(1 + Scenario_Control!$B$3)</f>
        <v>172.75650000000002</v>
      </c>
      <c r="AI581">
        <f t="shared" si="147"/>
        <v>941.74930080000024</v>
      </c>
      <c r="AJ581">
        <f t="shared" si="148"/>
        <v>-1718.7007992000003</v>
      </c>
      <c r="AK581" s="29">
        <f>MIN(Q581*(1-U581), Scenario_Control!$B$2*Q581)</f>
        <v>65.544000000000011</v>
      </c>
      <c r="AL581" s="15">
        <f t="shared" si="149"/>
        <v>0</v>
      </c>
      <c r="AM581" s="8">
        <f>DATEDIF(Table1[[#This Row],[Country_FirstMonth]], Table1[[#This Row],[MonthDate]], "m")</f>
        <v>22</v>
      </c>
    </row>
    <row r="582" spans="1:39" x14ac:dyDescent="0.25">
      <c r="A582" t="s">
        <v>594</v>
      </c>
      <c r="B582" s="12">
        <v>45849</v>
      </c>
      <c r="C582" s="12">
        <f t="shared" si="135"/>
        <v>45872</v>
      </c>
      <c r="D582" s="2" t="str">
        <f>IF(Table1[[#This Row],[RequiredDate]]&lt;Table1[[#This Row],[OrderDate]],"Check","OK")</f>
        <v>OK</v>
      </c>
      <c r="E582" s="2">
        <v>45872</v>
      </c>
      <c r="F582" s="15">
        <f t="shared" si="136"/>
        <v>23</v>
      </c>
      <c r="G582" t="s">
        <v>646</v>
      </c>
      <c r="H582" t="s">
        <v>650</v>
      </c>
      <c r="I582" t="s">
        <v>678</v>
      </c>
      <c r="J582" t="s">
        <v>705</v>
      </c>
      <c r="K582" t="s">
        <v>707</v>
      </c>
      <c r="L582" t="s">
        <v>712</v>
      </c>
      <c r="M582" t="s">
        <v>730</v>
      </c>
      <c r="N582" t="s">
        <v>1312</v>
      </c>
      <c r="O582" s="29">
        <v>389.93</v>
      </c>
      <c r="P582" t="str">
        <f>IF(Table1[[#This Row],[UnitPrice]]&lt;=0,"Check","OK")</f>
        <v>OK</v>
      </c>
      <c r="Q582" s="29">
        <f t="shared" si="137"/>
        <v>486.13</v>
      </c>
      <c r="R582">
        <v>486.13</v>
      </c>
      <c r="S582" s="5">
        <f>IF(Table1[[#This Row],[Discount_Flag]]="Check", MIN(MAX(Table1[[#This Row],[DiscountPct]],0),0.3), Table1[[#This Row],[DiscountPct]])</f>
        <v>0.13200000000000001</v>
      </c>
      <c r="T582" t="str">
        <f>IF(OR(Table1[[#This Row],[DiscountPct]]&lt;0,Table1[[#This Row],[DiscountPct]]&gt;0.3),"Check","OK")</f>
        <v>OK</v>
      </c>
      <c r="U582" s="11">
        <v>0.13200000000000001</v>
      </c>
      <c r="V582" s="15">
        <f t="shared" si="138"/>
        <v>0</v>
      </c>
      <c r="W582" s="11">
        <f t="shared" si="139"/>
        <v>7.5909508569562828E-2</v>
      </c>
      <c r="X582" s="17">
        <f t="shared" si="140"/>
        <v>6628.81</v>
      </c>
      <c r="Y582" s="17">
        <f t="shared" si="141"/>
        <v>544.52427999999873</v>
      </c>
      <c r="Z582" s="17">
        <f t="shared" si="142"/>
        <v>7173.3342799999991</v>
      </c>
      <c r="AA582" s="17" t="str">
        <f t="shared" si="143"/>
        <v>Q3-2025</v>
      </c>
      <c r="AB582" s="12" t="str">
        <f t="shared" si="144"/>
        <v>Jul-2025</v>
      </c>
      <c r="AC582" s="12" t="str">
        <f t="shared" si="145"/>
        <v>Low</v>
      </c>
      <c r="AD582">
        <v>17</v>
      </c>
      <c r="AE582" s="12">
        <f>_xlfn.MINIFS(Table1[MonthDate], Table1[Country], Table1[[#This Row],[Country]])</f>
        <v>44927</v>
      </c>
      <c r="AF582" s="12">
        <f t="shared" si="146"/>
        <v>45839</v>
      </c>
      <c r="AG582">
        <f>AD582*(1 + Scenario_Control!$B$4)</f>
        <v>18.700000000000003</v>
      </c>
      <c r="AH582">
        <f>O582*(1 + Scenario_Control!$B$3)</f>
        <v>409.42650000000003</v>
      </c>
      <c r="AI582">
        <f t="shared" si="147"/>
        <v>1578.1335416000002</v>
      </c>
      <c r="AJ582">
        <f t="shared" si="148"/>
        <v>-6078.1420084000019</v>
      </c>
      <c r="AK582" s="29">
        <f>MIN(Q582*(1-U582), Scenario_Control!$B$2*Q582)</f>
        <v>97.225999999999999</v>
      </c>
      <c r="AL582" s="15">
        <f t="shared" si="149"/>
        <v>0</v>
      </c>
      <c r="AM582" s="8">
        <f>DATEDIF(Table1[[#This Row],[Country_FirstMonth]], Table1[[#This Row],[MonthDate]], "m")</f>
        <v>30</v>
      </c>
    </row>
    <row r="583" spans="1:39" x14ac:dyDescent="0.25">
      <c r="A583" t="s">
        <v>595</v>
      </c>
      <c r="B583" s="12">
        <v>45080</v>
      </c>
      <c r="C583" s="12">
        <f t="shared" si="135"/>
        <v>45108</v>
      </c>
      <c r="D583" s="2" t="str">
        <f>IF(Table1[[#This Row],[RequiredDate]]&lt;Table1[[#This Row],[OrderDate]],"Check","OK")</f>
        <v>OK</v>
      </c>
      <c r="E583" s="2">
        <v>45108</v>
      </c>
      <c r="F583" s="15">
        <f t="shared" si="136"/>
        <v>28</v>
      </c>
      <c r="G583" t="s">
        <v>648</v>
      </c>
      <c r="H583" t="s">
        <v>655</v>
      </c>
      <c r="I583" t="s">
        <v>672</v>
      </c>
      <c r="J583" t="s">
        <v>705</v>
      </c>
      <c r="K583" t="s">
        <v>709</v>
      </c>
      <c r="L583" t="s">
        <v>720</v>
      </c>
      <c r="M583" t="s">
        <v>727</v>
      </c>
      <c r="N583" t="s">
        <v>1313</v>
      </c>
      <c r="O583" s="29">
        <v>860.4</v>
      </c>
      <c r="P583" t="str">
        <f>IF(Table1[[#This Row],[UnitPrice]]&lt;=0,"Check","OK")</f>
        <v>OK</v>
      </c>
      <c r="Q583" s="29">
        <f t="shared" si="137"/>
        <v>2066.6</v>
      </c>
      <c r="R583">
        <v>2066.6</v>
      </c>
      <c r="S583" s="5">
        <f>IF(Table1[[#This Row],[Discount_Flag]]="Check", MIN(MAX(Table1[[#This Row],[DiscountPct]],0),0.3), Table1[[#This Row],[DiscountPct]])</f>
        <v>0.01</v>
      </c>
      <c r="T583" t="str">
        <f>IF(OR(Table1[[#This Row],[DiscountPct]]&lt;0,Table1[[#This Row],[DiscountPct]]&gt;0.3),"Check","OK")</f>
        <v>OK</v>
      </c>
      <c r="U583" s="11">
        <v>0.01</v>
      </c>
      <c r="V583" s="15">
        <f t="shared" si="138"/>
        <v>0</v>
      </c>
      <c r="W583" s="11">
        <f t="shared" si="139"/>
        <v>0.57945857491004105</v>
      </c>
      <c r="X583" s="17">
        <f t="shared" si="140"/>
        <v>2581.1999999999998</v>
      </c>
      <c r="Y583" s="17">
        <f t="shared" si="141"/>
        <v>3556.601999999999</v>
      </c>
      <c r="Z583" s="17">
        <f t="shared" si="142"/>
        <v>6137.8019999999988</v>
      </c>
      <c r="AA583" s="17" t="str">
        <f t="shared" si="143"/>
        <v>Q2-2023</v>
      </c>
      <c r="AB583" s="12" t="str">
        <f t="shared" si="144"/>
        <v>Jun-2023</v>
      </c>
      <c r="AC583" s="12" t="str">
        <f t="shared" si="145"/>
        <v>High</v>
      </c>
      <c r="AD583">
        <v>3</v>
      </c>
      <c r="AE583" s="12">
        <f>_xlfn.MINIFS(Table1[MonthDate], Table1[Country], Table1[[#This Row],[Country]])</f>
        <v>44927</v>
      </c>
      <c r="AF583" s="12">
        <f t="shared" si="146"/>
        <v>45078</v>
      </c>
      <c r="AG583">
        <f>AD583*(1 + Scenario_Control!$B$4)</f>
        <v>3.3000000000000003</v>
      </c>
      <c r="AH583">
        <f>O583*(1 + Scenario_Control!$B$3)</f>
        <v>903.42</v>
      </c>
      <c r="AI583">
        <f t="shared" si="147"/>
        <v>1350.3164400000001</v>
      </c>
      <c r="AJ583">
        <f t="shared" si="148"/>
        <v>-1630.96956</v>
      </c>
      <c r="AK583" s="29">
        <f>MIN(Q583*(1-U583), Scenario_Control!$B$2*Q583)</f>
        <v>413.32</v>
      </c>
      <c r="AL583" s="15">
        <f t="shared" si="149"/>
        <v>0</v>
      </c>
      <c r="AM583" s="8">
        <f>DATEDIF(Table1[[#This Row],[Country_FirstMonth]], Table1[[#This Row],[MonthDate]], "m")</f>
        <v>5</v>
      </c>
    </row>
    <row r="584" spans="1:39" x14ac:dyDescent="0.25">
      <c r="A584" t="s">
        <v>596</v>
      </c>
      <c r="B584" s="12">
        <v>44955</v>
      </c>
      <c r="C584" s="12">
        <f t="shared" si="135"/>
        <v>44963</v>
      </c>
      <c r="D584" s="2" t="str">
        <f>IF(Table1[[#This Row],[RequiredDate]]&lt;Table1[[#This Row],[OrderDate]],"Check","OK")</f>
        <v>OK</v>
      </c>
      <c r="E584" s="2">
        <v>44963</v>
      </c>
      <c r="F584" s="15">
        <f t="shared" si="136"/>
        <v>8</v>
      </c>
      <c r="G584" t="s">
        <v>648</v>
      </c>
      <c r="H584" t="s">
        <v>655</v>
      </c>
      <c r="I584" t="s">
        <v>672</v>
      </c>
      <c r="J584" t="s">
        <v>701</v>
      </c>
      <c r="K584" t="s">
        <v>709</v>
      </c>
      <c r="L584" t="s">
        <v>726</v>
      </c>
      <c r="M584" t="s">
        <v>732</v>
      </c>
      <c r="N584" t="s">
        <v>1314</v>
      </c>
      <c r="O584" s="29">
        <v>41.84</v>
      </c>
      <c r="P584" t="str">
        <f>IF(Table1[[#This Row],[UnitPrice]]&lt;=0,"Check","OK")</f>
        <v>OK</v>
      </c>
      <c r="Q584" s="29">
        <f t="shared" si="137"/>
        <v>86.2</v>
      </c>
      <c r="R584">
        <v>86.2</v>
      </c>
      <c r="S584" s="5">
        <f>IF(Table1[[#This Row],[Discount_Flag]]="Check", MIN(MAX(Table1[[#This Row],[DiscountPct]],0),0.3), Table1[[#This Row],[DiscountPct]])</f>
        <v>0.22600000000000001</v>
      </c>
      <c r="T584" t="str">
        <f>IF(OR(Table1[[#This Row],[DiscountPct]]&lt;0,Table1[[#This Row],[DiscountPct]]&gt;0.3),"Check","OK")</f>
        <v>OK</v>
      </c>
      <c r="U584" s="11">
        <v>0.22600000000000001</v>
      </c>
      <c r="V584" s="15">
        <f t="shared" si="138"/>
        <v>1</v>
      </c>
      <c r="W584" s="11">
        <f t="shared" si="139"/>
        <v>0.37289039970742882</v>
      </c>
      <c r="X584" s="17">
        <f t="shared" si="140"/>
        <v>1129.68</v>
      </c>
      <c r="Y584" s="17">
        <f t="shared" si="141"/>
        <v>671.72760000000017</v>
      </c>
      <c r="Z584" s="17">
        <f t="shared" si="142"/>
        <v>1801.4076000000002</v>
      </c>
      <c r="AA584" s="17" t="str">
        <f t="shared" si="143"/>
        <v>Q1-2023</v>
      </c>
      <c r="AB584" s="12" t="str">
        <f t="shared" si="144"/>
        <v>Jan-2023</v>
      </c>
      <c r="AC584" s="12" t="str">
        <f t="shared" si="145"/>
        <v>Low</v>
      </c>
      <c r="AD584">
        <v>27</v>
      </c>
      <c r="AE584" s="12">
        <f>_xlfn.MINIFS(Table1[MonthDate], Table1[Country], Table1[[#This Row],[Country]])</f>
        <v>44927</v>
      </c>
      <c r="AF584" s="12">
        <f t="shared" si="146"/>
        <v>44927</v>
      </c>
      <c r="AG584">
        <f>AD584*(1 + Scenario_Control!$B$4)</f>
        <v>29.700000000000003</v>
      </c>
      <c r="AH584">
        <f>O584*(1 + Scenario_Control!$B$3)</f>
        <v>43.932000000000002</v>
      </c>
      <c r="AI584">
        <f t="shared" si="147"/>
        <v>396.30967200000009</v>
      </c>
      <c r="AJ584">
        <f t="shared" si="148"/>
        <v>-908.47072800000001</v>
      </c>
      <c r="AK584" s="29">
        <f>MIN(Q584*(1-U584), Scenario_Control!$B$2*Q584)</f>
        <v>17.240000000000002</v>
      </c>
      <c r="AL584" s="15">
        <f t="shared" si="149"/>
        <v>0</v>
      </c>
      <c r="AM584" s="8">
        <f>DATEDIF(Table1[[#This Row],[Country_FirstMonth]], Table1[[#This Row],[MonthDate]], "m")</f>
        <v>0</v>
      </c>
    </row>
    <row r="585" spans="1:39" x14ac:dyDescent="0.25">
      <c r="A585" t="s">
        <v>597</v>
      </c>
      <c r="B585" s="12">
        <v>45541</v>
      </c>
      <c r="C585" s="12">
        <f t="shared" si="135"/>
        <v>45548</v>
      </c>
      <c r="D585" s="2" t="str">
        <f>IF(Table1[[#This Row],[RequiredDate]]&lt;Table1[[#This Row],[OrderDate]],"Check","OK")</f>
        <v>Check</v>
      </c>
      <c r="E585" s="2">
        <v>45539</v>
      </c>
      <c r="F585" s="15">
        <f t="shared" si="136"/>
        <v>7</v>
      </c>
      <c r="G585" t="s">
        <v>647</v>
      </c>
      <c r="H585" t="s">
        <v>652</v>
      </c>
      <c r="I585" t="s">
        <v>666</v>
      </c>
      <c r="J585" t="s">
        <v>701</v>
      </c>
      <c r="K585" t="s">
        <v>711</v>
      </c>
      <c r="L585" t="s">
        <v>720</v>
      </c>
      <c r="M585" t="s">
        <v>731</v>
      </c>
      <c r="N585" t="s">
        <v>1315</v>
      </c>
      <c r="O585" s="29">
        <v>1368.17</v>
      </c>
      <c r="P585" t="str">
        <f>IF(Table1[[#This Row],[UnitPrice]]&lt;=0,"Check","OK")</f>
        <v>OK</v>
      </c>
      <c r="Q585" s="29">
        <f t="shared" si="137"/>
        <v>2307.75</v>
      </c>
      <c r="R585">
        <v>2307.75</v>
      </c>
      <c r="S585" s="5">
        <f>IF(Table1[[#This Row],[Discount_Flag]]="Check", MIN(MAX(Table1[[#This Row],[DiscountPct]],0),0.3), Table1[[#This Row],[DiscountPct]])</f>
        <v>0.16300000000000001</v>
      </c>
      <c r="T585" t="str">
        <f>IF(OR(Table1[[#This Row],[DiscountPct]]&lt;0,Table1[[#This Row],[DiscountPct]]&gt;0.3),"Check","OK")</f>
        <v>OK</v>
      </c>
      <c r="U585" s="11">
        <v>0.16300000000000001</v>
      </c>
      <c r="V585" s="15">
        <f t="shared" si="138"/>
        <v>0</v>
      </c>
      <c r="W585" s="11">
        <f t="shared" si="139"/>
        <v>0.29168596750831921</v>
      </c>
      <c r="X585" s="17">
        <f t="shared" si="140"/>
        <v>28731.57</v>
      </c>
      <c r="Y585" s="17">
        <f t="shared" si="141"/>
        <v>11831.751749999996</v>
      </c>
      <c r="Z585" s="17">
        <f t="shared" si="142"/>
        <v>40563.321749999996</v>
      </c>
      <c r="AA585" s="17" t="str">
        <f t="shared" si="143"/>
        <v>Q3-2024</v>
      </c>
      <c r="AB585" s="12" t="str">
        <f t="shared" si="144"/>
        <v>Sept-2024</v>
      </c>
      <c r="AC585" s="12" t="str">
        <f t="shared" si="145"/>
        <v>High</v>
      </c>
      <c r="AD585">
        <v>21</v>
      </c>
      <c r="AE585" s="12">
        <f>_xlfn.MINIFS(Table1[MonthDate], Table1[Country], Table1[[#This Row],[Country]])</f>
        <v>44986</v>
      </c>
      <c r="AF585" s="12">
        <f t="shared" si="146"/>
        <v>45536</v>
      </c>
      <c r="AG585">
        <f>AD585*(1 + Scenario_Control!$B$4)</f>
        <v>23.1</v>
      </c>
      <c r="AH585">
        <f>O585*(1 + Scenario_Control!$B$3)</f>
        <v>1436.5785000000001</v>
      </c>
      <c r="AI585">
        <f t="shared" si="147"/>
        <v>8923.9307850000005</v>
      </c>
      <c r="AJ585">
        <f t="shared" si="148"/>
        <v>-24261.032565000005</v>
      </c>
      <c r="AK585" s="29">
        <f>MIN(Q585*(1-U585), Scenario_Control!$B$2*Q585)</f>
        <v>461.55</v>
      </c>
      <c r="AL585" s="15">
        <f t="shared" si="149"/>
        <v>1</v>
      </c>
      <c r="AM585" s="8">
        <f>DATEDIF(Table1[[#This Row],[Country_FirstMonth]], Table1[[#This Row],[MonthDate]], "m")</f>
        <v>18</v>
      </c>
    </row>
    <row r="586" spans="1:39" x14ac:dyDescent="0.25">
      <c r="A586" t="s">
        <v>598</v>
      </c>
      <c r="B586" s="12">
        <v>45507</v>
      </c>
      <c r="C586" s="12">
        <f t="shared" si="135"/>
        <v>45513</v>
      </c>
      <c r="D586" s="2" t="str">
        <f>IF(Table1[[#This Row],[RequiredDate]]&lt;Table1[[#This Row],[OrderDate]],"Check","OK")</f>
        <v>OK</v>
      </c>
      <c r="E586" s="2">
        <v>45513</v>
      </c>
      <c r="F586" s="15">
        <f t="shared" si="136"/>
        <v>6</v>
      </c>
      <c r="G586" t="s">
        <v>646</v>
      </c>
      <c r="H586" t="s">
        <v>650</v>
      </c>
      <c r="I586" t="s">
        <v>675</v>
      </c>
      <c r="J586" t="s">
        <v>704</v>
      </c>
      <c r="K586" t="s">
        <v>709</v>
      </c>
      <c r="L586" t="s">
        <v>722</v>
      </c>
      <c r="M586" t="s">
        <v>731</v>
      </c>
      <c r="N586" t="s">
        <v>1316</v>
      </c>
      <c r="O586" s="29">
        <v>643.21</v>
      </c>
      <c r="P586" t="str">
        <f>IF(Table1[[#This Row],[UnitPrice]]&lt;=0,"Check","OK")</f>
        <v>OK</v>
      </c>
      <c r="Q586" s="29">
        <f t="shared" si="137"/>
        <v>1112.81</v>
      </c>
      <c r="R586">
        <v>1112.81</v>
      </c>
      <c r="S586" s="5">
        <f>IF(Table1[[#This Row],[Discount_Flag]]="Check", MIN(MAX(Table1[[#This Row],[DiscountPct]],0),0.3), Table1[[#This Row],[DiscountPct]])</f>
        <v>0.14099999999999999</v>
      </c>
      <c r="T586" t="str">
        <f>IF(OR(Table1[[#This Row],[DiscountPct]]&lt;0,Table1[[#This Row],[DiscountPct]]&gt;0.3),"Check","OK")</f>
        <v>OK</v>
      </c>
      <c r="U586" s="11">
        <v>0.14099999999999999</v>
      </c>
      <c r="V586" s="15">
        <f t="shared" si="138"/>
        <v>0</v>
      </c>
      <c r="W586" s="11">
        <f t="shared" si="139"/>
        <v>0.32711847496702562</v>
      </c>
      <c r="X586" s="17">
        <f t="shared" si="140"/>
        <v>2572.84</v>
      </c>
      <c r="Y586" s="17">
        <f t="shared" si="141"/>
        <v>1250.7751599999997</v>
      </c>
      <c r="Z586" s="17">
        <f t="shared" si="142"/>
        <v>3823.6151599999998</v>
      </c>
      <c r="AA586" s="17" t="str">
        <f t="shared" si="143"/>
        <v>Q3-2024</v>
      </c>
      <c r="AB586" s="12" t="str">
        <f t="shared" si="144"/>
        <v>Aug-2024</v>
      </c>
      <c r="AC586" s="12" t="str">
        <f t="shared" si="145"/>
        <v>Medium</v>
      </c>
      <c r="AD586">
        <v>4</v>
      </c>
      <c r="AE586" s="12">
        <f>_xlfn.MINIFS(Table1[MonthDate], Table1[Country], Table1[[#This Row],[Country]])</f>
        <v>44927</v>
      </c>
      <c r="AF586" s="12">
        <f t="shared" si="146"/>
        <v>45505</v>
      </c>
      <c r="AG586">
        <f>AD586*(1 + Scenario_Control!$B$4)</f>
        <v>4.4000000000000004</v>
      </c>
      <c r="AH586">
        <f>O586*(1 + Scenario_Control!$B$3)</f>
        <v>675.37050000000011</v>
      </c>
      <c r="AI586">
        <f t="shared" si="147"/>
        <v>841.19533520000005</v>
      </c>
      <c r="AJ586">
        <f t="shared" si="148"/>
        <v>-2130.4348648000005</v>
      </c>
      <c r="AK586" s="29">
        <f>MIN(Q586*(1-U586), Scenario_Control!$B$2*Q586)</f>
        <v>222.56200000000001</v>
      </c>
      <c r="AL586" s="15">
        <f t="shared" si="149"/>
        <v>1</v>
      </c>
      <c r="AM586" s="8">
        <f>DATEDIF(Table1[[#This Row],[Country_FirstMonth]], Table1[[#This Row],[MonthDate]], "m")</f>
        <v>19</v>
      </c>
    </row>
    <row r="587" spans="1:39" x14ac:dyDescent="0.25">
      <c r="A587" t="s">
        <v>599</v>
      </c>
      <c r="B587" s="12">
        <v>45764</v>
      </c>
      <c r="C587" s="12">
        <f t="shared" si="135"/>
        <v>45764</v>
      </c>
      <c r="D587" s="2" t="str">
        <f>IF(Table1[[#This Row],[RequiredDate]]&lt;Table1[[#This Row],[OrderDate]],"Check","OK")</f>
        <v>OK</v>
      </c>
      <c r="E587" s="2">
        <v>45764</v>
      </c>
      <c r="F587" s="15">
        <f t="shared" si="136"/>
        <v>0</v>
      </c>
      <c r="G587" t="s">
        <v>648</v>
      </c>
      <c r="H587" t="s">
        <v>655</v>
      </c>
      <c r="I587" t="s">
        <v>670</v>
      </c>
      <c r="J587" t="s">
        <v>701</v>
      </c>
      <c r="K587" t="s">
        <v>710</v>
      </c>
      <c r="L587" t="s">
        <v>716</v>
      </c>
      <c r="M587" t="s">
        <v>730</v>
      </c>
      <c r="N587" t="s">
        <v>1317</v>
      </c>
      <c r="O587" s="29">
        <v>719.41</v>
      </c>
      <c r="P587" t="str">
        <f>IF(Table1[[#This Row],[UnitPrice]]&lt;=0,"Check","OK")</f>
        <v>OK</v>
      </c>
      <c r="Q587" s="29">
        <f t="shared" si="137"/>
        <v>1125.99</v>
      </c>
      <c r="R587">
        <v>1125.99</v>
      </c>
      <c r="S587" s="5">
        <f>IF(Table1[[#This Row],[Discount_Flag]]="Check", MIN(MAX(Table1[[#This Row],[DiscountPct]],0),0.3), Table1[[#This Row],[DiscountPct]])</f>
        <v>4.1000000000000002E-2</v>
      </c>
      <c r="T587" t="str">
        <f>IF(OR(Table1[[#This Row],[DiscountPct]]&lt;0,Table1[[#This Row],[DiscountPct]]&gt;0.3),"Check","OK")</f>
        <v>OK</v>
      </c>
      <c r="U587" s="11">
        <v>4.1000000000000002E-2</v>
      </c>
      <c r="V587" s="15">
        <f t="shared" si="138"/>
        <v>0</v>
      </c>
      <c r="W587" s="11">
        <f t="shared" si="139"/>
        <v>0.33377131194876403</v>
      </c>
      <c r="X587" s="17">
        <f t="shared" si="140"/>
        <v>15107.609999999999</v>
      </c>
      <c r="Y587" s="17">
        <f t="shared" si="141"/>
        <v>7568.7026100000021</v>
      </c>
      <c r="Z587" s="17">
        <f t="shared" si="142"/>
        <v>22676.312610000001</v>
      </c>
      <c r="AA587" s="17" t="str">
        <f t="shared" si="143"/>
        <v>Q2-2025</v>
      </c>
      <c r="AB587" s="12" t="str">
        <f t="shared" si="144"/>
        <v>Apr-2025</v>
      </c>
      <c r="AC587" s="12" t="str">
        <f t="shared" si="145"/>
        <v>Medium</v>
      </c>
      <c r="AD587">
        <v>21</v>
      </c>
      <c r="AE587" s="12">
        <f>_xlfn.MINIFS(Table1[MonthDate], Table1[Country], Table1[[#This Row],[Country]])</f>
        <v>44927</v>
      </c>
      <c r="AF587" s="12">
        <f t="shared" si="146"/>
        <v>45748</v>
      </c>
      <c r="AG587">
        <f>AD587*(1 + Scenario_Control!$B$4)</f>
        <v>23.1</v>
      </c>
      <c r="AH587">
        <f>O587*(1 + Scenario_Control!$B$3)</f>
        <v>755.38049999999998</v>
      </c>
      <c r="AI587">
        <f t="shared" si="147"/>
        <v>4988.7887742000003</v>
      </c>
      <c r="AJ587">
        <f t="shared" si="148"/>
        <v>-12460.500775800001</v>
      </c>
      <c r="AK587" s="29">
        <f>MIN(Q587*(1-U587), Scenario_Control!$B$2*Q587)</f>
        <v>225.19800000000001</v>
      </c>
      <c r="AL587" s="15">
        <f t="shared" si="149"/>
        <v>1</v>
      </c>
      <c r="AM587" s="8">
        <f>DATEDIF(Table1[[#This Row],[Country_FirstMonth]], Table1[[#This Row],[MonthDate]], "m")</f>
        <v>27</v>
      </c>
    </row>
    <row r="588" spans="1:39" x14ac:dyDescent="0.25">
      <c r="A588" t="s">
        <v>600</v>
      </c>
      <c r="B588" s="12">
        <v>45049</v>
      </c>
      <c r="C588" s="12">
        <f t="shared" si="135"/>
        <v>45062</v>
      </c>
      <c r="D588" s="2" t="str">
        <f>IF(Table1[[#This Row],[RequiredDate]]&lt;Table1[[#This Row],[OrderDate]],"Check","OK")</f>
        <v>OK</v>
      </c>
      <c r="E588" s="2">
        <v>45062</v>
      </c>
      <c r="F588" s="15">
        <f t="shared" si="136"/>
        <v>13</v>
      </c>
      <c r="G588" t="s">
        <v>648</v>
      </c>
      <c r="H588" t="s">
        <v>660</v>
      </c>
      <c r="I588" t="s">
        <v>700</v>
      </c>
      <c r="J588" t="s">
        <v>701</v>
      </c>
      <c r="K588" t="s">
        <v>709</v>
      </c>
      <c r="L588" t="s">
        <v>716</v>
      </c>
      <c r="M588" t="s">
        <v>730</v>
      </c>
      <c r="N588" t="s">
        <v>1318</v>
      </c>
      <c r="O588" s="29">
        <v>64.5</v>
      </c>
      <c r="P588" t="str">
        <f>IF(Table1[[#This Row],[UnitPrice]]&lt;=0,"Check","OK")</f>
        <v>OK</v>
      </c>
      <c r="Q588" s="29">
        <f t="shared" si="137"/>
        <v>123.62</v>
      </c>
      <c r="R588">
        <v>123.62</v>
      </c>
      <c r="S588" s="5">
        <f>IF(Table1[[#This Row],[Discount_Flag]]="Check", MIN(MAX(Table1[[#This Row],[DiscountPct]],0),0.3), Table1[[#This Row],[DiscountPct]])</f>
        <v>0</v>
      </c>
      <c r="T588" t="str">
        <f>IF(OR(Table1[[#This Row],[DiscountPct]]&lt;0,Table1[[#This Row],[DiscountPct]]&gt;0.3),"Check","OK")</f>
        <v>OK</v>
      </c>
      <c r="U588" s="11">
        <v>0</v>
      </c>
      <c r="V588" s="15">
        <f t="shared" si="138"/>
        <v>0</v>
      </c>
      <c r="W588" s="11">
        <f t="shared" si="139"/>
        <v>0.47823976702798904</v>
      </c>
      <c r="X588" s="17">
        <f t="shared" si="140"/>
        <v>193.5</v>
      </c>
      <c r="Y588" s="17">
        <f t="shared" si="141"/>
        <v>177.36</v>
      </c>
      <c r="Z588" s="17">
        <f t="shared" si="142"/>
        <v>370.86</v>
      </c>
      <c r="AA588" s="17" t="str">
        <f t="shared" si="143"/>
        <v>Q2-2023</v>
      </c>
      <c r="AB588" s="12" t="str">
        <f t="shared" si="144"/>
        <v>May-2023</v>
      </c>
      <c r="AC588" s="12" t="str">
        <f t="shared" si="145"/>
        <v>Low</v>
      </c>
      <c r="AD588">
        <v>3</v>
      </c>
      <c r="AE588" s="12">
        <f>_xlfn.MINIFS(Table1[MonthDate], Table1[Country], Table1[[#This Row],[Country]])</f>
        <v>44927</v>
      </c>
      <c r="AF588" s="12">
        <f t="shared" si="146"/>
        <v>45047</v>
      </c>
      <c r="AG588">
        <f>AD588*(1 + Scenario_Control!$B$4)</f>
        <v>3.3000000000000003</v>
      </c>
      <c r="AH588">
        <f>O588*(1 + Scenario_Control!$B$3)</f>
        <v>67.725000000000009</v>
      </c>
      <c r="AI588">
        <f t="shared" si="147"/>
        <v>81.589200000000019</v>
      </c>
      <c r="AJ588">
        <f t="shared" si="148"/>
        <v>-141.9033</v>
      </c>
      <c r="AK588" s="29">
        <f>MIN(Q588*(1-U588), Scenario_Control!$B$2*Q588)</f>
        <v>24.724000000000004</v>
      </c>
      <c r="AL588" s="15">
        <f t="shared" si="149"/>
        <v>0</v>
      </c>
      <c r="AM588" s="8">
        <f>DATEDIF(Table1[[#This Row],[Country_FirstMonth]], Table1[[#This Row],[MonthDate]], "m")</f>
        <v>4</v>
      </c>
    </row>
    <row r="589" spans="1:39" x14ac:dyDescent="0.25">
      <c r="A589" t="s">
        <v>601</v>
      </c>
      <c r="B589" s="12">
        <v>45364</v>
      </c>
      <c r="C589" s="12">
        <f t="shared" si="135"/>
        <v>45388</v>
      </c>
      <c r="D589" s="2" t="str">
        <f>IF(Table1[[#This Row],[RequiredDate]]&lt;Table1[[#This Row],[OrderDate]],"Check","OK")</f>
        <v>OK</v>
      </c>
      <c r="E589" s="2">
        <v>45388</v>
      </c>
      <c r="F589" s="15">
        <f t="shared" si="136"/>
        <v>24</v>
      </c>
      <c r="G589" t="s">
        <v>646</v>
      </c>
      <c r="H589" t="s">
        <v>651</v>
      </c>
      <c r="I589" t="s">
        <v>669</v>
      </c>
      <c r="J589" t="s">
        <v>704</v>
      </c>
      <c r="K589" t="s">
        <v>710</v>
      </c>
      <c r="L589" t="s">
        <v>716</v>
      </c>
      <c r="M589" t="s">
        <v>727</v>
      </c>
      <c r="N589" t="s">
        <v>1319</v>
      </c>
      <c r="O589" s="29">
        <v>1232.78</v>
      </c>
      <c r="P589" t="str">
        <f>IF(Table1[[#This Row],[UnitPrice]]&lt;=0,"Check","OK")</f>
        <v>OK</v>
      </c>
      <c r="Q589" s="29">
        <f t="shared" si="137"/>
        <v>1731.75</v>
      </c>
      <c r="R589">
        <v>1731.75</v>
      </c>
      <c r="S589" s="5">
        <f>IF(Table1[[#This Row],[Discount_Flag]]="Check", MIN(MAX(Table1[[#This Row],[DiscountPct]],0),0.3), Table1[[#This Row],[DiscountPct]])</f>
        <v>9.2999999999999999E-2</v>
      </c>
      <c r="T589" t="str">
        <f>IF(OR(Table1[[#This Row],[DiscountPct]]&lt;0,Table1[[#This Row],[DiscountPct]]&gt;0.3),"Check","OK")</f>
        <v>OK</v>
      </c>
      <c r="U589" s="11">
        <v>9.2999999999999999E-2</v>
      </c>
      <c r="V589" s="15">
        <f t="shared" si="138"/>
        <v>0</v>
      </c>
      <c r="W589" s="11">
        <f t="shared" si="139"/>
        <v>0.21513837246484005</v>
      </c>
      <c r="X589" s="17">
        <f t="shared" si="140"/>
        <v>19724.48</v>
      </c>
      <c r="Y589" s="17">
        <f t="shared" si="141"/>
        <v>5406.6759999999995</v>
      </c>
      <c r="Z589" s="17">
        <f t="shared" si="142"/>
        <v>25131.155999999999</v>
      </c>
      <c r="AA589" s="17" t="str">
        <f t="shared" si="143"/>
        <v>Q1-2024</v>
      </c>
      <c r="AB589" s="12" t="str">
        <f t="shared" si="144"/>
        <v>Mar-2024</v>
      </c>
      <c r="AC589" s="12" t="str">
        <f t="shared" si="145"/>
        <v>Medium</v>
      </c>
      <c r="AD589">
        <v>16</v>
      </c>
      <c r="AE589" s="12">
        <f>_xlfn.MINIFS(Table1[MonthDate], Table1[Country], Table1[[#This Row],[Country]])</f>
        <v>44927</v>
      </c>
      <c r="AF589" s="12">
        <f t="shared" si="146"/>
        <v>45352</v>
      </c>
      <c r="AG589">
        <f>AD589*(1 + Scenario_Control!$B$4)</f>
        <v>17.600000000000001</v>
      </c>
      <c r="AH589">
        <f>O589*(1 + Scenario_Control!$B$3)</f>
        <v>1294.4190000000001</v>
      </c>
      <c r="AI589">
        <f t="shared" si="147"/>
        <v>5528.8543200000013</v>
      </c>
      <c r="AJ589">
        <f t="shared" si="148"/>
        <v>-17252.92008</v>
      </c>
      <c r="AK589" s="29">
        <f>MIN(Q589*(1-U589), Scenario_Control!$B$2*Q589)</f>
        <v>346.35</v>
      </c>
      <c r="AL589" s="15">
        <f t="shared" si="149"/>
        <v>0</v>
      </c>
      <c r="AM589" s="8">
        <f>DATEDIF(Table1[[#This Row],[Country_FirstMonth]], Table1[[#This Row],[MonthDate]], "m")</f>
        <v>14</v>
      </c>
    </row>
    <row r="590" spans="1:39" x14ac:dyDescent="0.25">
      <c r="A590" t="s">
        <v>602</v>
      </c>
      <c r="B590" s="12">
        <v>45459</v>
      </c>
      <c r="C590" s="12">
        <f t="shared" si="135"/>
        <v>45464</v>
      </c>
      <c r="D590" s="2" t="str">
        <f>IF(Table1[[#This Row],[RequiredDate]]&lt;Table1[[#This Row],[OrderDate]],"Check","OK")</f>
        <v>OK</v>
      </c>
      <c r="E590" s="2">
        <v>45464</v>
      </c>
      <c r="F590" s="15">
        <f t="shared" si="136"/>
        <v>5</v>
      </c>
      <c r="G590" t="s">
        <v>647</v>
      </c>
      <c r="H590" t="s">
        <v>652</v>
      </c>
      <c r="I590" t="s">
        <v>689</v>
      </c>
      <c r="J590" t="s">
        <v>705</v>
      </c>
      <c r="K590" t="s">
        <v>710</v>
      </c>
      <c r="L590" t="s">
        <v>721</v>
      </c>
      <c r="M590" t="s">
        <v>730</v>
      </c>
      <c r="N590" t="s">
        <v>1320</v>
      </c>
      <c r="O590" s="29">
        <v>1367.13</v>
      </c>
      <c r="P590" t="str">
        <f>IF(Table1[[#This Row],[UnitPrice]]&lt;=0,"Check","OK")</f>
        <v>OK</v>
      </c>
      <c r="Q590" s="29">
        <f t="shared" si="137"/>
        <v>3062.01</v>
      </c>
      <c r="R590">
        <v>3062.01</v>
      </c>
      <c r="S590" s="5">
        <f>IF(Table1[[#This Row],[Discount_Flag]]="Check", MIN(MAX(Table1[[#This Row],[DiscountPct]],0),0.3), Table1[[#This Row],[DiscountPct]])</f>
        <v>0.10299999999999999</v>
      </c>
      <c r="T590" t="str">
        <f>IF(OR(Table1[[#This Row],[DiscountPct]]&lt;0,Table1[[#This Row],[DiscountPct]]&gt;0.3),"Check","OK")</f>
        <v>OK</v>
      </c>
      <c r="U590" s="11">
        <v>0.10299999999999999</v>
      </c>
      <c r="V590" s="15">
        <f t="shared" si="138"/>
        <v>0</v>
      </c>
      <c r="W590" s="11">
        <f t="shared" si="139"/>
        <v>0.50225057645971705</v>
      </c>
      <c r="X590" s="17">
        <f t="shared" si="140"/>
        <v>34178.25</v>
      </c>
      <c r="Y590" s="17">
        <f t="shared" si="141"/>
        <v>34487.324250000005</v>
      </c>
      <c r="Z590" s="17">
        <f t="shared" si="142"/>
        <v>68665.574250000005</v>
      </c>
      <c r="AA590" s="17" t="str">
        <f t="shared" si="143"/>
        <v>Q2-2024</v>
      </c>
      <c r="AB590" s="12" t="str">
        <f t="shared" si="144"/>
        <v>Jun-2024</v>
      </c>
      <c r="AC590" s="12" t="str">
        <f t="shared" si="145"/>
        <v>High</v>
      </c>
      <c r="AD590">
        <v>25</v>
      </c>
      <c r="AE590" s="12">
        <f>_xlfn.MINIFS(Table1[MonthDate], Table1[Country], Table1[[#This Row],[Country]])</f>
        <v>44986</v>
      </c>
      <c r="AF590" s="12">
        <f t="shared" si="146"/>
        <v>45444</v>
      </c>
      <c r="AG590">
        <f>AD590*(1 + Scenario_Control!$B$4)</f>
        <v>27.500000000000004</v>
      </c>
      <c r="AH590">
        <f>O590*(1 + Scenario_Control!$B$3)</f>
        <v>1435.4865000000002</v>
      </c>
      <c r="AI590">
        <f t="shared" si="147"/>
        <v>15106.426335000004</v>
      </c>
      <c r="AJ590">
        <f t="shared" si="148"/>
        <v>-24369.452415000007</v>
      </c>
      <c r="AK590" s="29">
        <f>MIN(Q590*(1-U590), Scenario_Control!$B$2*Q590)</f>
        <v>612.40200000000004</v>
      </c>
      <c r="AL590" s="15">
        <f t="shared" si="149"/>
        <v>1</v>
      </c>
      <c r="AM590" s="8">
        <f>DATEDIF(Table1[[#This Row],[Country_FirstMonth]], Table1[[#This Row],[MonthDate]], "m")</f>
        <v>15</v>
      </c>
    </row>
    <row r="591" spans="1:39" x14ac:dyDescent="0.25">
      <c r="A591" t="s">
        <v>603</v>
      </c>
      <c r="B591" s="12">
        <v>45703</v>
      </c>
      <c r="C591" s="12">
        <f t="shared" si="135"/>
        <v>45715</v>
      </c>
      <c r="D591" s="2" t="str">
        <f>IF(Table1[[#This Row],[RequiredDate]]&lt;Table1[[#This Row],[OrderDate]],"Check","OK")</f>
        <v>OK</v>
      </c>
      <c r="E591" s="2">
        <v>45715</v>
      </c>
      <c r="F591" s="15">
        <f t="shared" si="136"/>
        <v>12</v>
      </c>
      <c r="G591" t="s">
        <v>649</v>
      </c>
      <c r="H591" t="s">
        <v>657</v>
      </c>
      <c r="I591" t="s">
        <v>679</v>
      </c>
      <c r="J591" t="s">
        <v>703</v>
      </c>
      <c r="K591" t="s">
        <v>711</v>
      </c>
      <c r="L591" t="s">
        <v>723</v>
      </c>
      <c r="M591" t="s">
        <v>733</v>
      </c>
      <c r="N591" t="s">
        <v>1321</v>
      </c>
      <c r="O591" s="29">
        <v>1027.26</v>
      </c>
      <c r="P591" t="str">
        <f>IF(Table1[[#This Row],[UnitPrice]]&lt;=0,"Check","OK")</f>
        <v>OK</v>
      </c>
      <c r="Q591" s="29">
        <f t="shared" si="137"/>
        <v>2200.41</v>
      </c>
      <c r="R591">
        <v>2200.41</v>
      </c>
      <c r="S591" s="5">
        <f>IF(Table1[[#This Row],[Discount_Flag]]="Check", MIN(MAX(Table1[[#This Row],[DiscountPct]],0),0.3), Table1[[#This Row],[DiscountPct]])</f>
        <v>8.7999999999999995E-2</v>
      </c>
      <c r="T591" t="str">
        <f>IF(OR(Table1[[#This Row],[DiscountPct]]&lt;0,Table1[[#This Row],[DiscountPct]]&gt;0.3),"Check","OK")</f>
        <v>OK</v>
      </c>
      <c r="U591" s="11">
        <v>8.7999999999999995E-2</v>
      </c>
      <c r="V591" s="15">
        <f t="shared" si="138"/>
        <v>0</v>
      </c>
      <c r="W591" s="11">
        <f t="shared" si="139"/>
        <v>0.48810377204822358</v>
      </c>
      <c r="X591" s="17">
        <f t="shared" si="140"/>
        <v>6163.5599999999995</v>
      </c>
      <c r="Y591" s="17">
        <f t="shared" si="141"/>
        <v>5877.0835200000001</v>
      </c>
      <c r="Z591" s="17">
        <f t="shared" si="142"/>
        <v>12040.64352</v>
      </c>
      <c r="AA591" s="17" t="str">
        <f t="shared" si="143"/>
        <v>Q1-2025</v>
      </c>
      <c r="AB591" s="12" t="str">
        <f t="shared" si="144"/>
        <v>Feb-2025</v>
      </c>
      <c r="AC591" s="12" t="str">
        <f t="shared" si="145"/>
        <v>High</v>
      </c>
      <c r="AD591">
        <v>6</v>
      </c>
      <c r="AE591" s="12">
        <f>_xlfn.MINIFS(Table1[MonthDate], Table1[Country], Table1[[#This Row],[Country]])</f>
        <v>44927</v>
      </c>
      <c r="AF591" s="12">
        <f t="shared" si="146"/>
        <v>45689</v>
      </c>
      <c r="AG591">
        <f>AD591*(1 + Scenario_Control!$B$4)</f>
        <v>6.6000000000000005</v>
      </c>
      <c r="AH591">
        <f>O591*(1 + Scenario_Control!$B$3)</f>
        <v>1078.623</v>
      </c>
      <c r="AI591">
        <f t="shared" si="147"/>
        <v>2648.9415744000003</v>
      </c>
      <c r="AJ591">
        <f t="shared" si="148"/>
        <v>-4469.9702256</v>
      </c>
      <c r="AK591" s="29">
        <f>MIN(Q591*(1-U591), Scenario_Control!$B$2*Q591)</f>
        <v>440.08199999999999</v>
      </c>
      <c r="AL591" s="15">
        <f t="shared" si="149"/>
        <v>0</v>
      </c>
      <c r="AM591" s="8">
        <f>DATEDIF(Table1[[#This Row],[Country_FirstMonth]], Table1[[#This Row],[MonthDate]], "m")</f>
        <v>25</v>
      </c>
    </row>
    <row r="592" spans="1:39" x14ac:dyDescent="0.25">
      <c r="A592" t="s">
        <v>604</v>
      </c>
      <c r="B592" s="12">
        <v>45019</v>
      </c>
      <c r="C592" s="12">
        <f t="shared" si="135"/>
        <v>45032</v>
      </c>
      <c r="D592" s="2" t="str">
        <f>IF(Table1[[#This Row],[RequiredDate]]&lt;Table1[[#This Row],[OrderDate]],"Check","OK")</f>
        <v>OK</v>
      </c>
      <c r="E592" s="2">
        <v>45032</v>
      </c>
      <c r="F592" s="15">
        <f t="shared" si="136"/>
        <v>13</v>
      </c>
      <c r="G592" t="s">
        <v>649</v>
      </c>
      <c r="H592" t="s">
        <v>657</v>
      </c>
      <c r="I592" t="s">
        <v>673</v>
      </c>
      <c r="J592" t="s">
        <v>703</v>
      </c>
      <c r="K592" t="s">
        <v>709</v>
      </c>
      <c r="L592" t="s">
        <v>724</v>
      </c>
      <c r="M592" t="s">
        <v>733</v>
      </c>
      <c r="N592" t="s">
        <v>1322</v>
      </c>
      <c r="O592" s="29">
        <v>790.54</v>
      </c>
      <c r="P592" t="str">
        <f>IF(Table1[[#This Row],[UnitPrice]]&lt;=0,"Check","OK")</f>
        <v>OK</v>
      </c>
      <c r="Q592" s="29">
        <f t="shared" si="137"/>
        <v>601.49</v>
      </c>
      <c r="R592">
        <v>601.49</v>
      </c>
      <c r="S592" s="5">
        <f>IF(Table1[[#This Row],[Discount_Flag]]="Check", MIN(MAX(Table1[[#This Row],[DiscountPct]],0),0.3), Table1[[#This Row],[DiscountPct]])</f>
        <v>0</v>
      </c>
      <c r="T592" t="str">
        <f>IF(OR(Table1[[#This Row],[DiscountPct]]&lt;0,Table1[[#This Row],[DiscountPct]]&gt;0.3),"Check","OK")</f>
        <v>OK</v>
      </c>
      <c r="U592" s="11">
        <v>0</v>
      </c>
      <c r="V592" s="15">
        <f t="shared" si="138"/>
        <v>0</v>
      </c>
      <c r="W592" s="11">
        <f t="shared" si="139"/>
        <v>-0.31430281467688553</v>
      </c>
      <c r="X592" s="17">
        <f t="shared" si="140"/>
        <v>11858.099999999999</v>
      </c>
      <c r="Y592" s="17">
        <f t="shared" si="141"/>
        <v>-2835.7499999999982</v>
      </c>
      <c r="Z592" s="17">
        <f t="shared" si="142"/>
        <v>9022.35</v>
      </c>
      <c r="AA592" s="17" t="str">
        <f t="shared" si="143"/>
        <v>Q2-2023</v>
      </c>
      <c r="AB592" s="12" t="str">
        <f t="shared" si="144"/>
        <v>Apr-2023</v>
      </c>
      <c r="AC592" s="12" t="str">
        <f t="shared" si="145"/>
        <v>Low</v>
      </c>
      <c r="AD592">
        <v>15</v>
      </c>
      <c r="AE592" s="12">
        <f>_xlfn.MINIFS(Table1[MonthDate], Table1[Country], Table1[[#This Row],[Country]])</f>
        <v>44927</v>
      </c>
      <c r="AF592" s="12">
        <f t="shared" si="146"/>
        <v>45017</v>
      </c>
      <c r="AG592">
        <f>AD592*(1 + Scenario_Control!$B$4)</f>
        <v>16.5</v>
      </c>
      <c r="AH592">
        <f>O592*(1 + Scenario_Control!$B$3)</f>
        <v>830.06700000000001</v>
      </c>
      <c r="AI592">
        <f t="shared" si="147"/>
        <v>1984.9169999999999</v>
      </c>
      <c r="AJ592">
        <f t="shared" si="148"/>
        <v>-11711.1885</v>
      </c>
      <c r="AK592" s="29">
        <f>MIN(Q592*(1-U592), Scenario_Control!$B$2*Q592)</f>
        <v>120.298</v>
      </c>
      <c r="AL592" s="15">
        <f t="shared" si="149"/>
        <v>0</v>
      </c>
      <c r="AM592" s="8">
        <f>DATEDIF(Table1[[#This Row],[Country_FirstMonth]], Table1[[#This Row],[MonthDate]], "m")</f>
        <v>3</v>
      </c>
    </row>
    <row r="593" spans="1:39" x14ac:dyDescent="0.25">
      <c r="A593" t="s">
        <v>605</v>
      </c>
      <c r="B593" s="12">
        <v>45899</v>
      </c>
      <c r="C593" s="12">
        <f t="shared" si="135"/>
        <v>45922</v>
      </c>
      <c r="D593" s="2" t="str">
        <f>IF(Table1[[#This Row],[RequiredDate]]&lt;Table1[[#This Row],[OrderDate]],"Check","OK")</f>
        <v>OK</v>
      </c>
      <c r="E593" s="2">
        <v>45922</v>
      </c>
      <c r="F593" s="15">
        <f t="shared" si="136"/>
        <v>23</v>
      </c>
      <c r="G593" t="s">
        <v>649</v>
      </c>
      <c r="H593" t="s">
        <v>657</v>
      </c>
      <c r="I593" t="s">
        <v>673</v>
      </c>
      <c r="J593" t="s">
        <v>701</v>
      </c>
      <c r="K593" t="s">
        <v>711</v>
      </c>
      <c r="L593" t="s">
        <v>718</v>
      </c>
      <c r="M593" t="s">
        <v>727</v>
      </c>
      <c r="N593" t="s">
        <v>1323</v>
      </c>
      <c r="O593" s="29">
        <v>663.9</v>
      </c>
      <c r="P593" t="str">
        <f>IF(Table1[[#This Row],[UnitPrice]]&lt;=0,"Check","OK")</f>
        <v>OK</v>
      </c>
      <c r="Q593" s="29">
        <f t="shared" si="137"/>
        <v>947.77</v>
      </c>
      <c r="R593">
        <v>947.77</v>
      </c>
      <c r="S593" s="5">
        <f>IF(Table1[[#This Row],[Discount_Flag]]="Check", MIN(MAX(Table1[[#This Row],[DiscountPct]],0),0.3), Table1[[#This Row],[DiscountPct]])</f>
        <v>0.17399999999999999</v>
      </c>
      <c r="T593" t="str">
        <f>IF(OR(Table1[[#This Row],[DiscountPct]]&lt;0,Table1[[#This Row],[DiscountPct]]&gt;0.3),"Check","OK")</f>
        <v>OK</v>
      </c>
      <c r="U593" s="11">
        <v>0.17399999999999999</v>
      </c>
      <c r="V593" s="15">
        <f t="shared" si="138"/>
        <v>0</v>
      </c>
      <c r="W593" s="11">
        <f t="shared" si="139"/>
        <v>0.1519535049280073</v>
      </c>
      <c r="X593" s="17">
        <f t="shared" si="140"/>
        <v>9958.5</v>
      </c>
      <c r="Y593" s="17">
        <f t="shared" si="141"/>
        <v>1784.3703000000005</v>
      </c>
      <c r="Z593" s="17">
        <f t="shared" si="142"/>
        <v>11742.8703</v>
      </c>
      <c r="AA593" s="17" t="str">
        <f t="shared" si="143"/>
        <v>Q3-2025</v>
      </c>
      <c r="AB593" s="12" t="str">
        <f t="shared" si="144"/>
        <v>Aug-2025</v>
      </c>
      <c r="AC593" s="12" t="str">
        <f t="shared" si="145"/>
        <v>Medium</v>
      </c>
      <c r="AD593">
        <v>15</v>
      </c>
      <c r="AE593" s="12">
        <f>_xlfn.MINIFS(Table1[MonthDate], Table1[Country], Table1[[#This Row],[Country]])</f>
        <v>44927</v>
      </c>
      <c r="AF593" s="12">
        <f t="shared" si="146"/>
        <v>45870</v>
      </c>
      <c r="AG593">
        <f>AD593*(1 + Scenario_Control!$B$4)</f>
        <v>16.5</v>
      </c>
      <c r="AH593">
        <f>O593*(1 + Scenario_Control!$B$3)</f>
        <v>697.09500000000003</v>
      </c>
      <c r="AI593">
        <f t="shared" si="147"/>
        <v>2583.4314660000005</v>
      </c>
      <c r="AJ593">
        <f t="shared" si="148"/>
        <v>-8918.636034000001</v>
      </c>
      <c r="AK593" s="29">
        <f>MIN(Q593*(1-U593), Scenario_Control!$B$2*Q593)</f>
        <v>189.554</v>
      </c>
      <c r="AL593" s="15">
        <f t="shared" si="149"/>
        <v>0</v>
      </c>
      <c r="AM593" s="8">
        <f>DATEDIF(Table1[[#This Row],[Country_FirstMonth]], Table1[[#This Row],[MonthDate]], "m")</f>
        <v>31</v>
      </c>
    </row>
    <row r="594" spans="1:39" x14ac:dyDescent="0.25">
      <c r="A594" t="s">
        <v>606</v>
      </c>
      <c r="B594" s="12">
        <v>44984</v>
      </c>
      <c r="C594" s="12">
        <f t="shared" si="135"/>
        <v>44991</v>
      </c>
      <c r="D594" s="2" t="str">
        <f>IF(Table1[[#This Row],[RequiredDate]]&lt;Table1[[#This Row],[OrderDate]],"Check","OK")</f>
        <v>Check</v>
      </c>
      <c r="E594" s="2">
        <v>44983</v>
      </c>
      <c r="F594" s="15">
        <f t="shared" si="136"/>
        <v>7</v>
      </c>
      <c r="G594" t="s">
        <v>648</v>
      </c>
      <c r="H594" t="s">
        <v>660</v>
      </c>
      <c r="I594" t="s">
        <v>686</v>
      </c>
      <c r="J594" t="s">
        <v>703</v>
      </c>
      <c r="K594" t="s">
        <v>708</v>
      </c>
      <c r="L594" t="s">
        <v>716</v>
      </c>
      <c r="M594" t="s">
        <v>729</v>
      </c>
      <c r="N594" t="s">
        <v>1324</v>
      </c>
      <c r="O594" s="29">
        <v>1015.91</v>
      </c>
      <c r="P594" t="str">
        <f>IF(Table1[[#This Row],[UnitPrice]]&lt;=0,"Check","OK")</f>
        <v>OK</v>
      </c>
      <c r="Q594" s="29">
        <f t="shared" si="137"/>
        <v>2331.48</v>
      </c>
      <c r="R594">
        <v>2331.48</v>
      </c>
      <c r="S594" s="5">
        <f>IF(Table1[[#This Row],[Discount_Flag]]="Check", MIN(MAX(Table1[[#This Row],[DiscountPct]],0),0.3), Table1[[#This Row],[DiscountPct]])</f>
        <v>0.14599999999999999</v>
      </c>
      <c r="T594" t="str">
        <f>IF(OR(Table1[[#This Row],[DiscountPct]]&lt;0,Table1[[#This Row],[DiscountPct]]&gt;0.3),"Check","OK")</f>
        <v>OK</v>
      </c>
      <c r="U594" s="11">
        <v>0.14599999999999999</v>
      </c>
      <c r="V594" s="15">
        <f t="shared" si="138"/>
        <v>0</v>
      </c>
      <c r="W594" s="11">
        <f t="shared" si="139"/>
        <v>0.48977037592669626</v>
      </c>
      <c r="X594" s="17">
        <f t="shared" si="140"/>
        <v>26413.66</v>
      </c>
      <c r="Y594" s="17">
        <f t="shared" si="141"/>
        <v>25354.521920000003</v>
      </c>
      <c r="Z594" s="17">
        <f t="shared" si="142"/>
        <v>51768.181920000003</v>
      </c>
      <c r="AA594" s="17" t="str">
        <f t="shared" si="143"/>
        <v>Q1-2023</v>
      </c>
      <c r="AB594" s="12" t="str">
        <f t="shared" si="144"/>
        <v>Feb-2023</v>
      </c>
      <c r="AC594" s="12" t="str">
        <f t="shared" si="145"/>
        <v>High</v>
      </c>
      <c r="AD594">
        <v>26</v>
      </c>
      <c r="AE594" s="12">
        <f>_xlfn.MINIFS(Table1[MonthDate], Table1[Country], Table1[[#This Row],[Country]])</f>
        <v>44927</v>
      </c>
      <c r="AF594" s="12">
        <f t="shared" si="146"/>
        <v>44958</v>
      </c>
      <c r="AG594">
        <f>AD594*(1 + Scenario_Control!$B$4)</f>
        <v>28.6</v>
      </c>
      <c r="AH594">
        <f>O594*(1 + Scenario_Control!$B$3)</f>
        <v>1066.7055</v>
      </c>
      <c r="AI594">
        <f t="shared" si="147"/>
        <v>11389.000022400001</v>
      </c>
      <c r="AJ594">
        <f t="shared" si="148"/>
        <v>-19118.777277599998</v>
      </c>
      <c r="AK594" s="29">
        <f>MIN(Q594*(1-U594), Scenario_Control!$B$2*Q594)</f>
        <v>466.29600000000005</v>
      </c>
      <c r="AL594" s="15">
        <f t="shared" si="149"/>
        <v>1</v>
      </c>
      <c r="AM594" s="8">
        <f>DATEDIF(Table1[[#This Row],[Country_FirstMonth]], Table1[[#This Row],[MonthDate]], "m")</f>
        <v>1</v>
      </c>
    </row>
    <row r="595" spans="1:39" x14ac:dyDescent="0.25">
      <c r="A595" t="s">
        <v>607</v>
      </c>
      <c r="B595" s="12">
        <v>45504</v>
      </c>
      <c r="C595" s="12">
        <f t="shared" si="135"/>
        <v>45519</v>
      </c>
      <c r="D595" s="2" t="str">
        <f>IF(Table1[[#This Row],[RequiredDate]]&lt;Table1[[#This Row],[OrderDate]],"Check","OK")</f>
        <v>OK</v>
      </c>
      <c r="E595" s="2">
        <v>45519</v>
      </c>
      <c r="F595" s="15">
        <f t="shared" si="136"/>
        <v>15</v>
      </c>
      <c r="G595" t="s">
        <v>647</v>
      </c>
      <c r="H595" t="s">
        <v>652</v>
      </c>
      <c r="I595" t="s">
        <v>689</v>
      </c>
      <c r="J595" t="s">
        <v>701</v>
      </c>
      <c r="K595" t="s">
        <v>709</v>
      </c>
      <c r="L595" t="s">
        <v>721</v>
      </c>
      <c r="M595" t="s">
        <v>732</v>
      </c>
      <c r="N595" t="s">
        <v>1325</v>
      </c>
      <c r="O595" s="29">
        <v>1252.52</v>
      </c>
      <c r="P595" t="str">
        <f>IF(Table1[[#This Row],[UnitPrice]]&lt;=0,"Check","OK")</f>
        <v>OK</v>
      </c>
      <c r="Q595" s="29">
        <f t="shared" si="137"/>
        <v>1417.24</v>
      </c>
      <c r="R595">
        <v>1417.24</v>
      </c>
      <c r="S595" s="5">
        <f>IF(Table1[[#This Row],[Discount_Flag]]="Check", MIN(MAX(Table1[[#This Row],[DiscountPct]],0),0.3), Table1[[#This Row],[DiscountPct]])</f>
        <v>0.192</v>
      </c>
      <c r="T595" t="str">
        <f>IF(OR(Table1[[#This Row],[DiscountPct]]&lt;0,Table1[[#This Row],[DiscountPct]]&gt;0.3),"Check","OK")</f>
        <v>OK</v>
      </c>
      <c r="U595" s="11">
        <v>0.192</v>
      </c>
      <c r="V595" s="15">
        <f t="shared" si="138"/>
        <v>0</v>
      </c>
      <c r="W595" s="11">
        <f t="shared" si="139"/>
        <v>-9.3779821943696953E-2</v>
      </c>
      <c r="X595" s="17">
        <f t="shared" si="140"/>
        <v>6262.6</v>
      </c>
      <c r="Y595" s="17">
        <f t="shared" si="141"/>
        <v>-536.95039999999972</v>
      </c>
      <c r="Z595" s="17">
        <f t="shared" si="142"/>
        <v>5725.6496000000006</v>
      </c>
      <c r="AA595" s="17" t="str">
        <f t="shared" si="143"/>
        <v>Q3-2024</v>
      </c>
      <c r="AB595" s="12" t="str">
        <f t="shared" si="144"/>
        <v>Jul-2024</v>
      </c>
      <c r="AC595" s="12" t="str">
        <f t="shared" si="145"/>
        <v>Medium</v>
      </c>
      <c r="AD595">
        <v>5</v>
      </c>
      <c r="AE595" s="12">
        <f>_xlfn.MINIFS(Table1[MonthDate], Table1[Country], Table1[[#This Row],[Country]])</f>
        <v>44986</v>
      </c>
      <c r="AF595" s="12">
        <f t="shared" si="146"/>
        <v>45474</v>
      </c>
      <c r="AG595">
        <f>AD595*(1 + Scenario_Control!$B$4)</f>
        <v>5.5</v>
      </c>
      <c r="AH595">
        <f>O595*(1 + Scenario_Control!$B$3)</f>
        <v>1315.146</v>
      </c>
      <c r="AI595">
        <f t="shared" si="147"/>
        <v>1259.6429120000003</v>
      </c>
      <c r="AJ595">
        <f t="shared" si="148"/>
        <v>-5973.6600879999996</v>
      </c>
      <c r="AK595" s="29">
        <f>MIN(Q595*(1-U595), Scenario_Control!$B$2*Q595)</f>
        <v>283.44800000000004</v>
      </c>
      <c r="AL595" s="15">
        <f t="shared" si="149"/>
        <v>0</v>
      </c>
      <c r="AM595" s="8">
        <f>DATEDIF(Table1[[#This Row],[Country_FirstMonth]], Table1[[#This Row],[MonthDate]], "m")</f>
        <v>16</v>
      </c>
    </row>
    <row r="596" spans="1:39" x14ac:dyDescent="0.25">
      <c r="A596" t="s">
        <v>608</v>
      </c>
      <c r="B596" s="12">
        <v>45823</v>
      </c>
      <c r="C596" s="12">
        <f t="shared" si="135"/>
        <v>45850</v>
      </c>
      <c r="D596" s="2" t="str">
        <f>IF(Table1[[#This Row],[RequiredDate]]&lt;Table1[[#This Row],[OrderDate]],"Check","OK")</f>
        <v>OK</v>
      </c>
      <c r="E596" s="2">
        <v>45850</v>
      </c>
      <c r="F596" s="15">
        <f t="shared" si="136"/>
        <v>27</v>
      </c>
      <c r="G596" t="s">
        <v>649</v>
      </c>
      <c r="H596" t="s">
        <v>657</v>
      </c>
      <c r="I596" t="s">
        <v>673</v>
      </c>
      <c r="J596" t="s">
        <v>704</v>
      </c>
      <c r="K596" t="s">
        <v>711</v>
      </c>
      <c r="L596" t="s">
        <v>712</v>
      </c>
      <c r="M596" t="s">
        <v>733</v>
      </c>
      <c r="N596" t="s">
        <v>1326</v>
      </c>
      <c r="O596" s="29">
        <v>318.83</v>
      </c>
      <c r="P596" t="str">
        <f>IF(Table1[[#This Row],[UnitPrice]]&lt;=0,"Check","OK")</f>
        <v>OK</v>
      </c>
      <c r="Q596" s="29">
        <f t="shared" si="137"/>
        <v>699.5</v>
      </c>
      <c r="R596">
        <v>699.5</v>
      </c>
      <c r="S596" s="5">
        <f>IF(Table1[[#This Row],[Discount_Flag]]="Check", MIN(MAX(Table1[[#This Row],[DiscountPct]],0),0.3), Table1[[#This Row],[DiscountPct]])</f>
        <v>0.08</v>
      </c>
      <c r="T596" t="str">
        <f>IF(OR(Table1[[#This Row],[DiscountPct]]&lt;0,Table1[[#This Row],[DiscountPct]]&gt;0.3),"Check","OK")</f>
        <v>OK</v>
      </c>
      <c r="U596" s="11">
        <v>0.08</v>
      </c>
      <c r="V596" s="15">
        <f t="shared" si="138"/>
        <v>0</v>
      </c>
      <c r="W596" s="11">
        <f t="shared" si="139"/>
        <v>0.50456848059172699</v>
      </c>
      <c r="X596" s="17">
        <f t="shared" si="140"/>
        <v>4144.79</v>
      </c>
      <c r="Y596" s="17">
        <f t="shared" si="141"/>
        <v>4221.2300000000005</v>
      </c>
      <c r="Z596" s="17">
        <f t="shared" si="142"/>
        <v>8366.02</v>
      </c>
      <c r="AA596" s="17" t="str">
        <f t="shared" si="143"/>
        <v>Q2-2025</v>
      </c>
      <c r="AB596" s="12" t="str">
        <f t="shared" si="144"/>
        <v>Jun-2025</v>
      </c>
      <c r="AC596" s="12" t="str">
        <f t="shared" si="145"/>
        <v>Medium</v>
      </c>
      <c r="AD596">
        <v>13</v>
      </c>
      <c r="AE596" s="12">
        <f>_xlfn.MINIFS(Table1[MonthDate], Table1[Country], Table1[[#This Row],[Country]])</f>
        <v>44927</v>
      </c>
      <c r="AF596" s="12">
        <f t="shared" si="146"/>
        <v>45809</v>
      </c>
      <c r="AG596">
        <f>AD596*(1 + Scenario_Control!$B$4)</f>
        <v>14.3</v>
      </c>
      <c r="AH596">
        <f>O596*(1 + Scenario_Control!$B$3)</f>
        <v>334.7715</v>
      </c>
      <c r="AI596">
        <f t="shared" si="147"/>
        <v>1840.5244000000002</v>
      </c>
      <c r="AJ596">
        <f t="shared" si="148"/>
        <v>-2946.7080500000002</v>
      </c>
      <c r="AK596" s="29">
        <f>MIN(Q596*(1-U596), Scenario_Control!$B$2*Q596)</f>
        <v>139.9</v>
      </c>
      <c r="AL596" s="15">
        <f t="shared" si="149"/>
        <v>0</v>
      </c>
      <c r="AM596" s="8">
        <f>DATEDIF(Table1[[#This Row],[Country_FirstMonth]], Table1[[#This Row],[MonthDate]], "m")</f>
        <v>29</v>
      </c>
    </row>
    <row r="597" spans="1:39" x14ac:dyDescent="0.25">
      <c r="A597" t="s">
        <v>609</v>
      </c>
      <c r="B597" s="12">
        <v>45473</v>
      </c>
      <c r="C597" s="12">
        <f t="shared" si="135"/>
        <v>45494</v>
      </c>
      <c r="D597" s="2" t="str">
        <f>IF(Table1[[#This Row],[RequiredDate]]&lt;Table1[[#This Row],[OrderDate]],"Check","OK")</f>
        <v>OK</v>
      </c>
      <c r="E597" s="2">
        <v>45494</v>
      </c>
      <c r="F597" s="15">
        <f t="shared" si="136"/>
        <v>21</v>
      </c>
      <c r="G597" t="s">
        <v>646</v>
      </c>
      <c r="H597" t="s">
        <v>650</v>
      </c>
      <c r="I597" t="s">
        <v>662</v>
      </c>
      <c r="J597" t="s">
        <v>705</v>
      </c>
      <c r="K597" t="s">
        <v>707</v>
      </c>
      <c r="L597" t="s">
        <v>723</v>
      </c>
      <c r="M597" t="s">
        <v>731</v>
      </c>
      <c r="N597" t="s">
        <v>1327</v>
      </c>
      <c r="O597" s="29">
        <v>753.43</v>
      </c>
      <c r="P597" t="str">
        <f>IF(Table1[[#This Row],[UnitPrice]]&lt;=0,"Check","OK")</f>
        <v>OK</v>
      </c>
      <c r="Q597" s="29">
        <f t="shared" si="137"/>
        <v>1787.2</v>
      </c>
      <c r="R597">
        <v>1787.2</v>
      </c>
      <c r="S597" s="5">
        <f>IF(Table1[[#This Row],[Discount_Flag]]="Check", MIN(MAX(Table1[[#This Row],[DiscountPct]],0),0.3), Table1[[#This Row],[DiscountPct]])</f>
        <v>7.2999999999999995E-2</v>
      </c>
      <c r="T597" t="str">
        <f>IF(OR(Table1[[#This Row],[DiscountPct]]&lt;0,Table1[[#This Row],[DiscountPct]]&gt;0.3),"Check","OK")</f>
        <v>OK</v>
      </c>
      <c r="U597" s="11">
        <v>7.2999999999999995E-2</v>
      </c>
      <c r="V597" s="15">
        <f t="shared" si="138"/>
        <v>0</v>
      </c>
      <c r="W597" s="11">
        <f t="shared" si="139"/>
        <v>0.54523187301476939</v>
      </c>
      <c r="X597" s="17">
        <f t="shared" si="140"/>
        <v>6780.87</v>
      </c>
      <c r="Y597" s="17">
        <f t="shared" si="141"/>
        <v>8129.7396000000017</v>
      </c>
      <c r="Z597" s="17">
        <f t="shared" si="142"/>
        <v>14910.609600000002</v>
      </c>
      <c r="AA597" s="17" t="str">
        <f t="shared" si="143"/>
        <v>Q2-2024</v>
      </c>
      <c r="AB597" s="12" t="str">
        <f t="shared" si="144"/>
        <v>Jun-2024</v>
      </c>
      <c r="AC597" s="12" t="str">
        <f t="shared" si="145"/>
        <v>Medium</v>
      </c>
      <c r="AD597">
        <v>9</v>
      </c>
      <c r="AE597" s="12">
        <f>_xlfn.MINIFS(Table1[MonthDate], Table1[Country], Table1[[#This Row],[Country]])</f>
        <v>44927</v>
      </c>
      <c r="AF597" s="12">
        <f t="shared" si="146"/>
        <v>45444</v>
      </c>
      <c r="AG597">
        <f>AD597*(1 + Scenario_Control!$B$4)</f>
        <v>9.9</v>
      </c>
      <c r="AH597">
        <f>O597*(1 + Scenario_Control!$B$3)</f>
        <v>791.10149999999999</v>
      </c>
      <c r="AI597">
        <f t="shared" si="147"/>
        <v>3280.3341120000009</v>
      </c>
      <c r="AJ597">
        <f t="shared" si="148"/>
        <v>-4551.5707379999985</v>
      </c>
      <c r="AK597" s="29">
        <f>MIN(Q597*(1-U597), Scenario_Control!$B$2*Q597)</f>
        <v>357.44000000000005</v>
      </c>
      <c r="AL597" s="15">
        <f t="shared" si="149"/>
        <v>0</v>
      </c>
      <c r="AM597" s="8">
        <f>DATEDIF(Table1[[#This Row],[Country_FirstMonth]], Table1[[#This Row],[MonthDate]], "m")</f>
        <v>17</v>
      </c>
    </row>
    <row r="598" spans="1:39" x14ac:dyDescent="0.25">
      <c r="A598" t="s">
        <v>610</v>
      </c>
      <c r="B598" s="12">
        <v>45705</v>
      </c>
      <c r="C598" s="12">
        <f t="shared" si="135"/>
        <v>45712</v>
      </c>
      <c r="D598" s="2" t="str">
        <f>IF(Table1[[#This Row],[RequiredDate]]&lt;Table1[[#This Row],[OrderDate]],"Check","OK")</f>
        <v>Check</v>
      </c>
      <c r="E598" s="2">
        <v>45703</v>
      </c>
      <c r="F598" s="15">
        <f t="shared" si="136"/>
        <v>7</v>
      </c>
      <c r="G598" t="s">
        <v>648</v>
      </c>
      <c r="H598" t="s">
        <v>653</v>
      </c>
      <c r="I598" t="s">
        <v>667</v>
      </c>
      <c r="J598" t="s">
        <v>705</v>
      </c>
      <c r="K598" t="s">
        <v>707</v>
      </c>
      <c r="L598" t="s">
        <v>726</v>
      </c>
      <c r="M598" t="s">
        <v>727</v>
      </c>
      <c r="N598" t="s">
        <v>1328</v>
      </c>
      <c r="O598" s="29">
        <v>1133.47</v>
      </c>
      <c r="P598" t="str">
        <f>IF(Table1[[#This Row],[UnitPrice]]&lt;=0,"Check","OK")</f>
        <v>OK</v>
      </c>
      <c r="Q598" s="29">
        <f t="shared" si="137"/>
        <v>1698.75</v>
      </c>
      <c r="R598">
        <v>1698.75</v>
      </c>
      <c r="S598" s="5">
        <f>IF(Table1[[#This Row],[Discount_Flag]]="Check", MIN(MAX(Table1[[#This Row],[DiscountPct]],0),0.3), Table1[[#This Row],[DiscountPct]])</f>
        <v>4.2999999999999997E-2</v>
      </c>
      <c r="T598" t="str">
        <f>IF(OR(Table1[[#This Row],[DiscountPct]]&lt;0,Table1[[#This Row],[DiscountPct]]&gt;0.3),"Check","OK")</f>
        <v>OK</v>
      </c>
      <c r="U598" s="11">
        <v>4.2999999999999997E-2</v>
      </c>
      <c r="V598" s="15">
        <f t="shared" si="138"/>
        <v>0</v>
      </c>
      <c r="W598" s="11">
        <f t="shared" si="139"/>
        <v>0.30278194904821976</v>
      </c>
      <c r="X598" s="17">
        <f t="shared" si="140"/>
        <v>5667.35</v>
      </c>
      <c r="Y598" s="17">
        <f t="shared" si="141"/>
        <v>2461.1687499999989</v>
      </c>
      <c r="Z598" s="17">
        <f t="shared" si="142"/>
        <v>8128.5187499999993</v>
      </c>
      <c r="AA598" s="17" t="str">
        <f t="shared" si="143"/>
        <v>Q1-2025</v>
      </c>
      <c r="AB598" s="12" t="str">
        <f t="shared" si="144"/>
        <v>Feb-2025</v>
      </c>
      <c r="AC598" s="12" t="str">
        <f t="shared" si="145"/>
        <v>Medium</v>
      </c>
      <c r="AD598">
        <v>5</v>
      </c>
      <c r="AE598" s="12">
        <f>_xlfn.MINIFS(Table1[MonthDate], Table1[Country], Table1[[#This Row],[Country]])</f>
        <v>44927</v>
      </c>
      <c r="AF598" s="12">
        <f t="shared" si="146"/>
        <v>45689</v>
      </c>
      <c r="AG598">
        <f>AD598*(1 + Scenario_Control!$B$4)</f>
        <v>5.5</v>
      </c>
      <c r="AH598">
        <f>O598*(1 + Scenario_Control!$B$3)</f>
        <v>1190.1435000000001</v>
      </c>
      <c r="AI598">
        <f t="shared" si="147"/>
        <v>1788.2741249999999</v>
      </c>
      <c r="AJ598">
        <f t="shared" si="148"/>
        <v>-4757.5151250000008</v>
      </c>
      <c r="AK598" s="29">
        <f>MIN(Q598*(1-U598), Scenario_Control!$B$2*Q598)</f>
        <v>339.75</v>
      </c>
      <c r="AL598" s="15">
        <f t="shared" si="149"/>
        <v>1</v>
      </c>
      <c r="AM598" s="8">
        <f>DATEDIF(Table1[[#This Row],[Country_FirstMonth]], Table1[[#This Row],[MonthDate]], "m")</f>
        <v>25</v>
      </c>
    </row>
    <row r="599" spans="1:39" x14ac:dyDescent="0.25">
      <c r="A599" t="s">
        <v>611</v>
      </c>
      <c r="B599" s="12">
        <v>44933</v>
      </c>
      <c r="C599" s="12">
        <f t="shared" si="135"/>
        <v>44956</v>
      </c>
      <c r="D599" s="2" t="str">
        <f>IF(Table1[[#This Row],[RequiredDate]]&lt;Table1[[#This Row],[OrderDate]],"Check","OK")</f>
        <v>OK</v>
      </c>
      <c r="E599" s="2">
        <v>44956</v>
      </c>
      <c r="F599" s="15">
        <f t="shared" si="136"/>
        <v>23</v>
      </c>
      <c r="G599" t="s">
        <v>646</v>
      </c>
      <c r="H599" t="s">
        <v>661</v>
      </c>
      <c r="I599" t="s">
        <v>695</v>
      </c>
      <c r="J599" t="s">
        <v>704</v>
      </c>
      <c r="K599" t="s">
        <v>708</v>
      </c>
      <c r="L599" t="s">
        <v>720</v>
      </c>
      <c r="M599" t="s">
        <v>728</v>
      </c>
      <c r="N599" t="s">
        <v>1329</v>
      </c>
      <c r="O599" s="29">
        <v>299.02</v>
      </c>
      <c r="P599" t="str">
        <f>IF(Table1[[#This Row],[UnitPrice]]&lt;=0,"Check","OK")</f>
        <v>OK</v>
      </c>
      <c r="Q599" s="29">
        <f t="shared" si="137"/>
        <v>724.7</v>
      </c>
      <c r="R599">
        <v>724.7</v>
      </c>
      <c r="S599" s="5">
        <f>IF(Table1[[#This Row],[Discount_Flag]]="Check", MIN(MAX(Table1[[#This Row],[DiscountPct]],0),0.3), Table1[[#This Row],[DiscountPct]])</f>
        <v>0.14000000000000001</v>
      </c>
      <c r="T599" t="str">
        <f>IF(OR(Table1[[#This Row],[DiscountPct]]&lt;0,Table1[[#This Row],[DiscountPct]]&gt;0.3),"Check","OK")</f>
        <v>OK</v>
      </c>
      <c r="U599" s="11">
        <v>0.14000000000000001</v>
      </c>
      <c r="V599" s="15">
        <f t="shared" si="138"/>
        <v>0</v>
      </c>
      <c r="W599" s="11">
        <f t="shared" si="139"/>
        <v>0.52021847051386139</v>
      </c>
      <c r="X599" s="17">
        <f t="shared" si="140"/>
        <v>1495.1</v>
      </c>
      <c r="Y599" s="17">
        <f t="shared" si="141"/>
        <v>1621.1100000000001</v>
      </c>
      <c r="Z599" s="17">
        <f t="shared" si="142"/>
        <v>3116.21</v>
      </c>
      <c r="AA599" s="17" t="str">
        <f t="shared" si="143"/>
        <v>Q1-2023</v>
      </c>
      <c r="AB599" s="12" t="str">
        <f t="shared" si="144"/>
        <v>Jan-2023</v>
      </c>
      <c r="AC599" s="12" t="str">
        <f t="shared" si="145"/>
        <v>Medium</v>
      </c>
      <c r="AD599">
        <v>5</v>
      </c>
      <c r="AE599" s="12">
        <f>_xlfn.MINIFS(Table1[MonthDate], Table1[Country], Table1[[#This Row],[Country]])</f>
        <v>44927</v>
      </c>
      <c r="AF599" s="12">
        <f t="shared" si="146"/>
        <v>44927</v>
      </c>
      <c r="AG599">
        <f>AD599*(1 + Scenario_Control!$B$4)</f>
        <v>5.5</v>
      </c>
      <c r="AH599">
        <f>O599*(1 + Scenario_Control!$B$3)</f>
        <v>313.971</v>
      </c>
      <c r="AI599">
        <f t="shared" si="147"/>
        <v>685.56620000000009</v>
      </c>
      <c r="AJ599">
        <f t="shared" si="148"/>
        <v>-1041.2743</v>
      </c>
      <c r="AK599" s="29">
        <f>MIN(Q599*(1-U599), Scenario_Control!$B$2*Q599)</f>
        <v>144.94000000000003</v>
      </c>
      <c r="AL599" s="15">
        <f t="shared" si="149"/>
        <v>0</v>
      </c>
      <c r="AM599" s="8">
        <f>DATEDIF(Table1[[#This Row],[Country_FirstMonth]], Table1[[#This Row],[MonthDate]], "m")</f>
        <v>0</v>
      </c>
    </row>
    <row r="600" spans="1:39" x14ac:dyDescent="0.25">
      <c r="A600" t="s">
        <v>612</v>
      </c>
      <c r="B600" s="12">
        <v>45726</v>
      </c>
      <c r="C600" s="12">
        <f t="shared" si="135"/>
        <v>45751</v>
      </c>
      <c r="D600" s="2" t="str">
        <f>IF(Table1[[#This Row],[RequiredDate]]&lt;Table1[[#This Row],[OrderDate]],"Check","OK")</f>
        <v>OK</v>
      </c>
      <c r="E600" s="2">
        <v>45751</v>
      </c>
      <c r="F600" s="15">
        <f t="shared" si="136"/>
        <v>25</v>
      </c>
      <c r="G600" t="s">
        <v>647</v>
      </c>
      <c r="H600" t="s">
        <v>652</v>
      </c>
      <c r="I600" t="s">
        <v>666</v>
      </c>
      <c r="J600" t="s">
        <v>701</v>
      </c>
      <c r="K600" t="s">
        <v>711</v>
      </c>
      <c r="L600" t="s">
        <v>722</v>
      </c>
      <c r="M600" t="s">
        <v>728</v>
      </c>
      <c r="N600" t="s">
        <v>1330</v>
      </c>
      <c r="O600" s="29">
        <v>783.72</v>
      </c>
      <c r="P600" t="str">
        <f>IF(Table1[[#This Row],[UnitPrice]]&lt;=0,"Check","OK")</f>
        <v>OK</v>
      </c>
      <c r="Q600" s="29">
        <f t="shared" si="137"/>
        <v>1355.94</v>
      </c>
      <c r="R600">
        <v>1355.94</v>
      </c>
      <c r="S600" s="5">
        <f>IF(Table1[[#This Row],[Discount_Flag]]="Check", MIN(MAX(Table1[[#This Row],[DiscountPct]],0),0.3), Table1[[#This Row],[DiscountPct]])</f>
        <v>0.187</v>
      </c>
      <c r="T600" t="str">
        <f>IF(OR(Table1[[#This Row],[DiscountPct]]&lt;0,Table1[[#This Row],[DiscountPct]]&gt;0.3),"Check","OK")</f>
        <v>OK</v>
      </c>
      <c r="U600" s="11">
        <v>0.187</v>
      </c>
      <c r="V600" s="15">
        <f t="shared" si="138"/>
        <v>0</v>
      </c>
      <c r="W600" s="11">
        <f t="shared" si="139"/>
        <v>0.28906497348525856</v>
      </c>
      <c r="X600" s="17">
        <f t="shared" si="140"/>
        <v>3134.88</v>
      </c>
      <c r="Y600" s="17">
        <f t="shared" si="141"/>
        <v>1274.63688</v>
      </c>
      <c r="Z600" s="17">
        <f t="shared" si="142"/>
        <v>4409.5168800000001</v>
      </c>
      <c r="AA600" s="17" t="str">
        <f t="shared" si="143"/>
        <v>Q1-2025</v>
      </c>
      <c r="AB600" s="12" t="str">
        <f t="shared" si="144"/>
        <v>Mar-2025</v>
      </c>
      <c r="AC600" s="12" t="str">
        <f t="shared" si="145"/>
        <v>Medium</v>
      </c>
      <c r="AD600">
        <v>4</v>
      </c>
      <c r="AE600" s="12">
        <f>_xlfn.MINIFS(Table1[MonthDate], Table1[Country], Table1[[#This Row],[Country]])</f>
        <v>44986</v>
      </c>
      <c r="AF600" s="12">
        <f t="shared" si="146"/>
        <v>45717</v>
      </c>
      <c r="AG600">
        <f>AD600*(1 + Scenario_Control!$B$4)</f>
        <v>4.4000000000000004</v>
      </c>
      <c r="AH600">
        <f>O600*(1 + Scenario_Control!$B$3)</f>
        <v>822.90600000000006</v>
      </c>
      <c r="AI600">
        <f t="shared" si="147"/>
        <v>970.09371360000011</v>
      </c>
      <c r="AJ600">
        <f t="shared" si="148"/>
        <v>-2650.6926864000002</v>
      </c>
      <c r="AK600" s="29">
        <f>MIN(Q600*(1-U600), Scenario_Control!$B$2*Q600)</f>
        <v>271.18800000000005</v>
      </c>
      <c r="AL600" s="15">
        <f t="shared" si="149"/>
        <v>0</v>
      </c>
      <c r="AM600" s="8">
        <f>DATEDIF(Table1[[#This Row],[Country_FirstMonth]], Table1[[#This Row],[MonthDate]], "m")</f>
        <v>24</v>
      </c>
    </row>
    <row r="601" spans="1:39" x14ac:dyDescent="0.25">
      <c r="A601" t="s">
        <v>613</v>
      </c>
      <c r="B601" s="12">
        <v>45521</v>
      </c>
      <c r="C601" s="12">
        <f t="shared" si="135"/>
        <v>45528</v>
      </c>
      <c r="D601" s="2" t="str">
        <f>IF(Table1[[#This Row],[RequiredDate]]&lt;Table1[[#This Row],[OrderDate]],"Check","OK")</f>
        <v>Check</v>
      </c>
      <c r="E601" s="2">
        <v>45519</v>
      </c>
      <c r="F601" s="15">
        <f t="shared" si="136"/>
        <v>7</v>
      </c>
      <c r="G601" t="s">
        <v>648</v>
      </c>
      <c r="H601" t="s">
        <v>655</v>
      </c>
      <c r="I601" t="s">
        <v>692</v>
      </c>
      <c r="J601" t="s">
        <v>704</v>
      </c>
      <c r="K601" t="s">
        <v>711</v>
      </c>
      <c r="L601" t="s">
        <v>724</v>
      </c>
      <c r="M601" t="s">
        <v>732</v>
      </c>
      <c r="N601" t="s">
        <v>1331</v>
      </c>
      <c r="O601" s="29">
        <v>165.3</v>
      </c>
      <c r="P601" t="str">
        <f>IF(Table1[[#This Row],[UnitPrice]]&lt;=0,"Check","OK")</f>
        <v>OK</v>
      </c>
      <c r="Q601" s="29">
        <f t="shared" si="137"/>
        <v>275.07</v>
      </c>
      <c r="R601">
        <v>275.07</v>
      </c>
      <c r="S601" s="5">
        <f>IF(Table1[[#This Row],[Discount_Flag]]="Check", MIN(MAX(Table1[[#This Row],[DiscountPct]],0),0.3), Table1[[#This Row],[DiscountPct]])</f>
        <v>0.13300000000000001</v>
      </c>
      <c r="T601" t="str">
        <f>IF(OR(Table1[[#This Row],[DiscountPct]]&lt;0,Table1[[#This Row],[DiscountPct]]&gt;0.3),"Check","OK")</f>
        <v>OK</v>
      </c>
      <c r="U601" s="11">
        <v>0.13300000000000001</v>
      </c>
      <c r="V601" s="15">
        <f t="shared" si="138"/>
        <v>0</v>
      </c>
      <c r="W601" s="11">
        <f t="shared" si="139"/>
        <v>0.30687665159280625</v>
      </c>
      <c r="X601" s="17">
        <f t="shared" si="140"/>
        <v>4132.5</v>
      </c>
      <c r="Y601" s="17">
        <f t="shared" si="141"/>
        <v>1829.6422499999999</v>
      </c>
      <c r="Z601" s="17">
        <f t="shared" si="142"/>
        <v>5962.1422499999999</v>
      </c>
      <c r="AA601" s="17" t="str">
        <f t="shared" si="143"/>
        <v>Q3-2024</v>
      </c>
      <c r="AB601" s="12" t="str">
        <f t="shared" si="144"/>
        <v>Aug-2024</v>
      </c>
      <c r="AC601" s="12" t="str">
        <f t="shared" si="145"/>
        <v>Low</v>
      </c>
      <c r="AD601">
        <v>25</v>
      </c>
      <c r="AE601" s="12">
        <f>_xlfn.MINIFS(Table1[MonthDate], Table1[Country], Table1[[#This Row],[Country]])</f>
        <v>44927</v>
      </c>
      <c r="AF601" s="12">
        <f t="shared" si="146"/>
        <v>45505</v>
      </c>
      <c r="AG601">
        <f>AD601*(1 + Scenario_Control!$B$4)</f>
        <v>27.500000000000004</v>
      </c>
      <c r="AH601">
        <f>O601*(1 + Scenario_Control!$B$3)</f>
        <v>173.56500000000003</v>
      </c>
      <c r="AI601">
        <f t="shared" si="147"/>
        <v>1311.6712950000001</v>
      </c>
      <c r="AJ601">
        <f t="shared" si="148"/>
        <v>-3461.3662050000012</v>
      </c>
      <c r="AK601" s="29">
        <f>MIN(Q601*(1-U601), Scenario_Control!$B$2*Q601)</f>
        <v>55.014000000000003</v>
      </c>
      <c r="AL601" s="15">
        <f t="shared" si="149"/>
        <v>1</v>
      </c>
      <c r="AM601" s="8">
        <f>DATEDIF(Table1[[#This Row],[Country_FirstMonth]], Table1[[#This Row],[MonthDate]], "m")</f>
        <v>19</v>
      </c>
    </row>
    <row r="602" spans="1:39" x14ac:dyDescent="0.25">
      <c r="A602" t="s">
        <v>614</v>
      </c>
      <c r="B602" s="12">
        <v>45360</v>
      </c>
      <c r="C602" s="12">
        <f t="shared" si="135"/>
        <v>45373</v>
      </c>
      <c r="D602" s="2" t="str">
        <f>IF(Table1[[#This Row],[RequiredDate]]&lt;Table1[[#This Row],[OrderDate]],"Check","OK")</f>
        <v>OK</v>
      </c>
      <c r="E602" s="2">
        <v>45373</v>
      </c>
      <c r="F602" s="15">
        <f t="shared" si="136"/>
        <v>13</v>
      </c>
      <c r="G602" t="s">
        <v>649</v>
      </c>
      <c r="H602" t="s">
        <v>658</v>
      </c>
      <c r="I602" t="s">
        <v>693</v>
      </c>
      <c r="J602" t="s">
        <v>704</v>
      </c>
      <c r="K602" t="s">
        <v>708</v>
      </c>
      <c r="L602" t="s">
        <v>718</v>
      </c>
      <c r="M602" t="s">
        <v>731</v>
      </c>
      <c r="N602" t="s">
        <v>1332</v>
      </c>
      <c r="O602" s="29">
        <v>985.45</v>
      </c>
      <c r="P602" t="str">
        <f>IF(Table1[[#This Row],[UnitPrice]]&lt;=0,"Check","OK")</f>
        <v>OK</v>
      </c>
      <c r="Q602" s="29">
        <f t="shared" si="137"/>
        <v>1802.44</v>
      </c>
      <c r="R602">
        <v>1802.44</v>
      </c>
      <c r="S602" s="5">
        <f>IF(Table1[[#This Row],[Discount_Flag]]="Check", MIN(MAX(Table1[[#This Row],[DiscountPct]],0),0.3), Table1[[#This Row],[DiscountPct]])</f>
        <v>8.9999999999999993E-3</v>
      </c>
      <c r="T602" t="str">
        <f>IF(OR(Table1[[#This Row],[DiscountPct]]&lt;0,Table1[[#This Row],[DiscountPct]]&gt;0.3),"Check","OK")</f>
        <v>OK</v>
      </c>
      <c r="U602" s="11">
        <v>8.9999999999999993E-3</v>
      </c>
      <c r="V602" s="15">
        <f t="shared" si="138"/>
        <v>0</v>
      </c>
      <c r="W602" s="11">
        <f t="shared" si="139"/>
        <v>0.44830363486867486</v>
      </c>
      <c r="X602" s="17">
        <f t="shared" si="140"/>
        <v>18723.55</v>
      </c>
      <c r="Y602" s="17">
        <f t="shared" si="141"/>
        <v>15214.592760000003</v>
      </c>
      <c r="Z602" s="17">
        <f t="shared" si="142"/>
        <v>33938.142760000002</v>
      </c>
      <c r="AA602" s="17" t="str">
        <f t="shared" si="143"/>
        <v>Q1-2024</v>
      </c>
      <c r="AB602" s="12" t="str">
        <f t="shared" si="144"/>
        <v>Mar-2024</v>
      </c>
      <c r="AC602" s="12" t="str">
        <f t="shared" si="145"/>
        <v>Medium</v>
      </c>
      <c r="AD602">
        <v>19</v>
      </c>
      <c r="AE602" s="12">
        <f>_xlfn.MINIFS(Table1[MonthDate], Table1[Country], Table1[[#This Row],[Country]])</f>
        <v>44927</v>
      </c>
      <c r="AF602" s="12">
        <f t="shared" si="146"/>
        <v>45352</v>
      </c>
      <c r="AG602">
        <f>AD602*(1 + Scenario_Control!$B$4)</f>
        <v>20.900000000000002</v>
      </c>
      <c r="AH602">
        <f>O602*(1 + Scenario_Control!$B$3)</f>
        <v>1034.7225000000001</v>
      </c>
      <c r="AI602">
        <f t="shared" si="147"/>
        <v>7466.3914072000016</v>
      </c>
      <c r="AJ602">
        <f t="shared" si="148"/>
        <v>-14159.308842800005</v>
      </c>
      <c r="AK602" s="29">
        <f>MIN(Q602*(1-U602), Scenario_Control!$B$2*Q602)</f>
        <v>360.48800000000006</v>
      </c>
      <c r="AL602" s="15">
        <f t="shared" si="149"/>
        <v>0</v>
      </c>
      <c r="AM602" s="8">
        <f>DATEDIF(Table1[[#This Row],[Country_FirstMonth]], Table1[[#This Row],[MonthDate]], "m")</f>
        <v>14</v>
      </c>
    </row>
    <row r="603" spans="1:39" x14ac:dyDescent="0.25">
      <c r="A603" t="s">
        <v>615</v>
      </c>
      <c r="B603" s="12">
        <v>45523</v>
      </c>
      <c r="C603" s="12">
        <f t="shared" si="135"/>
        <v>45537</v>
      </c>
      <c r="D603" s="2" t="str">
        <f>IF(Table1[[#This Row],[RequiredDate]]&lt;Table1[[#This Row],[OrderDate]],"Check","OK")</f>
        <v>OK</v>
      </c>
      <c r="E603" s="2">
        <v>45537</v>
      </c>
      <c r="F603" s="15">
        <f t="shared" si="136"/>
        <v>14</v>
      </c>
      <c r="G603" t="s">
        <v>648</v>
      </c>
      <c r="H603" t="s">
        <v>653</v>
      </c>
      <c r="I603" t="s">
        <v>667</v>
      </c>
      <c r="J603" t="s">
        <v>704</v>
      </c>
      <c r="K603" t="s">
        <v>710</v>
      </c>
      <c r="L603" t="s">
        <v>712</v>
      </c>
      <c r="M603" t="s">
        <v>728</v>
      </c>
      <c r="N603" t="s">
        <v>1333</v>
      </c>
      <c r="O603" s="29">
        <v>1337.01</v>
      </c>
      <c r="P603" t="str">
        <f>IF(Table1[[#This Row],[UnitPrice]]&lt;=0,"Check","OK")</f>
        <v>OK</v>
      </c>
      <c r="Q603" s="29">
        <f t="shared" si="137"/>
        <v>1269.78</v>
      </c>
      <c r="R603">
        <v>1269.78</v>
      </c>
      <c r="S603" s="5">
        <f>IF(Table1[[#This Row],[Discount_Flag]]="Check", MIN(MAX(Table1[[#This Row],[DiscountPct]],0),0.3), Table1[[#This Row],[DiscountPct]])</f>
        <v>0.16</v>
      </c>
      <c r="T603" t="str">
        <f>IF(OR(Table1[[#This Row],[DiscountPct]]&lt;0,Table1[[#This Row],[DiscountPct]]&gt;0.3),"Check","OK")</f>
        <v>OK</v>
      </c>
      <c r="U603" s="11">
        <v>0.16</v>
      </c>
      <c r="V603" s="15">
        <f t="shared" si="138"/>
        <v>0</v>
      </c>
      <c r="W603" s="11">
        <f t="shared" si="139"/>
        <v>-0.25350735672996244</v>
      </c>
      <c r="X603" s="17">
        <f t="shared" si="140"/>
        <v>9359.07</v>
      </c>
      <c r="Y603" s="17">
        <f t="shared" si="141"/>
        <v>-1892.7636000000011</v>
      </c>
      <c r="Z603" s="17">
        <f t="shared" si="142"/>
        <v>7466.3063999999986</v>
      </c>
      <c r="AA603" s="17" t="str">
        <f t="shared" si="143"/>
        <v>Q3-2024</v>
      </c>
      <c r="AB603" s="12" t="str">
        <f t="shared" si="144"/>
        <v>Aug-2024</v>
      </c>
      <c r="AC603" s="12" t="str">
        <f t="shared" si="145"/>
        <v>Medium</v>
      </c>
      <c r="AD603">
        <v>7</v>
      </c>
      <c r="AE603" s="12">
        <f>_xlfn.MINIFS(Table1[MonthDate], Table1[Country], Table1[[#This Row],[Country]])</f>
        <v>44927</v>
      </c>
      <c r="AF603" s="12">
        <f t="shared" si="146"/>
        <v>45505</v>
      </c>
      <c r="AG603">
        <f>AD603*(1 + Scenario_Control!$B$4)</f>
        <v>7.7000000000000011</v>
      </c>
      <c r="AH603">
        <f>O603*(1 + Scenario_Control!$B$3)</f>
        <v>1403.8605</v>
      </c>
      <c r="AI603">
        <f t="shared" si="147"/>
        <v>1642.5874080000003</v>
      </c>
      <c r="AJ603">
        <f t="shared" si="148"/>
        <v>-9167.1384419999995</v>
      </c>
      <c r="AK603" s="29">
        <f>MIN(Q603*(1-U603), Scenario_Control!$B$2*Q603)</f>
        <v>253.95600000000002</v>
      </c>
      <c r="AL603" s="15">
        <f t="shared" si="149"/>
        <v>0</v>
      </c>
      <c r="AM603" s="8">
        <f>DATEDIF(Table1[[#This Row],[Country_FirstMonth]], Table1[[#This Row],[MonthDate]], "m")</f>
        <v>19</v>
      </c>
    </row>
    <row r="604" spans="1:39" x14ac:dyDescent="0.25">
      <c r="A604" t="s">
        <v>616</v>
      </c>
      <c r="B604" s="12">
        <v>45880</v>
      </c>
      <c r="C604" s="12">
        <f t="shared" si="135"/>
        <v>45897</v>
      </c>
      <c r="D604" s="2" t="str">
        <f>IF(Table1[[#This Row],[RequiredDate]]&lt;Table1[[#This Row],[OrderDate]],"Check","OK")</f>
        <v>OK</v>
      </c>
      <c r="E604" s="2">
        <v>45897</v>
      </c>
      <c r="F604" s="15">
        <f t="shared" si="136"/>
        <v>17</v>
      </c>
      <c r="G604" t="s">
        <v>649</v>
      </c>
      <c r="H604" t="s">
        <v>657</v>
      </c>
      <c r="I604" t="s">
        <v>690</v>
      </c>
      <c r="J604" t="s">
        <v>702</v>
      </c>
      <c r="K604" t="s">
        <v>708</v>
      </c>
      <c r="L604" t="s">
        <v>721</v>
      </c>
      <c r="M604" t="s">
        <v>729</v>
      </c>
      <c r="N604" t="s">
        <v>1334</v>
      </c>
      <c r="O604" s="29">
        <v>416.16</v>
      </c>
      <c r="P604" t="str">
        <f>IF(Table1[[#This Row],[UnitPrice]]&lt;=0,"Check","OK")</f>
        <v>OK</v>
      </c>
      <c r="Q604" s="29">
        <f t="shared" si="137"/>
        <v>571.9</v>
      </c>
      <c r="R604">
        <v>571.9</v>
      </c>
      <c r="S604" s="5">
        <f>IF(Table1[[#This Row],[Discount_Flag]]="Check", MIN(MAX(Table1[[#This Row],[DiscountPct]],0),0.3), Table1[[#This Row],[DiscountPct]])</f>
        <v>7.0999999999999994E-2</v>
      </c>
      <c r="T604" t="str">
        <f>IF(OR(Table1[[#This Row],[DiscountPct]]&lt;0,Table1[[#This Row],[DiscountPct]]&gt;0.3),"Check","OK")</f>
        <v>OK</v>
      </c>
      <c r="U604" s="11">
        <v>7.0999999999999994E-2</v>
      </c>
      <c r="V604" s="15">
        <f t="shared" si="138"/>
        <v>0</v>
      </c>
      <c r="W604" s="11">
        <f t="shared" si="139"/>
        <v>0.21670649701079497</v>
      </c>
      <c r="X604" s="17">
        <f t="shared" si="140"/>
        <v>832.32</v>
      </c>
      <c r="Y604" s="17">
        <f t="shared" si="141"/>
        <v>230.27020000000005</v>
      </c>
      <c r="Z604" s="17">
        <f t="shared" si="142"/>
        <v>1062.5902000000001</v>
      </c>
      <c r="AA604" s="17" t="str">
        <f t="shared" si="143"/>
        <v>Q3-2025</v>
      </c>
      <c r="AB604" s="12" t="str">
        <f t="shared" si="144"/>
        <v>Aug-2025</v>
      </c>
      <c r="AC604" s="12" t="str">
        <f t="shared" si="145"/>
        <v>Low</v>
      </c>
      <c r="AD604">
        <v>2</v>
      </c>
      <c r="AE604" s="12">
        <f>_xlfn.MINIFS(Table1[MonthDate], Table1[Country], Table1[[#This Row],[Country]])</f>
        <v>44927</v>
      </c>
      <c r="AF604" s="12">
        <f t="shared" si="146"/>
        <v>45870</v>
      </c>
      <c r="AG604">
        <f>AD604*(1 + Scenario_Control!$B$4)</f>
        <v>2.2000000000000002</v>
      </c>
      <c r="AH604">
        <f>O604*(1 + Scenario_Control!$B$3)</f>
        <v>436.96800000000002</v>
      </c>
      <c r="AI604">
        <f t="shared" si="147"/>
        <v>233.76984400000003</v>
      </c>
      <c r="AJ604">
        <f t="shared" si="148"/>
        <v>-727.55975600000011</v>
      </c>
      <c r="AK604" s="29">
        <f>MIN(Q604*(1-U604), Scenario_Control!$B$2*Q604)</f>
        <v>114.38</v>
      </c>
      <c r="AL604" s="15">
        <f t="shared" si="149"/>
        <v>0</v>
      </c>
      <c r="AM604" s="8">
        <f>DATEDIF(Table1[[#This Row],[Country_FirstMonth]], Table1[[#This Row],[MonthDate]], "m")</f>
        <v>31</v>
      </c>
    </row>
    <row r="605" spans="1:39" x14ac:dyDescent="0.25">
      <c r="A605" t="s">
        <v>617</v>
      </c>
      <c r="B605" s="12">
        <v>45793</v>
      </c>
      <c r="C605" s="12">
        <f t="shared" si="135"/>
        <v>45795</v>
      </c>
      <c r="D605" s="2" t="str">
        <f>IF(Table1[[#This Row],[RequiredDate]]&lt;Table1[[#This Row],[OrderDate]],"Check","OK")</f>
        <v>OK</v>
      </c>
      <c r="E605" s="2">
        <v>45795</v>
      </c>
      <c r="F605" s="15">
        <f t="shared" si="136"/>
        <v>2</v>
      </c>
      <c r="G605" t="s">
        <v>647</v>
      </c>
      <c r="H605" t="s">
        <v>652</v>
      </c>
      <c r="I605" t="s">
        <v>689</v>
      </c>
      <c r="J605" t="s">
        <v>706</v>
      </c>
      <c r="K605" t="s">
        <v>707</v>
      </c>
      <c r="L605" t="s">
        <v>713</v>
      </c>
      <c r="M605" t="s">
        <v>728</v>
      </c>
      <c r="N605" t="s">
        <v>1335</v>
      </c>
      <c r="O605" s="29">
        <v>1144.3800000000001</v>
      </c>
      <c r="P605" t="str">
        <f>IF(Table1[[#This Row],[UnitPrice]]&lt;=0,"Check","OK")</f>
        <v>OK</v>
      </c>
      <c r="Q605" s="29">
        <f t="shared" si="137"/>
        <v>2755.04</v>
      </c>
      <c r="R605">
        <v>2755.04</v>
      </c>
      <c r="S605" s="5">
        <f>IF(Table1[[#This Row],[Discount_Flag]]="Check", MIN(MAX(Table1[[#This Row],[DiscountPct]],0),0.3), Table1[[#This Row],[DiscountPct]])</f>
        <v>0.15</v>
      </c>
      <c r="T605" t="str">
        <f>IF(OR(Table1[[#This Row],[DiscountPct]]&lt;0,Table1[[#This Row],[DiscountPct]]&gt;0.3),"Check","OK")</f>
        <v>OK</v>
      </c>
      <c r="U605" s="11">
        <v>0.15</v>
      </c>
      <c r="V605" s="15">
        <f t="shared" si="138"/>
        <v>0</v>
      </c>
      <c r="W605" s="11">
        <f t="shared" si="139"/>
        <v>0.51132128326096682</v>
      </c>
      <c r="X605" s="17">
        <f t="shared" si="140"/>
        <v>19454.460000000003</v>
      </c>
      <c r="Y605" s="17">
        <f t="shared" si="141"/>
        <v>20355.867999999999</v>
      </c>
      <c r="Z605" s="17">
        <f t="shared" si="142"/>
        <v>39810.328000000001</v>
      </c>
      <c r="AA605" s="17" t="str">
        <f t="shared" si="143"/>
        <v>Q2-2025</v>
      </c>
      <c r="AB605" s="12" t="str">
        <f t="shared" si="144"/>
        <v>May-2025</v>
      </c>
      <c r="AC605" s="12" t="str">
        <f t="shared" si="145"/>
        <v>High</v>
      </c>
      <c r="AD605">
        <v>17</v>
      </c>
      <c r="AE605" s="12">
        <f>_xlfn.MINIFS(Table1[MonthDate], Table1[Country], Table1[[#This Row],[Country]])</f>
        <v>44986</v>
      </c>
      <c r="AF605" s="12">
        <f t="shared" si="146"/>
        <v>45778</v>
      </c>
      <c r="AG605">
        <f>AD605*(1 + Scenario_Control!$B$4)</f>
        <v>18.700000000000003</v>
      </c>
      <c r="AH605">
        <f>O605*(1 + Scenario_Control!$B$3)</f>
        <v>1201.5990000000002</v>
      </c>
      <c r="AI605">
        <f t="shared" si="147"/>
        <v>8758.2721600000004</v>
      </c>
      <c r="AJ605">
        <f t="shared" si="148"/>
        <v>-13711.629140000005</v>
      </c>
      <c r="AK605" s="29">
        <f>MIN(Q605*(1-U605), Scenario_Control!$B$2*Q605)</f>
        <v>551.00800000000004</v>
      </c>
      <c r="AL605" s="15">
        <f t="shared" si="149"/>
        <v>1</v>
      </c>
      <c r="AM605" s="8">
        <f>DATEDIF(Table1[[#This Row],[Country_FirstMonth]], Table1[[#This Row],[MonthDate]], "m")</f>
        <v>26</v>
      </c>
    </row>
    <row r="606" spans="1:39" x14ac:dyDescent="0.25">
      <c r="A606" t="s">
        <v>618</v>
      </c>
      <c r="B606" s="12">
        <v>45026</v>
      </c>
      <c r="C606" s="12">
        <f t="shared" si="135"/>
        <v>45041</v>
      </c>
      <c r="D606" s="2" t="str">
        <f>IF(Table1[[#This Row],[RequiredDate]]&lt;Table1[[#This Row],[OrderDate]],"Check","OK")</f>
        <v>OK</v>
      </c>
      <c r="E606" s="2">
        <v>45041</v>
      </c>
      <c r="F606" s="15">
        <f t="shared" si="136"/>
        <v>15</v>
      </c>
      <c r="G606" t="s">
        <v>649</v>
      </c>
      <c r="H606" t="s">
        <v>658</v>
      </c>
      <c r="I606" t="s">
        <v>683</v>
      </c>
      <c r="J606" t="s">
        <v>705</v>
      </c>
      <c r="K606" t="s">
        <v>707</v>
      </c>
      <c r="L606" t="s">
        <v>726</v>
      </c>
      <c r="M606" t="s">
        <v>728</v>
      </c>
      <c r="N606" t="s">
        <v>1336</v>
      </c>
      <c r="O606" s="29">
        <v>405.66</v>
      </c>
      <c r="P606" t="str">
        <f>IF(Table1[[#This Row],[UnitPrice]]&lt;=0,"Check","OK")</f>
        <v>OK</v>
      </c>
      <c r="Q606" s="29">
        <f t="shared" si="137"/>
        <v>962.51</v>
      </c>
      <c r="R606">
        <v>962.51</v>
      </c>
      <c r="S606" s="5">
        <f>IF(Table1[[#This Row],[Discount_Flag]]="Check", MIN(MAX(Table1[[#This Row],[DiscountPct]],0),0.3), Table1[[#This Row],[DiscountPct]])</f>
        <v>0.19</v>
      </c>
      <c r="T606" t="str">
        <f>IF(OR(Table1[[#This Row],[DiscountPct]]&lt;0,Table1[[#This Row],[DiscountPct]]&gt;0.3),"Check","OK")</f>
        <v>OK</v>
      </c>
      <c r="U606" s="11">
        <v>0.19</v>
      </c>
      <c r="V606" s="15">
        <f t="shared" si="138"/>
        <v>0</v>
      </c>
      <c r="W606" s="11">
        <f t="shared" si="139"/>
        <v>0.47967832561239376</v>
      </c>
      <c r="X606" s="17">
        <f t="shared" si="140"/>
        <v>2839.6200000000003</v>
      </c>
      <c r="Y606" s="17">
        <f t="shared" si="141"/>
        <v>2617.8116999999997</v>
      </c>
      <c r="Z606" s="17">
        <f t="shared" si="142"/>
        <v>5457.4317000000001</v>
      </c>
      <c r="AA606" s="17" t="str">
        <f t="shared" si="143"/>
        <v>Q2-2023</v>
      </c>
      <c r="AB606" s="12" t="str">
        <f t="shared" si="144"/>
        <v>Apr-2023</v>
      </c>
      <c r="AC606" s="12" t="str">
        <f t="shared" si="145"/>
        <v>Medium</v>
      </c>
      <c r="AD606">
        <v>7</v>
      </c>
      <c r="AE606" s="12">
        <f>_xlfn.MINIFS(Table1[MonthDate], Table1[Country], Table1[[#This Row],[Country]])</f>
        <v>44927</v>
      </c>
      <c r="AF606" s="12">
        <f t="shared" si="146"/>
        <v>45017</v>
      </c>
      <c r="AG606">
        <f>AD606*(1 + Scenario_Control!$B$4)</f>
        <v>7.7000000000000011</v>
      </c>
      <c r="AH606">
        <f>O606*(1 + Scenario_Control!$B$3)</f>
        <v>425.94300000000004</v>
      </c>
      <c r="AI606">
        <f t="shared" si="147"/>
        <v>1200.6349740000003</v>
      </c>
      <c r="AJ606">
        <f t="shared" si="148"/>
        <v>-2079.1261260000001</v>
      </c>
      <c r="AK606" s="29">
        <f>MIN(Q606*(1-U606), Scenario_Control!$B$2*Q606)</f>
        <v>192.50200000000001</v>
      </c>
      <c r="AL606" s="15">
        <f t="shared" si="149"/>
        <v>0</v>
      </c>
      <c r="AM606" s="8">
        <f>DATEDIF(Table1[[#This Row],[Country_FirstMonth]], Table1[[#This Row],[MonthDate]], "m")</f>
        <v>3</v>
      </c>
    </row>
    <row r="607" spans="1:39" x14ac:dyDescent="0.25">
      <c r="A607" t="s">
        <v>619</v>
      </c>
      <c r="B607" s="12">
        <v>45186</v>
      </c>
      <c r="C607" s="12">
        <f t="shared" si="135"/>
        <v>45201</v>
      </c>
      <c r="D607" s="2" t="str">
        <f>IF(Table1[[#This Row],[RequiredDate]]&lt;Table1[[#This Row],[OrderDate]],"Check","OK")</f>
        <v>OK</v>
      </c>
      <c r="E607" s="2">
        <v>45201</v>
      </c>
      <c r="F607" s="15">
        <f t="shared" si="136"/>
        <v>15</v>
      </c>
      <c r="G607" t="s">
        <v>648</v>
      </c>
      <c r="H607" t="s">
        <v>655</v>
      </c>
      <c r="I607" t="s">
        <v>692</v>
      </c>
      <c r="J607" t="s">
        <v>705</v>
      </c>
      <c r="K607" t="s">
        <v>707</v>
      </c>
      <c r="L607" t="s">
        <v>717</v>
      </c>
      <c r="M607" t="s">
        <v>731</v>
      </c>
      <c r="N607" t="s">
        <v>1337</v>
      </c>
      <c r="O607" s="29">
        <v>689.33</v>
      </c>
      <c r="P607" t="str">
        <f>IF(Table1[[#This Row],[UnitPrice]]&lt;=0,"Check","OK")</f>
        <v>OK</v>
      </c>
      <c r="Q607" s="29">
        <f t="shared" si="137"/>
        <v>668.27</v>
      </c>
      <c r="R607">
        <v>668.27</v>
      </c>
      <c r="S607" s="5">
        <f>IF(Table1[[#This Row],[Discount_Flag]]="Check", MIN(MAX(Table1[[#This Row],[DiscountPct]],0),0.3), Table1[[#This Row],[DiscountPct]])</f>
        <v>0.186</v>
      </c>
      <c r="T607" t="str">
        <f>IF(OR(Table1[[#This Row],[DiscountPct]]&lt;0,Table1[[#This Row],[DiscountPct]]&gt;0.3),"Check","OK")</f>
        <v>OK</v>
      </c>
      <c r="U607" s="11">
        <v>0.186</v>
      </c>
      <c r="V607" s="15">
        <f t="shared" si="138"/>
        <v>0</v>
      </c>
      <c r="W607" s="11">
        <f t="shared" si="139"/>
        <v>-0.26721647214861033</v>
      </c>
      <c r="X607" s="17">
        <f t="shared" si="140"/>
        <v>8961.2900000000009</v>
      </c>
      <c r="Y607" s="17">
        <f t="shared" si="141"/>
        <v>-1889.6568600000001</v>
      </c>
      <c r="Z607" s="17">
        <f t="shared" si="142"/>
        <v>7071.6331400000008</v>
      </c>
      <c r="AA607" s="17" t="str">
        <f t="shared" si="143"/>
        <v>Q3-2023</v>
      </c>
      <c r="AB607" s="12" t="str">
        <f t="shared" si="144"/>
        <v>Sept-2023</v>
      </c>
      <c r="AC607" s="12" t="str">
        <f t="shared" si="145"/>
        <v>Medium</v>
      </c>
      <c r="AD607">
        <v>13</v>
      </c>
      <c r="AE607" s="12">
        <f>_xlfn.MINIFS(Table1[MonthDate], Table1[Country], Table1[[#This Row],[Country]])</f>
        <v>44927</v>
      </c>
      <c r="AF607" s="12">
        <f t="shared" si="146"/>
        <v>45170</v>
      </c>
      <c r="AG607">
        <f>AD607*(1 + Scenario_Control!$B$4)</f>
        <v>14.3</v>
      </c>
      <c r="AH607">
        <f>O607*(1 + Scenario_Control!$B$3)</f>
        <v>723.79650000000004</v>
      </c>
      <c r="AI607">
        <f t="shared" si="147"/>
        <v>1555.7592908000001</v>
      </c>
      <c r="AJ607">
        <f t="shared" si="148"/>
        <v>-8794.5306591999997</v>
      </c>
      <c r="AK607" s="29">
        <f>MIN(Q607*(1-U607), Scenario_Control!$B$2*Q607)</f>
        <v>133.654</v>
      </c>
      <c r="AL607" s="15">
        <f t="shared" si="149"/>
        <v>0</v>
      </c>
      <c r="AM607" s="8">
        <f>DATEDIF(Table1[[#This Row],[Country_FirstMonth]], Table1[[#This Row],[MonthDate]], "m")</f>
        <v>8</v>
      </c>
    </row>
    <row r="608" spans="1:39" x14ac:dyDescent="0.25">
      <c r="A608" t="s">
        <v>620</v>
      </c>
      <c r="B608" s="12">
        <v>45038</v>
      </c>
      <c r="C608" s="12">
        <f t="shared" si="135"/>
        <v>45060</v>
      </c>
      <c r="D608" s="2" t="str">
        <f>IF(Table1[[#This Row],[RequiredDate]]&lt;Table1[[#This Row],[OrderDate]],"Check","OK")</f>
        <v>OK</v>
      </c>
      <c r="E608" s="2">
        <v>45060</v>
      </c>
      <c r="F608" s="15">
        <f t="shared" si="136"/>
        <v>22</v>
      </c>
      <c r="G608" t="s">
        <v>647</v>
      </c>
      <c r="H608" t="s">
        <v>652</v>
      </c>
      <c r="I608" t="s">
        <v>694</v>
      </c>
      <c r="J608" t="s">
        <v>706</v>
      </c>
      <c r="K608" t="s">
        <v>707</v>
      </c>
      <c r="L608" t="s">
        <v>720</v>
      </c>
      <c r="M608" t="s">
        <v>733</v>
      </c>
      <c r="N608" t="s">
        <v>1338</v>
      </c>
      <c r="O608" s="29">
        <v>1209.22</v>
      </c>
      <c r="P608" t="str">
        <f>IF(Table1[[#This Row],[UnitPrice]]&lt;=0,"Check","OK")</f>
        <v>OK</v>
      </c>
      <c r="Q608" s="29">
        <f t="shared" si="137"/>
        <v>1404.33</v>
      </c>
      <c r="R608">
        <v>1404.33</v>
      </c>
      <c r="S608" s="5">
        <f>IF(Table1[[#This Row],[Discount_Flag]]="Check", MIN(MAX(Table1[[#This Row],[DiscountPct]],0),0.3), Table1[[#This Row],[DiscountPct]])</f>
        <v>0.10299999999999999</v>
      </c>
      <c r="T608" t="str">
        <f>IF(OR(Table1[[#This Row],[DiscountPct]]&lt;0,Table1[[#This Row],[DiscountPct]]&gt;0.3),"Check","OK")</f>
        <v>OK</v>
      </c>
      <c r="U608" s="11">
        <v>0.10299999999999999</v>
      </c>
      <c r="V608" s="15">
        <f t="shared" si="138"/>
        <v>0</v>
      </c>
      <c r="W608" s="11">
        <f t="shared" si="139"/>
        <v>4.0060848275751328E-2</v>
      </c>
      <c r="X608" s="17">
        <f t="shared" si="140"/>
        <v>13301.42</v>
      </c>
      <c r="Y608" s="17">
        <f t="shared" si="141"/>
        <v>555.10411000000022</v>
      </c>
      <c r="Z608" s="17">
        <f t="shared" si="142"/>
        <v>13856.52411</v>
      </c>
      <c r="AA608" s="17" t="str">
        <f t="shared" si="143"/>
        <v>Q2-2023</v>
      </c>
      <c r="AB608" s="12" t="str">
        <f t="shared" si="144"/>
        <v>Apr-2023</v>
      </c>
      <c r="AC608" s="12" t="str">
        <f t="shared" si="145"/>
        <v>Medium</v>
      </c>
      <c r="AD608">
        <v>11</v>
      </c>
      <c r="AE608" s="12">
        <f>_xlfn.MINIFS(Table1[MonthDate], Table1[Country], Table1[[#This Row],[Country]])</f>
        <v>44986</v>
      </c>
      <c r="AF608" s="12">
        <f t="shared" si="146"/>
        <v>45017</v>
      </c>
      <c r="AG608">
        <f>AD608*(1 + Scenario_Control!$B$4)</f>
        <v>12.100000000000001</v>
      </c>
      <c r="AH608">
        <f>O608*(1 + Scenario_Control!$B$3)</f>
        <v>1269.681</v>
      </c>
      <c r="AI608">
        <f t="shared" si="147"/>
        <v>3048.4353042000002</v>
      </c>
      <c r="AJ608">
        <f t="shared" si="148"/>
        <v>-12314.704795800002</v>
      </c>
      <c r="AK608" s="29">
        <f>MIN(Q608*(1-U608), Scenario_Control!$B$2*Q608)</f>
        <v>280.86599999999999</v>
      </c>
      <c r="AL608" s="15">
        <f t="shared" si="149"/>
        <v>0</v>
      </c>
      <c r="AM608" s="8">
        <f>DATEDIF(Table1[[#This Row],[Country_FirstMonth]], Table1[[#This Row],[MonthDate]], "m")</f>
        <v>1</v>
      </c>
    </row>
    <row r="609" spans="1:39" x14ac:dyDescent="0.25">
      <c r="A609" t="s">
        <v>621</v>
      </c>
      <c r="B609" s="12">
        <v>45827</v>
      </c>
      <c r="C609" s="12">
        <f t="shared" si="135"/>
        <v>45829</v>
      </c>
      <c r="D609" s="2" t="str">
        <f>IF(Table1[[#This Row],[RequiredDate]]&lt;Table1[[#This Row],[OrderDate]],"Check","OK")</f>
        <v>OK</v>
      </c>
      <c r="E609" s="2">
        <v>45829</v>
      </c>
      <c r="F609" s="15">
        <f t="shared" si="136"/>
        <v>2</v>
      </c>
      <c r="G609" t="s">
        <v>646</v>
      </c>
      <c r="H609" t="s">
        <v>661</v>
      </c>
      <c r="I609" t="s">
        <v>682</v>
      </c>
      <c r="J609" t="s">
        <v>705</v>
      </c>
      <c r="K609" t="s">
        <v>1428</v>
      </c>
      <c r="L609" t="s">
        <v>722</v>
      </c>
      <c r="M609" t="s">
        <v>730</v>
      </c>
      <c r="N609" t="s">
        <v>1339</v>
      </c>
      <c r="O609" s="29">
        <v>1466.27</v>
      </c>
      <c r="P609" t="str">
        <f>IF(Table1[[#This Row],[UnitPrice]]&lt;=0,"Check","OK")</f>
        <v>OK</v>
      </c>
      <c r="Q609" s="29">
        <f t="shared" si="137"/>
        <v>3589.89</v>
      </c>
      <c r="R609">
        <v>3589.89</v>
      </c>
      <c r="S609" s="5">
        <f>IF(Table1[[#This Row],[Discount_Flag]]="Check", MIN(MAX(Table1[[#This Row],[DiscountPct]],0),0.3), Table1[[#This Row],[DiscountPct]])</f>
        <v>9.7000000000000003E-2</v>
      </c>
      <c r="T609" t="str">
        <f>IF(OR(Table1[[#This Row],[DiscountPct]]&lt;0,Table1[[#This Row],[DiscountPct]]&gt;0.3),"Check","OK")</f>
        <v>OK</v>
      </c>
      <c r="U609" s="11">
        <v>9.7000000000000003E-2</v>
      </c>
      <c r="V609" s="15">
        <f t="shared" si="138"/>
        <v>0</v>
      </c>
      <c r="W609" s="11">
        <f t="shared" si="139"/>
        <v>0.54768076425234147</v>
      </c>
      <c r="X609" s="17">
        <f t="shared" si="140"/>
        <v>13196.43</v>
      </c>
      <c r="Y609" s="17">
        <f t="shared" si="141"/>
        <v>15978.606029999999</v>
      </c>
      <c r="Z609" s="17">
        <f t="shared" si="142"/>
        <v>29175.036029999999</v>
      </c>
      <c r="AA609" s="17" t="str">
        <f t="shared" si="143"/>
        <v>Q2-2025</v>
      </c>
      <c r="AB609" s="12" t="str">
        <f t="shared" si="144"/>
        <v>Jun-2025</v>
      </c>
      <c r="AC609" s="12" t="str">
        <f t="shared" si="145"/>
        <v>High</v>
      </c>
      <c r="AD609">
        <v>9</v>
      </c>
      <c r="AE609" s="12">
        <f>_xlfn.MINIFS(Table1[MonthDate], Table1[Country], Table1[[#This Row],[Country]])</f>
        <v>44927</v>
      </c>
      <c r="AF609" s="12">
        <f t="shared" si="146"/>
        <v>45809</v>
      </c>
      <c r="AG609">
        <f>AD609*(1 + Scenario_Control!$B$4)</f>
        <v>9.9</v>
      </c>
      <c r="AH609">
        <f>O609*(1 + Scenario_Control!$B$3)</f>
        <v>1539.5835</v>
      </c>
      <c r="AI609">
        <f t="shared" si="147"/>
        <v>6418.5079266000012</v>
      </c>
      <c r="AJ609">
        <f t="shared" si="148"/>
        <v>-8823.368723399999</v>
      </c>
      <c r="AK609" s="29">
        <f>MIN(Q609*(1-U609), Scenario_Control!$B$2*Q609)</f>
        <v>717.97800000000007</v>
      </c>
      <c r="AL609" s="15">
        <f t="shared" si="149"/>
        <v>1</v>
      </c>
      <c r="AM609" s="8">
        <f>DATEDIF(Table1[[#This Row],[Country_FirstMonth]], Table1[[#This Row],[MonthDate]], "m")</f>
        <v>29</v>
      </c>
    </row>
    <row r="610" spans="1:39" x14ac:dyDescent="0.25">
      <c r="A610" t="s">
        <v>622</v>
      </c>
      <c r="B610" s="12">
        <v>45623</v>
      </c>
      <c r="C610" s="12">
        <f t="shared" si="135"/>
        <v>45650</v>
      </c>
      <c r="D610" s="2" t="str">
        <f>IF(Table1[[#This Row],[RequiredDate]]&lt;Table1[[#This Row],[OrderDate]],"Check","OK")</f>
        <v>OK</v>
      </c>
      <c r="E610" s="2">
        <v>45650</v>
      </c>
      <c r="F610" s="15">
        <f t="shared" si="136"/>
        <v>27</v>
      </c>
      <c r="G610" t="s">
        <v>646</v>
      </c>
      <c r="H610" t="s">
        <v>650</v>
      </c>
      <c r="I610" t="s">
        <v>675</v>
      </c>
      <c r="J610" t="s">
        <v>701</v>
      </c>
      <c r="K610" t="s">
        <v>710</v>
      </c>
      <c r="L610" t="s">
        <v>717</v>
      </c>
      <c r="M610" t="s">
        <v>728</v>
      </c>
      <c r="N610" t="s">
        <v>1340</v>
      </c>
      <c r="O610" s="29">
        <v>143.33000000000001</v>
      </c>
      <c r="P610" t="str">
        <f>IF(Table1[[#This Row],[UnitPrice]]&lt;=0,"Check","OK")</f>
        <v>OK</v>
      </c>
      <c r="Q610" s="29">
        <f t="shared" si="137"/>
        <v>233.51</v>
      </c>
      <c r="R610">
        <v>233.51</v>
      </c>
      <c r="S610" s="5">
        <f>IF(Table1[[#This Row],[Discount_Flag]]="Check", MIN(MAX(Table1[[#This Row],[DiscountPct]],0),0.3), Table1[[#This Row],[DiscountPct]])</f>
        <v>0.16300000000000001</v>
      </c>
      <c r="T610" t="str">
        <f>IF(OR(Table1[[#This Row],[DiscountPct]]&lt;0,Table1[[#This Row],[DiscountPct]]&gt;0.3),"Check","OK")</f>
        <v>OK</v>
      </c>
      <c r="U610" s="11">
        <v>0.16300000000000001</v>
      </c>
      <c r="V610" s="15">
        <f t="shared" si="138"/>
        <v>0</v>
      </c>
      <c r="W610" s="11">
        <f t="shared" si="139"/>
        <v>0.26665867476580835</v>
      </c>
      <c r="X610" s="17">
        <f t="shared" si="140"/>
        <v>2006.6200000000001</v>
      </c>
      <c r="Y610" s="17">
        <f t="shared" si="141"/>
        <v>729.65017999999986</v>
      </c>
      <c r="Z610" s="17">
        <f t="shared" si="142"/>
        <v>2736.27018</v>
      </c>
      <c r="AA610" s="17" t="str">
        <f t="shared" si="143"/>
        <v>Q4-2024</v>
      </c>
      <c r="AB610" s="12" t="str">
        <f t="shared" si="144"/>
        <v>Nov-2024</v>
      </c>
      <c r="AC610" s="12" t="str">
        <f t="shared" si="145"/>
        <v>Low</v>
      </c>
      <c r="AD610">
        <v>14</v>
      </c>
      <c r="AE610" s="12">
        <f>_xlfn.MINIFS(Table1[MonthDate], Table1[Country], Table1[[#This Row],[Country]])</f>
        <v>44927</v>
      </c>
      <c r="AF610" s="12">
        <f t="shared" si="146"/>
        <v>45597</v>
      </c>
      <c r="AG610">
        <f>AD610*(1 + Scenario_Control!$B$4)</f>
        <v>15.400000000000002</v>
      </c>
      <c r="AH610">
        <f>O610*(1 + Scenario_Control!$B$3)</f>
        <v>150.49650000000003</v>
      </c>
      <c r="AI610">
        <f t="shared" si="147"/>
        <v>601.97943959999998</v>
      </c>
      <c r="AJ610">
        <f t="shared" si="148"/>
        <v>-1715.6666604000009</v>
      </c>
      <c r="AK610" s="29">
        <f>MIN(Q610*(1-U610), Scenario_Control!$B$2*Q610)</f>
        <v>46.701999999999998</v>
      </c>
      <c r="AL610" s="15">
        <f t="shared" si="149"/>
        <v>0</v>
      </c>
      <c r="AM610" s="8">
        <f>DATEDIF(Table1[[#This Row],[Country_FirstMonth]], Table1[[#This Row],[MonthDate]], "m")</f>
        <v>22</v>
      </c>
    </row>
    <row r="611" spans="1:39" x14ac:dyDescent="0.25">
      <c r="A611" t="s">
        <v>623</v>
      </c>
      <c r="B611" s="12">
        <v>45319</v>
      </c>
      <c r="C611" s="12">
        <f t="shared" si="135"/>
        <v>45326</v>
      </c>
      <c r="D611" s="2" t="str">
        <f>IF(Table1[[#This Row],[RequiredDate]]&lt;Table1[[#This Row],[OrderDate]],"Check","OK")</f>
        <v>Check</v>
      </c>
      <c r="E611" s="2">
        <v>45318</v>
      </c>
      <c r="F611" s="15">
        <f t="shared" si="136"/>
        <v>7</v>
      </c>
      <c r="G611" t="s">
        <v>646</v>
      </c>
      <c r="H611" t="s">
        <v>661</v>
      </c>
      <c r="I611" t="s">
        <v>695</v>
      </c>
      <c r="J611" t="s">
        <v>706</v>
      </c>
      <c r="K611" t="s">
        <v>711</v>
      </c>
      <c r="L611" t="s">
        <v>719</v>
      </c>
      <c r="M611" t="s">
        <v>727</v>
      </c>
      <c r="N611" t="s">
        <v>1341</v>
      </c>
      <c r="O611" s="29">
        <v>109.75</v>
      </c>
      <c r="P611" t="str">
        <f>IF(Table1[[#This Row],[UnitPrice]]&lt;=0,"Check","OK")</f>
        <v>OK</v>
      </c>
      <c r="Q611" s="29">
        <f t="shared" si="137"/>
        <v>124.25</v>
      </c>
      <c r="R611">
        <v>124.25</v>
      </c>
      <c r="S611" s="5">
        <f>IF(Table1[[#This Row],[Discount_Flag]]="Check", MIN(MAX(Table1[[#This Row],[DiscountPct]],0),0.3), Table1[[#This Row],[DiscountPct]])</f>
        <v>0.12</v>
      </c>
      <c r="T611" t="str">
        <f>IF(OR(Table1[[#This Row],[DiscountPct]]&lt;0,Table1[[#This Row],[DiscountPct]]&gt;0.3),"Check","OK")</f>
        <v>OK</v>
      </c>
      <c r="U611" s="11">
        <v>0.12</v>
      </c>
      <c r="V611" s="15">
        <f t="shared" si="138"/>
        <v>0</v>
      </c>
      <c r="W611" s="11">
        <f t="shared" si="139"/>
        <v>-3.7497713554051405E-3</v>
      </c>
      <c r="X611" s="17">
        <f t="shared" si="140"/>
        <v>2085.25</v>
      </c>
      <c r="Y611" s="17">
        <f t="shared" si="141"/>
        <v>-7.7899999999999636</v>
      </c>
      <c r="Z611" s="17">
        <f t="shared" si="142"/>
        <v>2077.46</v>
      </c>
      <c r="AA611" s="17" t="str">
        <f t="shared" si="143"/>
        <v>Q1-2024</v>
      </c>
      <c r="AB611" s="12" t="str">
        <f t="shared" si="144"/>
        <v>Jan-2024</v>
      </c>
      <c r="AC611" s="12" t="str">
        <f t="shared" si="145"/>
        <v>Low</v>
      </c>
      <c r="AD611">
        <v>19</v>
      </c>
      <c r="AE611" s="12">
        <f>_xlfn.MINIFS(Table1[MonthDate], Table1[Country], Table1[[#This Row],[Country]])</f>
        <v>44927</v>
      </c>
      <c r="AF611" s="12">
        <f t="shared" si="146"/>
        <v>45292</v>
      </c>
      <c r="AG611">
        <f>AD611*(1 + Scenario_Control!$B$4)</f>
        <v>20.900000000000002</v>
      </c>
      <c r="AH611">
        <f>O611*(1 + Scenario_Control!$B$3)</f>
        <v>115.23750000000001</v>
      </c>
      <c r="AI611">
        <f t="shared" si="147"/>
        <v>457.04120000000012</v>
      </c>
      <c r="AJ611">
        <f t="shared" si="148"/>
        <v>-1951.4225500000002</v>
      </c>
      <c r="AK611" s="29">
        <f>MIN(Q611*(1-U611), Scenario_Control!$B$2*Q611)</f>
        <v>24.85</v>
      </c>
      <c r="AL611" s="15">
        <f t="shared" si="149"/>
        <v>1</v>
      </c>
      <c r="AM611" s="8">
        <f>DATEDIF(Table1[[#This Row],[Country_FirstMonth]], Table1[[#This Row],[MonthDate]], "m")</f>
        <v>12</v>
      </c>
    </row>
    <row r="612" spans="1:39" x14ac:dyDescent="0.25">
      <c r="A612" t="s">
        <v>624</v>
      </c>
      <c r="B612" s="12">
        <v>45032</v>
      </c>
      <c r="C612" s="12">
        <f t="shared" si="135"/>
        <v>45039</v>
      </c>
      <c r="D612" s="2" t="str">
        <f>IF(Table1[[#This Row],[RequiredDate]]&lt;Table1[[#This Row],[OrderDate]],"Check","OK")</f>
        <v>OK</v>
      </c>
      <c r="E612" s="2">
        <v>45039</v>
      </c>
      <c r="F612" s="15">
        <f t="shared" si="136"/>
        <v>7</v>
      </c>
      <c r="G612" t="s">
        <v>648</v>
      </c>
      <c r="H612" t="s">
        <v>660</v>
      </c>
      <c r="I612" t="s">
        <v>697</v>
      </c>
      <c r="J612" t="s">
        <v>701</v>
      </c>
      <c r="K612" t="s">
        <v>710</v>
      </c>
      <c r="L612" t="s">
        <v>719</v>
      </c>
      <c r="M612" t="s">
        <v>728</v>
      </c>
      <c r="N612" t="s">
        <v>1342</v>
      </c>
      <c r="O612" s="29">
        <v>1099.1500000000001</v>
      </c>
      <c r="P612" t="str">
        <f>IF(Table1[[#This Row],[UnitPrice]]&lt;=0,"Check","OK")</f>
        <v>OK</v>
      </c>
      <c r="Q612" s="29">
        <f t="shared" si="137"/>
        <v>1431.37</v>
      </c>
      <c r="R612">
        <v>1431.37</v>
      </c>
      <c r="S612" s="5">
        <f>IF(Table1[[#This Row],[Discount_Flag]]="Check", MIN(MAX(Table1[[#This Row],[DiscountPct]],0),0.3), Table1[[#This Row],[DiscountPct]])</f>
        <v>0.104</v>
      </c>
      <c r="T612" t="str">
        <f>IF(OR(Table1[[#This Row],[DiscountPct]]&lt;0,Table1[[#This Row],[DiscountPct]]&gt;0.3),"Check","OK")</f>
        <v>OK</v>
      </c>
      <c r="U612" s="11">
        <v>0.104</v>
      </c>
      <c r="V612" s="15">
        <f t="shared" si="138"/>
        <v>0</v>
      </c>
      <c r="W612" s="11">
        <f t="shared" si="139"/>
        <v>0.14296798821109433</v>
      </c>
      <c r="X612" s="17">
        <f t="shared" si="140"/>
        <v>8793.2000000000007</v>
      </c>
      <c r="Y612" s="17">
        <f t="shared" si="141"/>
        <v>1466.8601599999984</v>
      </c>
      <c r="Z612" s="17">
        <f t="shared" si="142"/>
        <v>10260.060159999999</v>
      </c>
      <c r="AA612" s="17" t="str">
        <f t="shared" si="143"/>
        <v>Q2-2023</v>
      </c>
      <c r="AB612" s="12" t="str">
        <f t="shared" si="144"/>
        <v>Apr-2023</v>
      </c>
      <c r="AC612" s="12" t="str">
        <f t="shared" si="145"/>
        <v>Medium</v>
      </c>
      <c r="AD612">
        <v>8</v>
      </c>
      <c r="AE612" s="12">
        <f>_xlfn.MINIFS(Table1[MonthDate], Table1[Country], Table1[[#This Row],[Country]])</f>
        <v>44927</v>
      </c>
      <c r="AF612" s="12">
        <f t="shared" si="146"/>
        <v>45017</v>
      </c>
      <c r="AG612">
        <f>AD612*(1 + Scenario_Control!$B$4)</f>
        <v>8.8000000000000007</v>
      </c>
      <c r="AH612">
        <f>O612*(1 + Scenario_Control!$B$3)</f>
        <v>1154.1075000000001</v>
      </c>
      <c r="AI612">
        <f t="shared" si="147"/>
        <v>2257.2132352000003</v>
      </c>
      <c r="AJ612">
        <f t="shared" si="148"/>
        <v>-7898.9327647999999</v>
      </c>
      <c r="AK612" s="29">
        <f>MIN(Q612*(1-U612), Scenario_Control!$B$2*Q612)</f>
        <v>286.274</v>
      </c>
      <c r="AL612" s="15">
        <f t="shared" si="149"/>
        <v>1</v>
      </c>
      <c r="AM612" s="8">
        <f>DATEDIF(Table1[[#This Row],[Country_FirstMonth]], Table1[[#This Row],[MonthDate]], "m")</f>
        <v>3</v>
      </c>
    </row>
    <row r="613" spans="1:39" x14ac:dyDescent="0.25">
      <c r="A613" t="s">
        <v>625</v>
      </c>
      <c r="B613" s="12">
        <v>45323</v>
      </c>
      <c r="C613" s="12">
        <f t="shared" si="135"/>
        <v>45323</v>
      </c>
      <c r="D613" s="2" t="str">
        <f>IF(Table1[[#This Row],[RequiredDate]]&lt;Table1[[#This Row],[OrderDate]],"Check","OK")</f>
        <v>OK</v>
      </c>
      <c r="E613" s="2">
        <v>45323</v>
      </c>
      <c r="F613" s="15">
        <f t="shared" si="136"/>
        <v>0</v>
      </c>
      <c r="G613" t="s">
        <v>648</v>
      </c>
      <c r="H613" t="s">
        <v>660</v>
      </c>
      <c r="I613" t="s">
        <v>697</v>
      </c>
      <c r="J613" t="s">
        <v>704</v>
      </c>
      <c r="K613" t="s">
        <v>710</v>
      </c>
      <c r="L613" t="s">
        <v>722</v>
      </c>
      <c r="M613" t="s">
        <v>728</v>
      </c>
      <c r="N613" t="s">
        <v>1343</v>
      </c>
      <c r="O613" s="29">
        <v>714.43</v>
      </c>
      <c r="P613" t="str">
        <f>IF(Table1[[#This Row],[UnitPrice]]&lt;=0,"Check","OK")</f>
        <v>OK</v>
      </c>
      <c r="Q613" s="29">
        <f t="shared" si="137"/>
        <v>1595.52</v>
      </c>
      <c r="R613">
        <v>1595.52</v>
      </c>
      <c r="S613" s="5">
        <f>IF(Table1[[#This Row],[Discount_Flag]]="Check", MIN(MAX(Table1[[#This Row],[DiscountPct]],0),0.3), Table1[[#This Row],[DiscountPct]])</f>
        <v>0.19400000000000001</v>
      </c>
      <c r="T613" t="str">
        <f>IF(OR(Table1[[#This Row],[DiscountPct]]&lt;0,Table1[[#This Row],[DiscountPct]]&gt;0.3),"Check","OK")</f>
        <v>OK</v>
      </c>
      <c r="U613" s="11">
        <v>0.19400000000000001</v>
      </c>
      <c r="V613" s="15">
        <f t="shared" si="138"/>
        <v>0</v>
      </c>
      <c r="W613" s="11">
        <f t="shared" si="139"/>
        <v>0.44445097638151093</v>
      </c>
      <c r="X613" s="17">
        <f t="shared" si="140"/>
        <v>10002.019999999999</v>
      </c>
      <c r="Y613" s="17">
        <f t="shared" si="141"/>
        <v>8001.8276800000003</v>
      </c>
      <c r="Z613" s="17">
        <f t="shared" si="142"/>
        <v>18003.847679999999</v>
      </c>
      <c r="AA613" s="17" t="str">
        <f t="shared" si="143"/>
        <v>Q1-2024</v>
      </c>
      <c r="AB613" s="12" t="str">
        <f t="shared" si="144"/>
        <v>Feb-2024</v>
      </c>
      <c r="AC613" s="12" t="str">
        <f t="shared" si="145"/>
        <v>Medium</v>
      </c>
      <c r="AD613">
        <v>14</v>
      </c>
      <c r="AE613" s="12">
        <f>_xlfn.MINIFS(Table1[MonthDate], Table1[Country], Table1[[#This Row],[Country]])</f>
        <v>44927</v>
      </c>
      <c r="AF613" s="12">
        <f t="shared" si="146"/>
        <v>45323</v>
      </c>
      <c r="AG613">
        <f>AD613*(1 + Scenario_Control!$B$4)</f>
        <v>15.400000000000002</v>
      </c>
      <c r="AH613">
        <f>O613*(1 + Scenario_Control!$B$3)</f>
        <v>750.15149999999994</v>
      </c>
      <c r="AI613">
        <f t="shared" si="147"/>
        <v>3960.8464896000014</v>
      </c>
      <c r="AJ613">
        <f t="shared" si="148"/>
        <v>-7591.4866103999984</v>
      </c>
      <c r="AK613" s="29">
        <f>MIN(Q613*(1-U613), Scenario_Control!$B$2*Q613)</f>
        <v>319.10400000000004</v>
      </c>
      <c r="AL613" s="15">
        <f t="shared" si="149"/>
        <v>1</v>
      </c>
      <c r="AM613" s="8">
        <f>DATEDIF(Table1[[#This Row],[Country_FirstMonth]], Table1[[#This Row],[MonthDate]], "m")</f>
        <v>13</v>
      </c>
    </row>
    <row r="614" spans="1:39" x14ac:dyDescent="0.25">
      <c r="A614" t="s">
        <v>626</v>
      </c>
      <c r="B614" s="12">
        <v>45584</v>
      </c>
      <c r="C614" s="12">
        <f t="shared" si="135"/>
        <v>45602</v>
      </c>
      <c r="D614" s="2" t="str">
        <f>IF(Table1[[#This Row],[RequiredDate]]&lt;Table1[[#This Row],[OrderDate]],"Check","OK")</f>
        <v>OK</v>
      </c>
      <c r="E614" s="2">
        <v>45602</v>
      </c>
      <c r="F614" s="15">
        <f t="shared" si="136"/>
        <v>18</v>
      </c>
      <c r="G614" t="s">
        <v>648</v>
      </c>
      <c r="H614" t="s">
        <v>660</v>
      </c>
      <c r="I614" t="s">
        <v>677</v>
      </c>
      <c r="J614" t="s">
        <v>702</v>
      </c>
      <c r="K614" t="s">
        <v>1428</v>
      </c>
      <c r="L614" t="s">
        <v>712</v>
      </c>
      <c r="M614" t="s">
        <v>732</v>
      </c>
      <c r="N614" t="s">
        <v>1344</v>
      </c>
      <c r="O614" s="29">
        <v>942.02</v>
      </c>
      <c r="P614" t="str">
        <f>IF(Table1[[#This Row],[UnitPrice]]&lt;=0,"Check","OK")</f>
        <v>OK</v>
      </c>
      <c r="Q614" s="29">
        <f t="shared" si="137"/>
        <v>1028.46</v>
      </c>
      <c r="R614">
        <v>1028.46</v>
      </c>
      <c r="S614" s="5">
        <f>IF(Table1[[#This Row],[Discount_Flag]]="Check", MIN(MAX(Table1[[#This Row],[DiscountPct]],0),0.3), Table1[[#This Row],[DiscountPct]])</f>
        <v>0</v>
      </c>
      <c r="T614" t="str">
        <f>IF(OR(Table1[[#This Row],[DiscountPct]]&lt;0,Table1[[#This Row],[DiscountPct]]&gt;0.3),"Check","OK")</f>
        <v>OK</v>
      </c>
      <c r="U614" s="11">
        <v>0</v>
      </c>
      <c r="V614" s="15">
        <f t="shared" si="138"/>
        <v>0</v>
      </c>
      <c r="W614" s="11">
        <f t="shared" si="139"/>
        <v>8.4047994088248354E-2</v>
      </c>
      <c r="X614" s="17">
        <f t="shared" si="140"/>
        <v>8478.18</v>
      </c>
      <c r="Y614" s="17">
        <f t="shared" si="141"/>
        <v>777.95999999999913</v>
      </c>
      <c r="Z614" s="17">
        <f t="shared" si="142"/>
        <v>9256.14</v>
      </c>
      <c r="AA614" s="17" t="str">
        <f t="shared" si="143"/>
        <v>Q4-2024</v>
      </c>
      <c r="AB614" s="12" t="str">
        <f t="shared" si="144"/>
        <v>Oct-2024</v>
      </c>
      <c r="AC614" s="12" t="str">
        <f t="shared" si="145"/>
        <v>Medium</v>
      </c>
      <c r="AD614">
        <v>9</v>
      </c>
      <c r="AE614" s="12">
        <f>_xlfn.MINIFS(Table1[MonthDate], Table1[Country], Table1[[#This Row],[Country]])</f>
        <v>44927</v>
      </c>
      <c r="AF614" s="12">
        <f t="shared" si="146"/>
        <v>45566</v>
      </c>
      <c r="AG614">
        <f>AD614*(1 + Scenario_Control!$B$4)</f>
        <v>9.9</v>
      </c>
      <c r="AH614">
        <f>O614*(1 + Scenario_Control!$B$3)</f>
        <v>989.12099999999998</v>
      </c>
      <c r="AI614">
        <f t="shared" si="147"/>
        <v>2036.3508000000002</v>
      </c>
      <c r="AJ614">
        <f t="shared" si="148"/>
        <v>-7755.9470999999994</v>
      </c>
      <c r="AK614" s="29">
        <f>MIN(Q614*(1-U614), Scenario_Control!$B$2*Q614)</f>
        <v>205.69200000000001</v>
      </c>
      <c r="AL614" s="15">
        <f t="shared" si="149"/>
        <v>0</v>
      </c>
      <c r="AM614" s="8">
        <f>DATEDIF(Table1[[#This Row],[Country_FirstMonth]], Table1[[#This Row],[MonthDate]], "m")</f>
        <v>21</v>
      </c>
    </row>
    <row r="615" spans="1:39" x14ac:dyDescent="0.25">
      <c r="A615" t="s">
        <v>627</v>
      </c>
      <c r="B615" s="12">
        <v>45468</v>
      </c>
      <c r="C615" s="12">
        <f t="shared" si="135"/>
        <v>45473</v>
      </c>
      <c r="D615" s="2" t="str">
        <f>IF(Table1[[#This Row],[RequiredDate]]&lt;Table1[[#This Row],[OrderDate]],"Check","OK")</f>
        <v>OK</v>
      </c>
      <c r="E615" s="2">
        <v>45473</v>
      </c>
      <c r="F615" s="15">
        <f t="shared" si="136"/>
        <v>5</v>
      </c>
      <c r="G615" t="s">
        <v>646</v>
      </c>
      <c r="H615" t="s">
        <v>650</v>
      </c>
      <c r="I615" t="s">
        <v>662</v>
      </c>
      <c r="J615" t="s">
        <v>702</v>
      </c>
      <c r="K615" t="s">
        <v>711</v>
      </c>
      <c r="L615" t="s">
        <v>724</v>
      </c>
      <c r="M615" t="s">
        <v>729</v>
      </c>
      <c r="N615" t="s">
        <v>1345</v>
      </c>
      <c r="O615" s="29">
        <v>1323.55</v>
      </c>
      <c r="P615" t="str">
        <f>IF(Table1[[#This Row],[UnitPrice]]&lt;=0,"Check","OK")</f>
        <v>OK</v>
      </c>
      <c r="Q615" s="29">
        <f t="shared" si="137"/>
        <v>3230.35</v>
      </c>
      <c r="R615">
        <v>3230.35</v>
      </c>
      <c r="S615" s="5">
        <f>IF(Table1[[#This Row],[Discount_Flag]]="Check", MIN(MAX(Table1[[#This Row],[DiscountPct]],0),0.3), Table1[[#This Row],[DiscountPct]])</f>
        <v>2.1999999999999999E-2</v>
      </c>
      <c r="T615" t="str">
        <f>IF(OR(Table1[[#This Row],[DiscountPct]]&lt;0,Table1[[#This Row],[DiscountPct]]&gt;0.3),"Check","OK")</f>
        <v>OK</v>
      </c>
      <c r="U615" s="11">
        <v>2.1999999999999999E-2</v>
      </c>
      <c r="V615" s="15">
        <f t="shared" si="138"/>
        <v>0</v>
      </c>
      <c r="W615" s="11">
        <f t="shared" si="139"/>
        <v>0.58105991351263542</v>
      </c>
      <c r="X615" s="17">
        <f t="shared" si="140"/>
        <v>34412.299999999996</v>
      </c>
      <c r="Y615" s="17">
        <f t="shared" si="141"/>
        <v>47729.039799999991</v>
      </c>
      <c r="Z615" s="17">
        <f t="shared" si="142"/>
        <v>82141.339799999987</v>
      </c>
      <c r="AA615" s="17" t="str">
        <f t="shared" si="143"/>
        <v>Q2-2024</v>
      </c>
      <c r="AB615" s="12" t="str">
        <f t="shared" si="144"/>
        <v>Jun-2024</v>
      </c>
      <c r="AC615" s="12" t="str">
        <f t="shared" si="145"/>
        <v>High</v>
      </c>
      <c r="AD615">
        <v>26</v>
      </c>
      <c r="AE615" s="12">
        <f>_xlfn.MINIFS(Table1[MonthDate], Table1[Country], Table1[[#This Row],[Country]])</f>
        <v>44927</v>
      </c>
      <c r="AF615" s="12">
        <f t="shared" si="146"/>
        <v>45444</v>
      </c>
      <c r="AG615">
        <f>AD615*(1 + Scenario_Control!$B$4)</f>
        <v>28.6</v>
      </c>
      <c r="AH615">
        <f>O615*(1 + Scenario_Control!$B$3)</f>
        <v>1389.7275</v>
      </c>
      <c r="AI615">
        <f t="shared" si="147"/>
        <v>18071.094756000002</v>
      </c>
      <c r="AJ615">
        <f t="shared" si="148"/>
        <v>-21675.111743999998</v>
      </c>
      <c r="AK615" s="29">
        <f>MIN(Q615*(1-U615), Scenario_Control!$B$2*Q615)</f>
        <v>646.07000000000005</v>
      </c>
      <c r="AL615" s="15">
        <f t="shared" si="149"/>
        <v>1</v>
      </c>
      <c r="AM615" s="8">
        <f>DATEDIF(Table1[[#This Row],[Country_FirstMonth]], Table1[[#This Row],[MonthDate]], "m")</f>
        <v>17</v>
      </c>
    </row>
    <row r="616" spans="1:39" x14ac:dyDescent="0.25">
      <c r="A616" t="s">
        <v>628</v>
      </c>
      <c r="B616" s="12">
        <v>45137</v>
      </c>
      <c r="C616" s="12">
        <f t="shared" si="135"/>
        <v>45157</v>
      </c>
      <c r="D616" s="2" t="str">
        <f>IF(Table1[[#This Row],[RequiredDate]]&lt;Table1[[#This Row],[OrderDate]],"Check","OK")</f>
        <v>OK</v>
      </c>
      <c r="E616" s="2">
        <v>45157</v>
      </c>
      <c r="F616" s="15">
        <f t="shared" si="136"/>
        <v>20</v>
      </c>
      <c r="G616" t="s">
        <v>649</v>
      </c>
      <c r="H616" t="s">
        <v>657</v>
      </c>
      <c r="I616" t="s">
        <v>690</v>
      </c>
      <c r="J616" t="s">
        <v>706</v>
      </c>
      <c r="K616" t="s">
        <v>709</v>
      </c>
      <c r="L616" t="s">
        <v>715</v>
      </c>
      <c r="M616" t="s">
        <v>729</v>
      </c>
      <c r="N616" t="s">
        <v>1346</v>
      </c>
      <c r="O616" s="29">
        <v>1418.51</v>
      </c>
      <c r="P616" t="str">
        <f>IF(Table1[[#This Row],[UnitPrice]]&lt;=0,"Check","OK")</f>
        <v>OK</v>
      </c>
      <c r="Q616" s="29">
        <f t="shared" si="137"/>
        <v>2789.61</v>
      </c>
      <c r="R616">
        <v>2789.61</v>
      </c>
      <c r="S616" s="5">
        <f>IF(Table1[[#This Row],[Discount_Flag]]="Check", MIN(MAX(Table1[[#This Row],[DiscountPct]],0),0.3), Table1[[#This Row],[DiscountPct]])</f>
        <v>0.17100000000000001</v>
      </c>
      <c r="T616" t="str">
        <f>IF(OR(Table1[[#This Row],[DiscountPct]]&lt;0,Table1[[#This Row],[DiscountPct]]&gt;0.3),"Check","OK")</f>
        <v>OK</v>
      </c>
      <c r="U616" s="11">
        <v>0.17100000000000001</v>
      </c>
      <c r="V616" s="15">
        <f t="shared" si="138"/>
        <v>0</v>
      </c>
      <c r="W616" s="11">
        <f t="shared" si="139"/>
        <v>0.38661326464695689</v>
      </c>
      <c r="X616" s="17">
        <f t="shared" si="140"/>
        <v>11348.08</v>
      </c>
      <c r="Y616" s="17">
        <f t="shared" si="141"/>
        <v>7152.6135200000008</v>
      </c>
      <c r="Z616" s="17">
        <f t="shared" si="142"/>
        <v>18500.693520000001</v>
      </c>
      <c r="AA616" s="17" t="str">
        <f t="shared" si="143"/>
        <v>Q3-2023</v>
      </c>
      <c r="AB616" s="12" t="str">
        <f t="shared" si="144"/>
        <v>Jul-2023</v>
      </c>
      <c r="AC616" s="12" t="str">
        <f t="shared" si="145"/>
        <v>High</v>
      </c>
      <c r="AD616">
        <v>8</v>
      </c>
      <c r="AE616" s="12">
        <f>_xlfn.MINIFS(Table1[MonthDate], Table1[Country], Table1[[#This Row],[Country]])</f>
        <v>44927</v>
      </c>
      <c r="AF616" s="12">
        <f t="shared" si="146"/>
        <v>45108</v>
      </c>
      <c r="AG616">
        <f>AD616*(1 + Scenario_Control!$B$4)</f>
        <v>8.8000000000000007</v>
      </c>
      <c r="AH616">
        <f>O616*(1 + Scenario_Control!$B$3)</f>
        <v>1489.4355</v>
      </c>
      <c r="AI616">
        <f t="shared" si="147"/>
        <v>4070.1525744000005</v>
      </c>
      <c r="AJ616">
        <f t="shared" si="148"/>
        <v>-9036.8798256000009</v>
      </c>
      <c r="AK616" s="29">
        <f>MIN(Q616*(1-U616), Scenario_Control!$B$2*Q616)</f>
        <v>557.92200000000003</v>
      </c>
      <c r="AL616" s="15">
        <f t="shared" si="149"/>
        <v>0</v>
      </c>
      <c r="AM616" s="8">
        <f>DATEDIF(Table1[[#This Row],[Country_FirstMonth]], Table1[[#This Row],[MonthDate]], "m")</f>
        <v>6</v>
      </c>
    </row>
    <row r="617" spans="1:39" x14ac:dyDescent="0.25">
      <c r="A617" t="s">
        <v>629</v>
      </c>
      <c r="B617" s="12">
        <v>45727</v>
      </c>
      <c r="C617" s="12">
        <f t="shared" si="135"/>
        <v>45743</v>
      </c>
      <c r="D617" s="2" t="str">
        <f>IF(Table1[[#This Row],[RequiredDate]]&lt;Table1[[#This Row],[OrderDate]],"Check","OK")</f>
        <v>OK</v>
      </c>
      <c r="E617" s="2">
        <v>45743</v>
      </c>
      <c r="F617" s="15">
        <f t="shared" si="136"/>
        <v>16</v>
      </c>
      <c r="G617" t="s">
        <v>647</v>
      </c>
      <c r="H617" t="s">
        <v>652</v>
      </c>
      <c r="I617" t="s">
        <v>689</v>
      </c>
      <c r="J617" t="s">
        <v>706</v>
      </c>
      <c r="K617" t="s">
        <v>710</v>
      </c>
      <c r="L617" t="s">
        <v>717</v>
      </c>
      <c r="M617" t="s">
        <v>728</v>
      </c>
      <c r="N617" t="s">
        <v>1347</v>
      </c>
      <c r="O617" s="29">
        <v>1317.58</v>
      </c>
      <c r="P617" t="str">
        <f>IF(Table1[[#This Row],[UnitPrice]]&lt;=0,"Check","OK")</f>
        <v>OK</v>
      </c>
      <c r="Q617" s="29">
        <f t="shared" si="137"/>
        <v>1897.74</v>
      </c>
      <c r="R617">
        <v>1897.74</v>
      </c>
      <c r="S617" s="5">
        <f>IF(Table1[[#This Row],[Discount_Flag]]="Check", MIN(MAX(Table1[[#This Row],[DiscountPct]],0),0.3), Table1[[#This Row],[DiscountPct]])</f>
        <v>8.1000000000000003E-2</v>
      </c>
      <c r="T617" t="str">
        <f>IF(OR(Table1[[#This Row],[DiscountPct]]&lt;0,Table1[[#This Row],[DiscountPct]]&gt;0.3),"Check","OK")</f>
        <v>OK</v>
      </c>
      <c r="U617" s="11">
        <v>8.1000000000000003E-2</v>
      </c>
      <c r="V617" s="15">
        <f t="shared" si="138"/>
        <v>0</v>
      </c>
      <c r="W617" s="11">
        <f t="shared" si="139"/>
        <v>0.24451687009230266</v>
      </c>
      <c r="X617" s="17">
        <f t="shared" si="140"/>
        <v>7905.48</v>
      </c>
      <c r="Y617" s="17">
        <f t="shared" si="141"/>
        <v>2558.6583600000013</v>
      </c>
      <c r="Z617" s="17">
        <f t="shared" si="142"/>
        <v>10464.138360000001</v>
      </c>
      <c r="AA617" s="17" t="str">
        <f t="shared" si="143"/>
        <v>Q1-2025</v>
      </c>
      <c r="AB617" s="12" t="str">
        <f t="shared" si="144"/>
        <v>Mar-2025</v>
      </c>
      <c r="AC617" s="12" t="str">
        <f t="shared" si="145"/>
        <v>Medium</v>
      </c>
      <c r="AD617">
        <v>6</v>
      </c>
      <c r="AE617" s="12">
        <f>_xlfn.MINIFS(Table1[MonthDate], Table1[Country], Table1[[#This Row],[Country]])</f>
        <v>44986</v>
      </c>
      <c r="AF617" s="12">
        <f t="shared" si="146"/>
        <v>45717</v>
      </c>
      <c r="AG617">
        <f>AD617*(1 + Scenario_Control!$B$4)</f>
        <v>6.6000000000000005</v>
      </c>
      <c r="AH617">
        <f>O617*(1 + Scenario_Control!$B$3)</f>
        <v>1383.4590000000001</v>
      </c>
      <c r="AI617">
        <f t="shared" si="147"/>
        <v>2302.1104392000002</v>
      </c>
      <c r="AJ617">
        <f t="shared" si="148"/>
        <v>-6828.7189608000008</v>
      </c>
      <c r="AK617" s="29">
        <f>MIN(Q617*(1-U617), Scenario_Control!$B$2*Q617)</f>
        <v>379.548</v>
      </c>
      <c r="AL617" s="15">
        <f t="shared" si="149"/>
        <v>0</v>
      </c>
      <c r="AM617" s="8">
        <f>DATEDIF(Table1[[#This Row],[Country_FirstMonth]], Table1[[#This Row],[MonthDate]], "m")</f>
        <v>24</v>
      </c>
    </row>
    <row r="618" spans="1:39" x14ac:dyDescent="0.25">
      <c r="A618" t="s">
        <v>630</v>
      </c>
      <c r="B618" s="12">
        <v>45208</v>
      </c>
      <c r="C618" s="12">
        <f t="shared" si="135"/>
        <v>45210</v>
      </c>
      <c r="D618" s="2" t="str">
        <f>IF(Table1[[#This Row],[RequiredDate]]&lt;Table1[[#This Row],[OrderDate]],"Check","OK")</f>
        <v>OK</v>
      </c>
      <c r="E618" s="2">
        <v>45210</v>
      </c>
      <c r="F618" s="15">
        <f t="shared" si="136"/>
        <v>2</v>
      </c>
      <c r="G618" t="s">
        <v>646</v>
      </c>
      <c r="H618" t="s">
        <v>651</v>
      </c>
      <c r="I618" t="s">
        <v>663</v>
      </c>
      <c r="J618" t="s">
        <v>702</v>
      </c>
      <c r="K618" t="s">
        <v>709</v>
      </c>
      <c r="L618" t="s">
        <v>723</v>
      </c>
      <c r="M618" t="s">
        <v>729</v>
      </c>
      <c r="N618" t="s">
        <v>1348</v>
      </c>
      <c r="O618" s="29">
        <v>391.16</v>
      </c>
      <c r="P618" t="str">
        <f>IF(Table1[[#This Row],[UnitPrice]]&lt;=0,"Check","OK")</f>
        <v>OK</v>
      </c>
      <c r="Q618" s="29">
        <f t="shared" si="137"/>
        <v>902.47</v>
      </c>
      <c r="R618">
        <v>902.47</v>
      </c>
      <c r="S618" s="5">
        <f>IF(Table1[[#This Row],[Discount_Flag]]="Check", MIN(MAX(Table1[[#This Row],[DiscountPct]],0),0.3), Table1[[#This Row],[DiscountPct]])</f>
        <v>4.0000000000000001E-3</v>
      </c>
      <c r="T618" t="str">
        <f>IF(OR(Table1[[#This Row],[DiscountPct]]&lt;0,Table1[[#This Row],[DiscountPct]]&gt;0.3),"Check","OK")</f>
        <v>OK</v>
      </c>
      <c r="U618" s="11">
        <v>4.0000000000000001E-3</v>
      </c>
      <c r="V618" s="15">
        <f t="shared" si="138"/>
        <v>0</v>
      </c>
      <c r="W618" s="11">
        <f t="shared" si="139"/>
        <v>0.56482661618139207</v>
      </c>
      <c r="X618" s="17">
        <f t="shared" si="140"/>
        <v>4693.92</v>
      </c>
      <c r="Y618" s="17">
        <f t="shared" si="141"/>
        <v>6092.4014399999996</v>
      </c>
      <c r="Z618" s="17">
        <f t="shared" si="142"/>
        <v>10786.32144</v>
      </c>
      <c r="AA618" s="17" t="str">
        <f t="shared" si="143"/>
        <v>Q4-2023</v>
      </c>
      <c r="AB618" s="12" t="str">
        <f t="shared" si="144"/>
        <v>Oct-2023</v>
      </c>
      <c r="AC618" s="12" t="str">
        <f t="shared" si="145"/>
        <v>Medium</v>
      </c>
      <c r="AD618">
        <v>12</v>
      </c>
      <c r="AE618" s="12">
        <f>_xlfn.MINIFS(Table1[MonthDate], Table1[Country], Table1[[#This Row],[Country]])</f>
        <v>44927</v>
      </c>
      <c r="AF618" s="12">
        <f t="shared" si="146"/>
        <v>45200</v>
      </c>
      <c r="AG618">
        <f>AD618*(1 + Scenario_Control!$B$4)</f>
        <v>13.200000000000001</v>
      </c>
      <c r="AH618">
        <f>O618*(1 + Scenario_Control!$B$3)</f>
        <v>410.71800000000002</v>
      </c>
      <c r="AI618">
        <f t="shared" si="147"/>
        <v>2372.9907168000009</v>
      </c>
      <c r="AJ618">
        <f t="shared" si="148"/>
        <v>-3048.4868832000002</v>
      </c>
      <c r="AK618" s="29">
        <f>MIN(Q618*(1-U618), Scenario_Control!$B$2*Q618)</f>
        <v>180.49400000000003</v>
      </c>
      <c r="AL618" s="15">
        <f t="shared" si="149"/>
        <v>1</v>
      </c>
      <c r="AM618" s="8">
        <f>DATEDIF(Table1[[#This Row],[Country_FirstMonth]], Table1[[#This Row],[MonthDate]], "m")</f>
        <v>9</v>
      </c>
    </row>
    <row r="619" spans="1:39" x14ac:dyDescent="0.25">
      <c r="A619" t="s">
        <v>631</v>
      </c>
      <c r="B619" s="12">
        <v>45643</v>
      </c>
      <c r="C619" s="12">
        <f t="shared" si="135"/>
        <v>45673</v>
      </c>
      <c r="D619" s="2" t="str">
        <f>IF(Table1[[#This Row],[RequiredDate]]&lt;Table1[[#This Row],[OrderDate]],"Check","OK")</f>
        <v>OK</v>
      </c>
      <c r="E619" s="2">
        <v>45673</v>
      </c>
      <c r="F619" s="15">
        <f t="shared" si="136"/>
        <v>30</v>
      </c>
      <c r="G619" t="s">
        <v>649</v>
      </c>
      <c r="H619" t="s">
        <v>658</v>
      </c>
      <c r="I619" t="s">
        <v>693</v>
      </c>
      <c r="J619" t="s">
        <v>701</v>
      </c>
      <c r="K619" t="s">
        <v>707</v>
      </c>
      <c r="L619" t="s">
        <v>726</v>
      </c>
      <c r="M619" t="s">
        <v>732</v>
      </c>
      <c r="N619" t="s">
        <v>1349</v>
      </c>
      <c r="O619" s="29">
        <v>722.87</v>
      </c>
      <c r="P619" t="str">
        <f>IF(Table1[[#This Row],[UnitPrice]]&lt;=0,"Check","OK")</f>
        <v>Check</v>
      </c>
      <c r="Q619" s="29">
        <f t="shared" si="137"/>
        <v>0</v>
      </c>
      <c r="R619">
        <v>-33.659999999999997</v>
      </c>
      <c r="S619" s="5">
        <f>IF(Table1[[#This Row],[Discount_Flag]]="Check", MIN(MAX(Table1[[#This Row],[DiscountPct]],0),0.3), Table1[[#This Row],[DiscountPct]])</f>
        <v>0.10199999999999999</v>
      </c>
      <c r="T619" t="str">
        <f>IF(OR(Table1[[#This Row],[DiscountPct]]&lt;0,Table1[[#This Row],[DiscountPct]]&gt;0.3),"Check","OK")</f>
        <v>OK</v>
      </c>
      <c r="U619" s="11">
        <v>0.10199999999999999</v>
      </c>
      <c r="V619" s="15">
        <f t="shared" si="138"/>
        <v>0</v>
      </c>
      <c r="W619" s="11">
        <f t="shared" si="139"/>
        <v>0</v>
      </c>
      <c r="X619" s="17">
        <f t="shared" si="140"/>
        <v>20240.36</v>
      </c>
      <c r="Y619" s="17">
        <f t="shared" si="141"/>
        <v>-20240.36</v>
      </c>
      <c r="Z619" s="17">
        <f t="shared" si="142"/>
        <v>0</v>
      </c>
      <c r="AA619" s="17" t="str">
        <f t="shared" si="143"/>
        <v>Q4-2024</v>
      </c>
      <c r="AB619" s="12" t="str">
        <f t="shared" si="144"/>
        <v>Dec-2024</v>
      </c>
      <c r="AC619" s="12" t="str">
        <f t="shared" si="145"/>
        <v>Low</v>
      </c>
      <c r="AD619">
        <v>28</v>
      </c>
      <c r="AE619" s="12">
        <f>_xlfn.MINIFS(Table1[MonthDate], Table1[Country], Table1[[#This Row],[Country]])</f>
        <v>44927</v>
      </c>
      <c r="AF619" s="12">
        <f t="shared" si="146"/>
        <v>45627</v>
      </c>
      <c r="AG619">
        <f>AD619*(1 + Scenario_Control!$B$4)</f>
        <v>30.800000000000004</v>
      </c>
      <c r="AH619">
        <f>O619*(1 + Scenario_Control!$B$3)</f>
        <v>759.01350000000002</v>
      </c>
      <c r="AI619">
        <f t="shared" si="147"/>
        <v>0</v>
      </c>
      <c r="AJ619">
        <f t="shared" si="148"/>
        <v>-23377.615800000003</v>
      </c>
      <c r="AK619" s="29">
        <f>MIN(Q619*(1-U619), Scenario_Control!$B$2*Q619)</f>
        <v>0</v>
      </c>
      <c r="AL619" s="15">
        <f t="shared" si="149"/>
        <v>0</v>
      </c>
      <c r="AM619" s="8">
        <f>DATEDIF(Table1[[#This Row],[Country_FirstMonth]], Table1[[#This Row],[MonthDate]], "m")</f>
        <v>23</v>
      </c>
    </row>
    <row r="620" spans="1:39" x14ac:dyDescent="0.25">
      <c r="A620" t="s">
        <v>632</v>
      </c>
      <c r="B620" s="12">
        <v>45849</v>
      </c>
      <c r="C620" s="12">
        <f t="shared" si="135"/>
        <v>45854</v>
      </c>
      <c r="D620" s="2" t="str">
        <f>IF(Table1[[#This Row],[RequiredDate]]&lt;Table1[[#This Row],[OrderDate]],"Check","OK")</f>
        <v>OK</v>
      </c>
      <c r="E620" s="2">
        <v>45854</v>
      </c>
      <c r="F620" s="15">
        <f t="shared" si="136"/>
        <v>5</v>
      </c>
      <c r="G620" t="s">
        <v>649</v>
      </c>
      <c r="H620" t="s">
        <v>658</v>
      </c>
      <c r="I620" t="s">
        <v>683</v>
      </c>
      <c r="J620" t="s">
        <v>706</v>
      </c>
      <c r="K620" t="s">
        <v>708</v>
      </c>
      <c r="L620" t="s">
        <v>723</v>
      </c>
      <c r="M620" t="s">
        <v>728</v>
      </c>
      <c r="N620" t="s">
        <v>1350</v>
      </c>
      <c r="O620" s="29">
        <v>930.03</v>
      </c>
      <c r="P620" t="str">
        <f>IF(Table1[[#This Row],[UnitPrice]]&lt;=0,"Check","OK")</f>
        <v>OK</v>
      </c>
      <c r="Q620" s="29">
        <f t="shared" si="137"/>
        <v>1086.68</v>
      </c>
      <c r="R620">
        <v>1086.68</v>
      </c>
      <c r="S620" s="5">
        <f>IF(Table1[[#This Row],[Discount_Flag]]="Check", MIN(MAX(Table1[[#This Row],[DiscountPct]],0),0.3), Table1[[#This Row],[DiscountPct]])</f>
        <v>0.109</v>
      </c>
      <c r="T620" t="str">
        <f>IF(OR(Table1[[#This Row],[DiscountPct]]&lt;0,Table1[[#This Row],[DiscountPct]]&gt;0.3),"Check","OK")</f>
        <v>OK</v>
      </c>
      <c r="U620" s="11">
        <v>0.109</v>
      </c>
      <c r="V620" s="15">
        <f t="shared" si="138"/>
        <v>0</v>
      </c>
      <c r="W620" s="11">
        <f t="shared" si="139"/>
        <v>3.9455300728168656E-2</v>
      </c>
      <c r="X620" s="17">
        <f t="shared" si="140"/>
        <v>24180.78</v>
      </c>
      <c r="Y620" s="17">
        <f t="shared" si="141"/>
        <v>993.24888000000283</v>
      </c>
      <c r="Z620" s="17">
        <f t="shared" si="142"/>
        <v>25174.028880000002</v>
      </c>
      <c r="AA620" s="17" t="str">
        <f t="shared" si="143"/>
        <v>Q3-2025</v>
      </c>
      <c r="AB620" s="12" t="str">
        <f t="shared" si="144"/>
        <v>Jul-2025</v>
      </c>
      <c r="AC620" s="12" t="str">
        <f t="shared" si="145"/>
        <v>Medium</v>
      </c>
      <c r="AD620">
        <v>26</v>
      </c>
      <c r="AE620" s="12">
        <f>_xlfn.MINIFS(Table1[MonthDate], Table1[Country], Table1[[#This Row],[Country]])</f>
        <v>44927</v>
      </c>
      <c r="AF620" s="12">
        <f t="shared" si="146"/>
        <v>45839</v>
      </c>
      <c r="AG620">
        <f>AD620*(1 + Scenario_Control!$B$4)</f>
        <v>28.6</v>
      </c>
      <c r="AH620">
        <f>O620*(1 + Scenario_Control!$B$3)</f>
        <v>976.53150000000005</v>
      </c>
      <c r="AI620">
        <f t="shared" si="147"/>
        <v>5538.2863536000004</v>
      </c>
      <c r="AJ620">
        <f t="shared" si="148"/>
        <v>-22390.514546400002</v>
      </c>
      <c r="AK620" s="29">
        <f>MIN(Q620*(1-U620), Scenario_Control!$B$2*Q620)</f>
        <v>217.33600000000001</v>
      </c>
      <c r="AL620" s="15">
        <f t="shared" si="149"/>
        <v>1</v>
      </c>
      <c r="AM620" s="8">
        <f>DATEDIF(Table1[[#This Row],[Country_FirstMonth]], Table1[[#This Row],[MonthDate]], "m")</f>
        <v>30</v>
      </c>
    </row>
    <row r="621" spans="1:39" x14ac:dyDescent="0.25">
      <c r="A621" t="s">
        <v>633</v>
      </c>
      <c r="B621" s="12">
        <v>45578</v>
      </c>
      <c r="C621" s="12">
        <f t="shared" si="135"/>
        <v>45589</v>
      </c>
      <c r="D621" s="2" t="str">
        <f>IF(Table1[[#This Row],[RequiredDate]]&lt;Table1[[#This Row],[OrderDate]],"Check","OK")</f>
        <v>OK</v>
      </c>
      <c r="E621" s="2">
        <v>45589</v>
      </c>
      <c r="F621" s="15">
        <f t="shared" si="136"/>
        <v>11</v>
      </c>
      <c r="G621" t="s">
        <v>649</v>
      </c>
      <c r="H621" t="s">
        <v>657</v>
      </c>
      <c r="I621" t="s">
        <v>690</v>
      </c>
      <c r="J621" t="s">
        <v>702</v>
      </c>
      <c r="K621" t="s">
        <v>710</v>
      </c>
      <c r="L621" t="s">
        <v>721</v>
      </c>
      <c r="M621" t="s">
        <v>727</v>
      </c>
      <c r="N621" t="s">
        <v>1351</v>
      </c>
      <c r="O621" s="29">
        <v>816.7</v>
      </c>
      <c r="P621" t="str">
        <f>IF(Table1[[#This Row],[UnitPrice]]&lt;=0,"Check","OK")</f>
        <v>OK</v>
      </c>
      <c r="Q621" s="29">
        <f t="shared" si="137"/>
        <v>1010.75</v>
      </c>
      <c r="R621">
        <v>1010.75</v>
      </c>
      <c r="S621" s="5">
        <f>IF(Table1[[#This Row],[Discount_Flag]]="Check", MIN(MAX(Table1[[#This Row],[DiscountPct]],0),0.3), Table1[[#This Row],[DiscountPct]])</f>
        <v>4.7E-2</v>
      </c>
      <c r="T621" t="str">
        <f>IF(OR(Table1[[#This Row],[DiscountPct]]&lt;0,Table1[[#This Row],[DiscountPct]]&gt;0.3),"Check","OK")</f>
        <v>OK</v>
      </c>
      <c r="U621" s="11">
        <v>4.7E-2</v>
      </c>
      <c r="V621" s="15">
        <f t="shared" si="138"/>
        <v>0</v>
      </c>
      <c r="W621" s="11">
        <f t="shared" si="139"/>
        <v>0.15213656757537472</v>
      </c>
      <c r="X621" s="17">
        <f t="shared" si="140"/>
        <v>35118.1</v>
      </c>
      <c r="Y621" s="17">
        <f t="shared" si="141"/>
        <v>6301.4242499999964</v>
      </c>
      <c r="Z621" s="17">
        <f t="shared" si="142"/>
        <v>41419.524249999995</v>
      </c>
      <c r="AA621" s="17" t="str">
        <f t="shared" si="143"/>
        <v>Q4-2024</v>
      </c>
      <c r="AB621" s="12" t="str">
        <f t="shared" si="144"/>
        <v>Oct-2024</v>
      </c>
      <c r="AC621" s="12" t="str">
        <f t="shared" si="145"/>
        <v>Medium</v>
      </c>
      <c r="AD621">
        <v>43</v>
      </c>
      <c r="AE621" s="12">
        <f>_xlfn.MINIFS(Table1[MonthDate], Table1[Country], Table1[[#This Row],[Country]])</f>
        <v>44927</v>
      </c>
      <c r="AF621" s="12">
        <f t="shared" si="146"/>
        <v>45566</v>
      </c>
      <c r="AG621">
        <f>AD621*(1 + Scenario_Control!$B$4)</f>
        <v>47.300000000000004</v>
      </c>
      <c r="AH621">
        <f>O621*(1 + Scenario_Control!$B$3)</f>
        <v>857.53500000000008</v>
      </c>
      <c r="AI621">
        <f t="shared" si="147"/>
        <v>9112.2953350000007</v>
      </c>
      <c r="AJ621">
        <f t="shared" si="148"/>
        <v>-31449.110165000006</v>
      </c>
      <c r="AK621" s="29">
        <f>MIN(Q621*(1-U621), Scenario_Control!$B$2*Q621)</f>
        <v>202.15</v>
      </c>
      <c r="AL621" s="15">
        <f t="shared" si="149"/>
        <v>0</v>
      </c>
      <c r="AM621" s="8">
        <f>DATEDIF(Table1[[#This Row],[Country_FirstMonth]], Table1[[#This Row],[MonthDate]], "m")</f>
        <v>21</v>
      </c>
    </row>
    <row r="622" spans="1:39" x14ac:dyDescent="0.25">
      <c r="A622" t="s">
        <v>634</v>
      </c>
      <c r="B622" s="12">
        <v>45177</v>
      </c>
      <c r="C622" s="12">
        <f t="shared" si="135"/>
        <v>45183</v>
      </c>
      <c r="D622" s="2" t="str">
        <f>IF(Table1[[#This Row],[RequiredDate]]&lt;Table1[[#This Row],[OrderDate]],"Check","OK")</f>
        <v>OK</v>
      </c>
      <c r="E622" s="2">
        <v>45183</v>
      </c>
      <c r="F622" s="15">
        <f t="shared" si="136"/>
        <v>6</v>
      </c>
      <c r="G622" t="s">
        <v>646</v>
      </c>
      <c r="H622" t="s">
        <v>650</v>
      </c>
      <c r="I622" t="s">
        <v>678</v>
      </c>
      <c r="J622" t="s">
        <v>702</v>
      </c>
      <c r="K622" t="s">
        <v>711</v>
      </c>
      <c r="L622" t="s">
        <v>714</v>
      </c>
      <c r="M622" t="s">
        <v>733</v>
      </c>
      <c r="N622" t="s">
        <v>1352</v>
      </c>
      <c r="O622" s="29">
        <v>251.03</v>
      </c>
      <c r="P622" t="str">
        <f>IF(Table1[[#This Row],[UnitPrice]]&lt;=0,"Check","OK")</f>
        <v>OK</v>
      </c>
      <c r="Q622" s="29">
        <f t="shared" si="137"/>
        <v>411.48</v>
      </c>
      <c r="R622">
        <v>411.48</v>
      </c>
      <c r="S622" s="5">
        <f>IF(Table1[[#This Row],[Discount_Flag]]="Check", MIN(MAX(Table1[[#This Row],[DiscountPct]],0),0.3), Table1[[#This Row],[DiscountPct]])</f>
        <v>0.16500000000000001</v>
      </c>
      <c r="T622" t="str">
        <f>IF(OR(Table1[[#This Row],[DiscountPct]]&lt;0,Table1[[#This Row],[DiscountPct]]&gt;0.3),"Check","OK")</f>
        <v>OK</v>
      </c>
      <c r="U622" s="11">
        <v>0.16500000000000001</v>
      </c>
      <c r="V622" s="15">
        <f t="shared" si="138"/>
        <v>0</v>
      </c>
      <c r="W622" s="11">
        <f t="shared" si="139"/>
        <v>0.26938191275658069</v>
      </c>
      <c r="X622" s="17">
        <f t="shared" si="140"/>
        <v>753.09</v>
      </c>
      <c r="Y622" s="17">
        <f t="shared" si="141"/>
        <v>277.66739999999993</v>
      </c>
      <c r="Z622" s="17">
        <f t="shared" si="142"/>
        <v>1030.7574</v>
      </c>
      <c r="AA622" s="17" t="str">
        <f t="shared" si="143"/>
        <v>Q3-2023</v>
      </c>
      <c r="AB622" s="12" t="str">
        <f t="shared" si="144"/>
        <v>Sept-2023</v>
      </c>
      <c r="AC622" s="12" t="str">
        <f t="shared" si="145"/>
        <v>Low</v>
      </c>
      <c r="AD622">
        <v>3</v>
      </c>
      <c r="AE622" s="12">
        <f>_xlfn.MINIFS(Table1[MonthDate], Table1[Country], Table1[[#This Row],[Country]])</f>
        <v>44927</v>
      </c>
      <c r="AF622" s="12">
        <f t="shared" si="146"/>
        <v>45170</v>
      </c>
      <c r="AG622">
        <f>AD622*(1 + Scenario_Control!$B$4)</f>
        <v>3.3000000000000003</v>
      </c>
      <c r="AH622">
        <f>O622*(1 + Scenario_Control!$B$3)</f>
        <v>263.58150000000001</v>
      </c>
      <c r="AI622">
        <f t="shared" si="147"/>
        <v>226.76662800000003</v>
      </c>
      <c r="AJ622">
        <f t="shared" si="148"/>
        <v>-643.052322</v>
      </c>
      <c r="AK622" s="29">
        <f>MIN(Q622*(1-U622), Scenario_Control!$B$2*Q622)</f>
        <v>82.296000000000006</v>
      </c>
      <c r="AL622" s="15">
        <f t="shared" si="149"/>
        <v>1</v>
      </c>
      <c r="AM622" s="8">
        <f>DATEDIF(Table1[[#This Row],[Country_FirstMonth]], Table1[[#This Row],[MonthDate]], "m")</f>
        <v>8</v>
      </c>
    </row>
    <row r="623" spans="1:39" x14ac:dyDescent="0.25">
      <c r="A623" t="s">
        <v>635</v>
      </c>
      <c r="B623" s="12">
        <v>45764</v>
      </c>
      <c r="C623" s="12">
        <f t="shared" si="135"/>
        <v>45780</v>
      </c>
      <c r="D623" s="2" t="str">
        <f>IF(Table1[[#This Row],[RequiredDate]]&lt;Table1[[#This Row],[OrderDate]],"Check","OK")</f>
        <v>OK</v>
      </c>
      <c r="E623" s="2">
        <v>45780</v>
      </c>
      <c r="F623" s="15">
        <f t="shared" si="136"/>
        <v>16</v>
      </c>
      <c r="G623" t="s">
        <v>648</v>
      </c>
      <c r="H623" t="s">
        <v>655</v>
      </c>
      <c r="I623" t="s">
        <v>692</v>
      </c>
      <c r="J623" t="s">
        <v>704</v>
      </c>
      <c r="K623" t="s">
        <v>709</v>
      </c>
      <c r="L623" t="s">
        <v>713</v>
      </c>
      <c r="M623" t="s">
        <v>729</v>
      </c>
      <c r="N623" t="s">
        <v>1353</v>
      </c>
      <c r="O623" s="29">
        <v>168.68</v>
      </c>
      <c r="P623" t="str">
        <f>IF(Table1[[#This Row],[UnitPrice]]&lt;=0,"Check","OK")</f>
        <v>OK</v>
      </c>
      <c r="Q623" s="29">
        <f t="shared" si="137"/>
        <v>413.34</v>
      </c>
      <c r="R623">
        <v>413.34</v>
      </c>
      <c r="S623" s="5">
        <f>IF(Table1[[#This Row],[Discount_Flag]]="Check", MIN(MAX(Table1[[#This Row],[DiscountPct]],0),0.3), Table1[[#This Row],[DiscountPct]])</f>
        <v>0.186</v>
      </c>
      <c r="T623" t="str">
        <f>IF(OR(Table1[[#This Row],[DiscountPct]]&lt;0,Table1[[#This Row],[DiscountPct]]&gt;0.3),"Check","OK")</f>
        <v>OK</v>
      </c>
      <c r="U623" s="11">
        <v>0.186</v>
      </c>
      <c r="V623" s="15">
        <f t="shared" si="138"/>
        <v>0</v>
      </c>
      <c r="W623" s="11">
        <f t="shared" si="139"/>
        <v>0.49866069767361682</v>
      </c>
      <c r="X623" s="17">
        <f t="shared" si="140"/>
        <v>1180.76</v>
      </c>
      <c r="Y623" s="17">
        <f t="shared" si="141"/>
        <v>1174.4513199999999</v>
      </c>
      <c r="Z623" s="17">
        <f t="shared" si="142"/>
        <v>2355.2113199999999</v>
      </c>
      <c r="AA623" s="17" t="str">
        <f t="shared" si="143"/>
        <v>Q2-2025</v>
      </c>
      <c r="AB623" s="12" t="str">
        <f t="shared" si="144"/>
        <v>Apr-2025</v>
      </c>
      <c r="AC623" s="12" t="str">
        <f t="shared" si="145"/>
        <v>Low</v>
      </c>
      <c r="AD623">
        <v>7</v>
      </c>
      <c r="AE623" s="12">
        <f>_xlfn.MINIFS(Table1[MonthDate], Table1[Country], Table1[[#This Row],[Country]])</f>
        <v>44927</v>
      </c>
      <c r="AF623" s="12">
        <f t="shared" si="146"/>
        <v>45748</v>
      </c>
      <c r="AG623">
        <f>AD623*(1 + Scenario_Control!$B$4)</f>
        <v>7.7000000000000011</v>
      </c>
      <c r="AH623">
        <f>O623*(1 + Scenario_Control!$B$3)</f>
        <v>177.114</v>
      </c>
      <c r="AI623">
        <f t="shared" si="147"/>
        <v>518.14649040000006</v>
      </c>
      <c r="AJ623">
        <f t="shared" si="148"/>
        <v>-845.63130960000024</v>
      </c>
      <c r="AK623" s="29">
        <f>MIN(Q623*(1-U623), Scenario_Control!$B$2*Q623)</f>
        <v>82.668000000000006</v>
      </c>
      <c r="AL623" s="15">
        <f t="shared" si="149"/>
        <v>0</v>
      </c>
      <c r="AM623" s="8">
        <f>DATEDIF(Table1[[#This Row],[Country_FirstMonth]], Table1[[#This Row],[MonthDate]], "m")</f>
        <v>27</v>
      </c>
    </row>
    <row r="624" spans="1:39" x14ac:dyDescent="0.25">
      <c r="A624" t="s">
        <v>636</v>
      </c>
      <c r="B624" s="12">
        <v>45501</v>
      </c>
      <c r="C624" s="12">
        <f t="shared" si="135"/>
        <v>45527</v>
      </c>
      <c r="D624" s="2" t="str">
        <f>IF(Table1[[#This Row],[RequiredDate]]&lt;Table1[[#This Row],[OrderDate]],"Check","OK")</f>
        <v>OK</v>
      </c>
      <c r="E624" s="2">
        <v>45527</v>
      </c>
      <c r="F624" s="15">
        <f t="shared" si="136"/>
        <v>26</v>
      </c>
      <c r="G624" t="s">
        <v>647</v>
      </c>
      <c r="H624" t="s">
        <v>654</v>
      </c>
      <c r="I624" t="s">
        <v>696</v>
      </c>
      <c r="J624" t="s">
        <v>701</v>
      </c>
      <c r="K624" t="s">
        <v>707</v>
      </c>
      <c r="L624" t="s">
        <v>713</v>
      </c>
      <c r="M624" t="s">
        <v>729</v>
      </c>
      <c r="N624" t="s">
        <v>1354</v>
      </c>
      <c r="O624" s="29">
        <v>1339.24</v>
      </c>
      <c r="P624" t="str">
        <f>IF(Table1[[#This Row],[UnitPrice]]&lt;=0,"Check","OK")</f>
        <v>OK</v>
      </c>
      <c r="Q624" s="29">
        <f t="shared" si="137"/>
        <v>1558.89</v>
      </c>
      <c r="R624">
        <v>1558.89</v>
      </c>
      <c r="S624" s="5">
        <f>IF(Table1[[#This Row],[Discount_Flag]]="Check", MIN(MAX(Table1[[#This Row],[DiscountPct]],0),0.3), Table1[[#This Row],[DiscountPct]])</f>
        <v>0.192</v>
      </c>
      <c r="T624" t="str">
        <f>IF(OR(Table1[[#This Row],[DiscountPct]]&lt;0,Table1[[#This Row],[DiscountPct]]&gt;0.3),"Check","OK")</f>
        <v>OK</v>
      </c>
      <c r="U624" s="11">
        <v>0.192</v>
      </c>
      <c r="V624" s="15">
        <f t="shared" si="138"/>
        <v>0</v>
      </c>
      <c r="W624" s="11">
        <f t="shared" si="139"/>
        <v>-6.3240669659021781E-2</v>
      </c>
      <c r="X624" s="17">
        <f t="shared" si="140"/>
        <v>32141.760000000002</v>
      </c>
      <c r="Y624" s="17">
        <f t="shared" si="141"/>
        <v>-1911.76512</v>
      </c>
      <c r="Z624" s="17">
        <f t="shared" si="142"/>
        <v>30229.994880000002</v>
      </c>
      <c r="AA624" s="17" t="str">
        <f t="shared" si="143"/>
        <v>Q3-2024</v>
      </c>
      <c r="AB624" s="12" t="str">
        <f t="shared" si="144"/>
        <v>Jul-2024</v>
      </c>
      <c r="AC624" s="12" t="str">
        <f t="shared" si="145"/>
        <v>Medium</v>
      </c>
      <c r="AD624">
        <v>24</v>
      </c>
      <c r="AE624" s="12">
        <f>_xlfn.MINIFS(Table1[MonthDate], Table1[Country], Table1[[#This Row],[Country]])</f>
        <v>44927</v>
      </c>
      <c r="AF624" s="12">
        <f t="shared" si="146"/>
        <v>45474</v>
      </c>
      <c r="AG624">
        <f>AD624*(1 + Scenario_Control!$B$4)</f>
        <v>26.400000000000002</v>
      </c>
      <c r="AH624">
        <f>O624*(1 + Scenario_Control!$B$3)</f>
        <v>1406.202</v>
      </c>
      <c r="AI624">
        <f t="shared" si="147"/>
        <v>6650.5988736000008</v>
      </c>
      <c r="AJ624">
        <f t="shared" si="148"/>
        <v>-30473.133926400005</v>
      </c>
      <c r="AK624" s="29">
        <f>MIN(Q624*(1-U624), Scenario_Control!$B$2*Q624)</f>
        <v>311.77800000000002</v>
      </c>
      <c r="AL624" s="15">
        <f t="shared" si="149"/>
        <v>0</v>
      </c>
      <c r="AM624" s="8">
        <f>DATEDIF(Table1[[#This Row],[Country_FirstMonth]], Table1[[#This Row],[MonthDate]], "m")</f>
        <v>18</v>
      </c>
    </row>
    <row r="625" spans="1:39" x14ac:dyDescent="0.25">
      <c r="A625" t="s">
        <v>637</v>
      </c>
      <c r="B625" s="12">
        <v>45857</v>
      </c>
      <c r="C625" s="12">
        <f t="shared" si="135"/>
        <v>45869</v>
      </c>
      <c r="D625" s="2" t="str">
        <f>IF(Table1[[#This Row],[RequiredDate]]&lt;Table1[[#This Row],[OrderDate]],"Check","OK")</f>
        <v>OK</v>
      </c>
      <c r="E625" s="2">
        <v>45869</v>
      </c>
      <c r="F625" s="15">
        <f t="shared" si="136"/>
        <v>12</v>
      </c>
      <c r="G625" t="s">
        <v>646</v>
      </c>
      <c r="H625" t="s">
        <v>650</v>
      </c>
      <c r="I625" t="s">
        <v>664</v>
      </c>
      <c r="J625" t="s">
        <v>705</v>
      </c>
      <c r="K625" t="s">
        <v>709</v>
      </c>
      <c r="L625" t="s">
        <v>719</v>
      </c>
      <c r="M625" t="s">
        <v>733</v>
      </c>
      <c r="N625" t="s">
        <v>1355</v>
      </c>
      <c r="O625" s="29">
        <v>619.64</v>
      </c>
      <c r="P625" t="str">
        <f>IF(Table1[[#This Row],[UnitPrice]]&lt;=0,"Check","OK")</f>
        <v>OK</v>
      </c>
      <c r="Q625" s="29">
        <f t="shared" si="137"/>
        <v>861.16</v>
      </c>
      <c r="R625">
        <v>861.16</v>
      </c>
      <c r="S625" s="5">
        <f>IF(Table1[[#This Row],[Discount_Flag]]="Check", MIN(MAX(Table1[[#This Row],[DiscountPct]],0),0.3), Table1[[#This Row],[DiscountPct]])</f>
        <v>0.113</v>
      </c>
      <c r="T625" t="str">
        <f>IF(OR(Table1[[#This Row],[DiscountPct]]&lt;0,Table1[[#This Row],[DiscountPct]]&gt;0.3),"Check","OK")</f>
        <v>OK</v>
      </c>
      <c r="U625" s="11">
        <v>0.113</v>
      </c>
      <c r="V625" s="15">
        <f t="shared" si="138"/>
        <v>0</v>
      </c>
      <c r="W625" s="11">
        <f t="shared" si="139"/>
        <v>0.18879246435276761</v>
      </c>
      <c r="X625" s="17">
        <f t="shared" si="140"/>
        <v>8674.9599999999991</v>
      </c>
      <c r="Y625" s="17">
        <f t="shared" si="141"/>
        <v>2018.9248800000005</v>
      </c>
      <c r="Z625" s="17">
        <f t="shared" si="142"/>
        <v>10693.88488</v>
      </c>
      <c r="AA625" s="17" t="str">
        <f t="shared" si="143"/>
        <v>Q3-2025</v>
      </c>
      <c r="AB625" s="12" t="str">
        <f t="shared" si="144"/>
        <v>Jul-2025</v>
      </c>
      <c r="AC625" s="12" t="str">
        <f t="shared" si="145"/>
        <v>Medium</v>
      </c>
      <c r="AD625">
        <v>14</v>
      </c>
      <c r="AE625" s="12">
        <f>_xlfn.MINIFS(Table1[MonthDate], Table1[Country], Table1[[#This Row],[Country]])</f>
        <v>44927</v>
      </c>
      <c r="AF625" s="12">
        <f t="shared" si="146"/>
        <v>45839</v>
      </c>
      <c r="AG625">
        <f>AD625*(1 + Scenario_Control!$B$4)</f>
        <v>15.400000000000002</v>
      </c>
      <c r="AH625">
        <f>O625*(1 + Scenario_Control!$B$3)</f>
        <v>650.62199999999996</v>
      </c>
      <c r="AI625">
        <f t="shared" si="147"/>
        <v>2352.6546736000005</v>
      </c>
      <c r="AJ625">
        <f t="shared" si="148"/>
        <v>-7666.9241264000011</v>
      </c>
      <c r="AK625" s="29">
        <f>MIN(Q625*(1-U625), Scenario_Control!$B$2*Q625)</f>
        <v>172.232</v>
      </c>
      <c r="AL625" s="15">
        <f t="shared" si="149"/>
        <v>0</v>
      </c>
      <c r="AM625" s="8">
        <f>DATEDIF(Table1[[#This Row],[Country_FirstMonth]], Table1[[#This Row],[MonthDate]], "m")</f>
        <v>30</v>
      </c>
    </row>
    <row r="626" spans="1:39" x14ac:dyDescent="0.25">
      <c r="A626" t="s">
        <v>638</v>
      </c>
      <c r="B626" s="12">
        <v>45141</v>
      </c>
      <c r="C626" s="12">
        <f t="shared" si="135"/>
        <v>45148</v>
      </c>
      <c r="D626" s="2" t="str">
        <f>IF(Table1[[#This Row],[RequiredDate]]&lt;Table1[[#This Row],[OrderDate]],"Check","OK")</f>
        <v>Check</v>
      </c>
      <c r="E626" s="2">
        <v>45140</v>
      </c>
      <c r="F626" s="15">
        <f t="shared" si="136"/>
        <v>7</v>
      </c>
      <c r="G626" t="s">
        <v>647</v>
      </c>
      <c r="H626" t="s">
        <v>659</v>
      </c>
      <c r="I626" t="s">
        <v>685</v>
      </c>
      <c r="J626" t="s">
        <v>703</v>
      </c>
      <c r="K626" t="s">
        <v>711</v>
      </c>
      <c r="L626" t="s">
        <v>713</v>
      </c>
      <c r="M626" t="s">
        <v>729</v>
      </c>
      <c r="N626" t="s">
        <v>1356</v>
      </c>
      <c r="O626" s="29">
        <v>1021.97</v>
      </c>
      <c r="P626" t="str">
        <f>IF(Table1[[#This Row],[UnitPrice]]&lt;=0,"Check","OK")</f>
        <v>OK</v>
      </c>
      <c r="Q626" s="29">
        <f t="shared" si="137"/>
        <v>2296.25</v>
      </c>
      <c r="R626">
        <v>2296.25</v>
      </c>
      <c r="S626" s="5">
        <f>IF(Table1[[#This Row],[Discount_Flag]]="Check", MIN(MAX(Table1[[#This Row],[DiscountPct]],0),0.3), Table1[[#This Row],[DiscountPct]])</f>
        <v>0.161</v>
      </c>
      <c r="T626" t="str">
        <f>IF(OR(Table1[[#This Row],[DiscountPct]]&lt;0,Table1[[#This Row],[DiscountPct]]&gt;0.3),"Check","OK")</f>
        <v>OK</v>
      </c>
      <c r="U626" s="11">
        <v>0.161</v>
      </c>
      <c r="V626" s="15">
        <f t="shared" si="138"/>
        <v>0</v>
      </c>
      <c r="W626" s="11">
        <f t="shared" si="139"/>
        <v>0.46953465482081669</v>
      </c>
      <c r="X626" s="17">
        <f t="shared" si="140"/>
        <v>26571.22</v>
      </c>
      <c r="Y626" s="17">
        <f t="shared" si="141"/>
        <v>23519.177499999998</v>
      </c>
      <c r="Z626" s="17">
        <f t="shared" si="142"/>
        <v>50090.397499999999</v>
      </c>
      <c r="AA626" s="17" t="str">
        <f t="shared" si="143"/>
        <v>Q3-2023</v>
      </c>
      <c r="AB626" s="12" t="str">
        <f t="shared" si="144"/>
        <v>Aug-2023</v>
      </c>
      <c r="AC626" s="12" t="str">
        <f t="shared" si="145"/>
        <v>High</v>
      </c>
      <c r="AD626">
        <v>26</v>
      </c>
      <c r="AE626" s="12">
        <f>_xlfn.MINIFS(Table1[MonthDate], Table1[Country], Table1[[#This Row],[Country]])</f>
        <v>44927</v>
      </c>
      <c r="AF626" s="12">
        <f t="shared" si="146"/>
        <v>45139</v>
      </c>
      <c r="AG626">
        <f>AD626*(1 + Scenario_Control!$B$4)</f>
        <v>28.6</v>
      </c>
      <c r="AH626">
        <f>O626*(1 + Scenario_Control!$B$3)</f>
        <v>1073.0685000000001</v>
      </c>
      <c r="AI626">
        <f t="shared" si="147"/>
        <v>11019.88745</v>
      </c>
      <c r="AJ626">
        <f t="shared" si="148"/>
        <v>-19669.871650000001</v>
      </c>
      <c r="AK626" s="29">
        <f>MIN(Q626*(1-U626), Scenario_Control!$B$2*Q626)</f>
        <v>459.25</v>
      </c>
      <c r="AL626" s="15">
        <f t="shared" si="149"/>
        <v>1</v>
      </c>
      <c r="AM626" s="8">
        <f>DATEDIF(Table1[[#This Row],[Country_FirstMonth]], Table1[[#This Row],[MonthDate]], "m")</f>
        <v>7</v>
      </c>
    </row>
    <row r="627" spans="1:39" x14ac:dyDescent="0.25">
      <c r="A627" t="s">
        <v>639</v>
      </c>
      <c r="B627" s="12">
        <v>45249</v>
      </c>
      <c r="C627" s="12">
        <f t="shared" si="135"/>
        <v>45272</v>
      </c>
      <c r="D627" s="2" t="str">
        <f>IF(Table1[[#This Row],[RequiredDate]]&lt;Table1[[#This Row],[OrderDate]],"Check","OK")</f>
        <v>OK</v>
      </c>
      <c r="E627" s="2">
        <v>45272</v>
      </c>
      <c r="F627" s="15">
        <f t="shared" si="136"/>
        <v>23</v>
      </c>
      <c r="G627" t="s">
        <v>647</v>
      </c>
      <c r="H627" t="s">
        <v>654</v>
      </c>
      <c r="I627" t="s">
        <v>680</v>
      </c>
      <c r="J627" t="s">
        <v>705</v>
      </c>
      <c r="K627" t="s">
        <v>711</v>
      </c>
      <c r="L627" t="s">
        <v>712</v>
      </c>
      <c r="M627" t="s">
        <v>729</v>
      </c>
      <c r="N627" t="s">
        <v>1357</v>
      </c>
      <c r="O627" s="29">
        <v>1349.04</v>
      </c>
      <c r="P627" t="str">
        <f>IF(Table1[[#This Row],[UnitPrice]]&lt;=0,"Check","OK")</f>
        <v>OK</v>
      </c>
      <c r="Q627" s="29">
        <f t="shared" si="137"/>
        <v>2636.6</v>
      </c>
      <c r="R627">
        <v>2636.6</v>
      </c>
      <c r="S627" s="5">
        <f>IF(Table1[[#This Row],[Discount_Flag]]="Check", MIN(MAX(Table1[[#This Row],[DiscountPct]],0),0.3), Table1[[#This Row],[DiscountPct]])</f>
        <v>0.114</v>
      </c>
      <c r="T627" t="str">
        <f>IF(OR(Table1[[#This Row],[DiscountPct]]&lt;0,Table1[[#This Row],[DiscountPct]]&gt;0.3),"Check","OK")</f>
        <v>OK</v>
      </c>
      <c r="U627" s="11">
        <v>0.114</v>
      </c>
      <c r="V627" s="15">
        <f t="shared" si="138"/>
        <v>0</v>
      </c>
      <c r="W627" s="11">
        <f t="shared" si="139"/>
        <v>0.42250682312143928</v>
      </c>
      <c r="X627" s="17">
        <f t="shared" si="140"/>
        <v>18886.559999999998</v>
      </c>
      <c r="Y627" s="17">
        <f t="shared" si="141"/>
        <v>13817.826400000005</v>
      </c>
      <c r="Z627" s="17">
        <f t="shared" si="142"/>
        <v>32704.386400000003</v>
      </c>
      <c r="AA627" s="17" t="str">
        <f t="shared" si="143"/>
        <v>Q4-2023</v>
      </c>
      <c r="AB627" s="12" t="str">
        <f t="shared" si="144"/>
        <v>Nov-2023</v>
      </c>
      <c r="AC627" s="12" t="str">
        <f t="shared" si="145"/>
        <v>High</v>
      </c>
      <c r="AD627">
        <v>14</v>
      </c>
      <c r="AE627" s="12">
        <f>_xlfn.MINIFS(Table1[MonthDate], Table1[Country], Table1[[#This Row],[Country]])</f>
        <v>44927</v>
      </c>
      <c r="AF627" s="12">
        <f t="shared" si="146"/>
        <v>45231</v>
      </c>
      <c r="AG627">
        <f>AD627*(1 + Scenario_Control!$B$4)</f>
        <v>15.400000000000002</v>
      </c>
      <c r="AH627">
        <f>O627*(1 + Scenario_Control!$B$3)</f>
        <v>1416.492</v>
      </c>
      <c r="AI627">
        <f t="shared" si="147"/>
        <v>7194.9650080000019</v>
      </c>
      <c r="AJ627">
        <f t="shared" si="148"/>
        <v>-14619.011792000001</v>
      </c>
      <c r="AK627" s="29">
        <f>MIN(Q627*(1-U627), Scenario_Control!$B$2*Q627)</f>
        <v>527.32000000000005</v>
      </c>
      <c r="AL627" s="15">
        <f t="shared" si="149"/>
        <v>0</v>
      </c>
      <c r="AM627" s="8">
        <f>DATEDIF(Table1[[#This Row],[Country_FirstMonth]], Table1[[#This Row],[MonthDate]], "m")</f>
        <v>10</v>
      </c>
    </row>
    <row r="628" spans="1:39" x14ac:dyDescent="0.25">
      <c r="A628" t="s">
        <v>640</v>
      </c>
      <c r="B628" s="12">
        <v>45282</v>
      </c>
      <c r="C628" s="12">
        <f t="shared" si="135"/>
        <v>45307</v>
      </c>
      <c r="D628" s="2" t="str">
        <f>IF(Table1[[#This Row],[RequiredDate]]&lt;Table1[[#This Row],[OrderDate]],"Check","OK")</f>
        <v>OK</v>
      </c>
      <c r="E628" s="2">
        <v>45307</v>
      </c>
      <c r="F628" s="15">
        <f t="shared" si="136"/>
        <v>25</v>
      </c>
      <c r="G628" t="s">
        <v>647</v>
      </c>
      <c r="H628" t="s">
        <v>654</v>
      </c>
      <c r="I628" t="s">
        <v>696</v>
      </c>
      <c r="J628" t="s">
        <v>705</v>
      </c>
      <c r="K628" t="s">
        <v>707</v>
      </c>
      <c r="L628" t="s">
        <v>720</v>
      </c>
      <c r="M628" t="s">
        <v>727</v>
      </c>
      <c r="N628" t="s">
        <v>1358</v>
      </c>
      <c r="O628" s="29">
        <v>1346.81</v>
      </c>
      <c r="P628" t="str">
        <f>IF(Table1[[#This Row],[UnitPrice]]&lt;=0,"Check","OK")</f>
        <v>OK</v>
      </c>
      <c r="Q628" s="29">
        <f t="shared" si="137"/>
        <v>978.09</v>
      </c>
      <c r="R628">
        <v>978.09</v>
      </c>
      <c r="S628" s="5">
        <f>IF(Table1[[#This Row],[Discount_Flag]]="Check", MIN(MAX(Table1[[#This Row],[DiscountPct]],0),0.3), Table1[[#This Row],[DiscountPct]])</f>
        <v>0.159</v>
      </c>
      <c r="T628" t="str">
        <f>IF(OR(Table1[[#This Row],[DiscountPct]]&lt;0,Table1[[#This Row],[DiscountPct]]&gt;0.3),"Check","OK")</f>
        <v>OK</v>
      </c>
      <c r="U628" s="11">
        <v>0.159</v>
      </c>
      <c r="V628" s="15">
        <f t="shared" si="138"/>
        <v>0</v>
      </c>
      <c r="W628" s="11">
        <f t="shared" si="139"/>
        <v>-0.6373122753293996</v>
      </c>
      <c r="X628" s="17">
        <f t="shared" si="140"/>
        <v>22895.77</v>
      </c>
      <c r="Y628" s="17">
        <f t="shared" si="141"/>
        <v>-8912.0172700000021</v>
      </c>
      <c r="Z628" s="17">
        <f t="shared" si="142"/>
        <v>13983.752729999998</v>
      </c>
      <c r="AA628" s="17" t="str">
        <f t="shared" si="143"/>
        <v>Q4-2023</v>
      </c>
      <c r="AB628" s="12" t="str">
        <f t="shared" si="144"/>
        <v>Dec-2023</v>
      </c>
      <c r="AC628" s="12" t="str">
        <f t="shared" si="145"/>
        <v>Medium</v>
      </c>
      <c r="AD628">
        <v>17</v>
      </c>
      <c r="AE628" s="12">
        <f>_xlfn.MINIFS(Table1[MonthDate], Table1[Country], Table1[[#This Row],[Country]])</f>
        <v>44927</v>
      </c>
      <c r="AF628" s="12">
        <f t="shared" si="146"/>
        <v>45261</v>
      </c>
      <c r="AG628">
        <f>AD628*(1 + Scenario_Control!$B$4)</f>
        <v>18.700000000000003</v>
      </c>
      <c r="AH628">
        <f>O628*(1 + Scenario_Control!$B$3)</f>
        <v>1414.1505</v>
      </c>
      <c r="AI628">
        <f t="shared" si="147"/>
        <v>3076.4256006000005</v>
      </c>
      <c r="AJ628">
        <f t="shared" si="148"/>
        <v>-23368.188749400004</v>
      </c>
      <c r="AK628" s="29">
        <f>MIN(Q628*(1-U628), Scenario_Control!$B$2*Q628)</f>
        <v>195.61800000000002</v>
      </c>
      <c r="AL628" s="15">
        <f t="shared" si="149"/>
        <v>0</v>
      </c>
      <c r="AM628" s="8">
        <f>DATEDIF(Table1[[#This Row],[Country_FirstMonth]], Table1[[#This Row],[MonthDate]], "m")</f>
        <v>11</v>
      </c>
    </row>
    <row r="629" spans="1:39" x14ac:dyDescent="0.25">
      <c r="A629" t="s">
        <v>641</v>
      </c>
      <c r="B629" s="12">
        <v>45141</v>
      </c>
      <c r="C629" s="12">
        <f t="shared" si="135"/>
        <v>45168</v>
      </c>
      <c r="D629" s="2" t="str">
        <f>IF(Table1[[#This Row],[RequiredDate]]&lt;Table1[[#This Row],[OrderDate]],"Check","OK")</f>
        <v>OK</v>
      </c>
      <c r="E629" s="2">
        <v>45168</v>
      </c>
      <c r="F629" s="15">
        <f t="shared" si="136"/>
        <v>27</v>
      </c>
      <c r="G629" t="s">
        <v>647</v>
      </c>
      <c r="H629" t="s">
        <v>659</v>
      </c>
      <c r="I629" t="s">
        <v>685</v>
      </c>
      <c r="J629" t="s">
        <v>704</v>
      </c>
      <c r="K629" t="s">
        <v>710</v>
      </c>
      <c r="L629" t="s">
        <v>725</v>
      </c>
      <c r="M629" t="s">
        <v>732</v>
      </c>
      <c r="N629" t="s">
        <v>1359</v>
      </c>
      <c r="O629" s="29">
        <v>226.04</v>
      </c>
      <c r="P629" t="str">
        <f>IF(Table1[[#This Row],[UnitPrice]]&lt;=0,"Check","OK")</f>
        <v>OK</v>
      </c>
      <c r="Q629" s="29">
        <f t="shared" si="137"/>
        <v>545.72</v>
      </c>
      <c r="R629">
        <v>545.72</v>
      </c>
      <c r="S629" s="5">
        <f>IF(Table1[[#This Row],[Discount_Flag]]="Check", MIN(MAX(Table1[[#This Row],[DiscountPct]],0),0.3), Table1[[#This Row],[DiscountPct]])</f>
        <v>0.151</v>
      </c>
      <c r="T629" t="str">
        <f>IF(OR(Table1[[#This Row],[DiscountPct]]&lt;0,Table1[[#This Row],[DiscountPct]]&gt;0.3),"Check","OK")</f>
        <v>OK</v>
      </c>
      <c r="U629" s="11">
        <v>0.151</v>
      </c>
      <c r="V629" s="15">
        <f t="shared" si="138"/>
        <v>0</v>
      </c>
      <c r="W629" s="11">
        <f t="shared" si="139"/>
        <v>0.51212592831834014</v>
      </c>
      <c r="X629" s="17">
        <f t="shared" si="140"/>
        <v>2486.44</v>
      </c>
      <c r="Y629" s="17">
        <f t="shared" si="141"/>
        <v>2610.03908</v>
      </c>
      <c r="Z629" s="17">
        <f t="shared" si="142"/>
        <v>5096.4790800000001</v>
      </c>
      <c r="AA629" s="17" t="str">
        <f t="shared" si="143"/>
        <v>Q3-2023</v>
      </c>
      <c r="AB629" s="12" t="str">
        <f t="shared" si="144"/>
        <v>Aug-2023</v>
      </c>
      <c r="AC629" s="12" t="str">
        <f t="shared" si="145"/>
        <v>Low</v>
      </c>
      <c r="AD629">
        <v>11</v>
      </c>
      <c r="AE629" s="12">
        <f>_xlfn.MINIFS(Table1[MonthDate], Table1[Country], Table1[[#This Row],[Country]])</f>
        <v>44927</v>
      </c>
      <c r="AF629" s="12">
        <f t="shared" si="146"/>
        <v>45139</v>
      </c>
      <c r="AG629">
        <f>AD629*(1 + Scenario_Control!$B$4)</f>
        <v>12.100000000000001</v>
      </c>
      <c r="AH629">
        <f>O629*(1 + Scenario_Control!$B$3)</f>
        <v>237.34200000000001</v>
      </c>
      <c r="AI629">
        <f t="shared" si="147"/>
        <v>1121.2253976000002</v>
      </c>
      <c r="AJ629">
        <f t="shared" si="148"/>
        <v>-1750.6128024000004</v>
      </c>
      <c r="AK629" s="29">
        <f>MIN(Q629*(1-U629), Scenario_Control!$B$2*Q629)</f>
        <v>109.14400000000001</v>
      </c>
      <c r="AL629" s="15">
        <f t="shared" si="149"/>
        <v>0</v>
      </c>
      <c r="AM629" s="8">
        <f>DATEDIF(Table1[[#This Row],[Country_FirstMonth]], Table1[[#This Row],[MonthDate]], "m")</f>
        <v>7</v>
      </c>
    </row>
    <row r="630" spans="1:39" x14ac:dyDescent="0.25">
      <c r="A630" t="s">
        <v>642</v>
      </c>
      <c r="B630" s="12">
        <v>45100</v>
      </c>
      <c r="C630" s="12">
        <f t="shared" si="135"/>
        <v>45125</v>
      </c>
      <c r="D630" s="2" t="str">
        <f>IF(Table1[[#This Row],[RequiredDate]]&lt;Table1[[#This Row],[OrderDate]],"Check","OK")</f>
        <v>OK</v>
      </c>
      <c r="E630" s="2">
        <v>45125</v>
      </c>
      <c r="F630" s="15">
        <f t="shared" si="136"/>
        <v>25</v>
      </c>
      <c r="G630" t="s">
        <v>648</v>
      </c>
      <c r="H630" t="s">
        <v>653</v>
      </c>
      <c r="I630" t="s">
        <v>688</v>
      </c>
      <c r="J630" t="s">
        <v>706</v>
      </c>
      <c r="K630" t="s">
        <v>708</v>
      </c>
      <c r="L630" t="s">
        <v>725</v>
      </c>
      <c r="M630" t="s">
        <v>730</v>
      </c>
      <c r="N630" t="s">
        <v>1360</v>
      </c>
      <c r="O630" s="29">
        <v>807.02</v>
      </c>
      <c r="P630" t="str">
        <f>IF(Table1[[#This Row],[UnitPrice]]&lt;=0,"Check","OK")</f>
        <v>OK</v>
      </c>
      <c r="Q630" s="29">
        <f t="shared" si="137"/>
        <v>1435.54</v>
      </c>
      <c r="R630">
        <v>1435.54</v>
      </c>
      <c r="S630" s="5">
        <f>IF(Table1[[#This Row],[Discount_Flag]]="Check", MIN(MAX(Table1[[#This Row],[DiscountPct]],0),0.3), Table1[[#This Row],[DiscountPct]])</f>
        <v>0</v>
      </c>
      <c r="T630" t="str">
        <f>IF(OR(Table1[[#This Row],[DiscountPct]]&lt;0,Table1[[#This Row],[DiscountPct]]&gt;0.3),"Check","OK")</f>
        <v>OK</v>
      </c>
      <c r="U630" s="11">
        <v>0</v>
      </c>
      <c r="V630" s="15">
        <f t="shared" si="138"/>
        <v>0</v>
      </c>
      <c r="W630" s="11">
        <f t="shared" si="139"/>
        <v>0.43782827368098415</v>
      </c>
      <c r="X630" s="17">
        <f t="shared" si="140"/>
        <v>18561.46</v>
      </c>
      <c r="Y630" s="17">
        <f t="shared" si="141"/>
        <v>14455.96</v>
      </c>
      <c r="Z630" s="17">
        <f t="shared" si="142"/>
        <v>33017.42</v>
      </c>
      <c r="AA630" s="17" t="str">
        <f t="shared" si="143"/>
        <v>Q2-2023</v>
      </c>
      <c r="AB630" s="12" t="str">
        <f t="shared" si="144"/>
        <v>Jun-2023</v>
      </c>
      <c r="AC630" s="12" t="str">
        <f t="shared" si="145"/>
        <v>Medium</v>
      </c>
      <c r="AD630">
        <v>23</v>
      </c>
      <c r="AE630" s="12">
        <f>_xlfn.MINIFS(Table1[MonthDate], Table1[Country], Table1[[#This Row],[Country]])</f>
        <v>44927</v>
      </c>
      <c r="AF630" s="12">
        <f t="shared" si="146"/>
        <v>45078</v>
      </c>
      <c r="AG630">
        <f>AD630*(1 + Scenario_Control!$B$4)</f>
        <v>25.3</v>
      </c>
      <c r="AH630">
        <f>O630*(1 + Scenario_Control!$B$3)</f>
        <v>847.37099999999998</v>
      </c>
      <c r="AI630">
        <f t="shared" si="147"/>
        <v>7263.8324000000002</v>
      </c>
      <c r="AJ630">
        <f t="shared" si="148"/>
        <v>-14174.653900000001</v>
      </c>
      <c r="AK630" s="29">
        <f>MIN(Q630*(1-U630), Scenario_Control!$B$2*Q630)</f>
        <v>287.108</v>
      </c>
      <c r="AL630" s="15">
        <f t="shared" si="149"/>
        <v>0</v>
      </c>
      <c r="AM630" s="8">
        <f>DATEDIF(Table1[[#This Row],[Country_FirstMonth]], Table1[[#This Row],[MonthDate]], "m")</f>
        <v>5</v>
      </c>
    </row>
    <row r="631" spans="1:39" x14ac:dyDescent="0.25">
      <c r="A631" t="s">
        <v>643</v>
      </c>
      <c r="B631" s="12">
        <v>45267</v>
      </c>
      <c r="C631" s="12">
        <f t="shared" si="135"/>
        <v>45293</v>
      </c>
      <c r="D631" s="2" t="str">
        <f>IF(Table1[[#This Row],[RequiredDate]]&lt;Table1[[#This Row],[OrderDate]],"Check","OK")</f>
        <v>OK</v>
      </c>
      <c r="E631" s="2">
        <v>45293</v>
      </c>
      <c r="F631" s="15">
        <f t="shared" si="136"/>
        <v>26</v>
      </c>
      <c r="G631" t="s">
        <v>649</v>
      </c>
      <c r="H631" t="s">
        <v>656</v>
      </c>
      <c r="I631" t="s">
        <v>698</v>
      </c>
      <c r="J631" t="s">
        <v>706</v>
      </c>
      <c r="K631" t="s">
        <v>710</v>
      </c>
      <c r="L631" t="s">
        <v>718</v>
      </c>
      <c r="M631" t="s">
        <v>727</v>
      </c>
      <c r="N631" t="s">
        <v>1361</v>
      </c>
      <c r="O631" s="29">
        <v>1071.99</v>
      </c>
      <c r="P631" t="str">
        <f>IF(Table1[[#This Row],[UnitPrice]]&lt;=0,"Check","OK")</f>
        <v>OK</v>
      </c>
      <c r="Q631" s="29">
        <f t="shared" si="137"/>
        <v>2397.3000000000002</v>
      </c>
      <c r="R631">
        <v>2397.3000000000002</v>
      </c>
      <c r="S631" s="5">
        <f>IF(Table1[[#This Row],[Discount_Flag]]="Check", MIN(MAX(Table1[[#This Row],[DiscountPct]],0),0.3), Table1[[#This Row],[DiscountPct]])</f>
        <v>6.2E-2</v>
      </c>
      <c r="T631" t="str">
        <f>IF(OR(Table1[[#This Row],[DiscountPct]]&lt;0,Table1[[#This Row],[DiscountPct]]&gt;0.3),"Check","OK")</f>
        <v>OK</v>
      </c>
      <c r="U631" s="11">
        <v>6.2E-2</v>
      </c>
      <c r="V631" s="15">
        <f t="shared" si="138"/>
        <v>0</v>
      </c>
      <c r="W631" s="11">
        <f t="shared" si="139"/>
        <v>0.52327765324476183</v>
      </c>
      <c r="X631" s="17">
        <f t="shared" si="140"/>
        <v>19295.82</v>
      </c>
      <c r="Y631" s="17">
        <f t="shared" si="141"/>
        <v>21180.193200000002</v>
      </c>
      <c r="Z631" s="17">
        <f t="shared" si="142"/>
        <v>40476.013200000001</v>
      </c>
      <c r="AA631" s="17" t="str">
        <f t="shared" si="143"/>
        <v>Q4-2023</v>
      </c>
      <c r="AB631" s="12" t="str">
        <f t="shared" si="144"/>
        <v>Dec-2023</v>
      </c>
      <c r="AC631" s="12" t="str">
        <f t="shared" si="145"/>
        <v>High</v>
      </c>
      <c r="AD631">
        <v>18</v>
      </c>
      <c r="AE631" s="12">
        <f>_xlfn.MINIFS(Table1[MonthDate], Table1[Country], Table1[[#This Row],[Country]])</f>
        <v>44927</v>
      </c>
      <c r="AF631" s="12">
        <f t="shared" si="146"/>
        <v>45261</v>
      </c>
      <c r="AG631">
        <f>AD631*(1 + Scenario_Control!$B$4)</f>
        <v>19.8</v>
      </c>
      <c r="AH631">
        <f>O631*(1 + Scenario_Control!$B$3)</f>
        <v>1125.5895</v>
      </c>
      <c r="AI631">
        <f t="shared" si="147"/>
        <v>8904.7229040000002</v>
      </c>
      <c r="AJ631">
        <f t="shared" si="148"/>
        <v>-13381.949196000003</v>
      </c>
      <c r="AK631" s="29">
        <f>MIN(Q631*(1-U631), Scenario_Control!$B$2*Q631)</f>
        <v>479.46000000000004</v>
      </c>
      <c r="AL631" s="15">
        <f t="shared" si="149"/>
        <v>0</v>
      </c>
      <c r="AM631" s="8">
        <f>DATEDIF(Table1[[#This Row],[Country_FirstMonth]], Table1[[#This Row],[MonthDate]], "m")</f>
        <v>11</v>
      </c>
    </row>
    <row r="632" spans="1:39" x14ac:dyDescent="0.25">
      <c r="A632" t="s">
        <v>644</v>
      </c>
      <c r="B632" s="12">
        <v>45249</v>
      </c>
      <c r="C632" s="12">
        <f t="shared" si="135"/>
        <v>45279</v>
      </c>
      <c r="D632" s="2" t="str">
        <f>IF(Table1[[#This Row],[RequiredDate]]&lt;Table1[[#This Row],[OrderDate]],"Check","OK")</f>
        <v>OK</v>
      </c>
      <c r="E632" s="2">
        <v>45279</v>
      </c>
      <c r="F632" s="15">
        <f t="shared" si="136"/>
        <v>30</v>
      </c>
      <c r="G632" t="s">
        <v>647</v>
      </c>
      <c r="H632" t="s">
        <v>652</v>
      </c>
      <c r="I632" t="s">
        <v>694</v>
      </c>
      <c r="J632" t="s">
        <v>704</v>
      </c>
      <c r="K632" t="s">
        <v>707</v>
      </c>
      <c r="L632" t="s">
        <v>1430</v>
      </c>
      <c r="M632" t="s">
        <v>730</v>
      </c>
      <c r="N632" t="s">
        <v>1362</v>
      </c>
      <c r="O632" s="29">
        <v>807.11</v>
      </c>
      <c r="P632" t="str">
        <f>IF(Table1[[#This Row],[UnitPrice]]&lt;=0,"Check","OK")</f>
        <v>OK</v>
      </c>
      <c r="Q632" s="29">
        <f t="shared" si="137"/>
        <v>1853.86</v>
      </c>
      <c r="R632">
        <v>1853.86</v>
      </c>
      <c r="S632" s="5">
        <f>IF(Table1[[#This Row],[Discount_Flag]]="Check", MIN(MAX(Table1[[#This Row],[DiscountPct]],0),0.3), Table1[[#This Row],[DiscountPct]])</f>
        <v>0.13900000000000001</v>
      </c>
      <c r="T632" t="str">
        <f>IF(OR(Table1[[#This Row],[DiscountPct]]&lt;0,Table1[[#This Row],[DiscountPct]]&gt;0.3),"Check","OK")</f>
        <v>OK</v>
      </c>
      <c r="U632" s="11">
        <v>0.13900000000000001</v>
      </c>
      <c r="V632" s="15">
        <f t="shared" si="138"/>
        <v>0</v>
      </c>
      <c r="W632" s="11">
        <f t="shared" si="139"/>
        <v>0.49434693645388639</v>
      </c>
      <c r="X632" s="17">
        <f t="shared" si="140"/>
        <v>6456.88</v>
      </c>
      <c r="Y632" s="17">
        <f t="shared" si="141"/>
        <v>6312.5076799999997</v>
      </c>
      <c r="Z632" s="17">
        <f t="shared" si="142"/>
        <v>12769.38768</v>
      </c>
      <c r="AA632" s="17" t="str">
        <f t="shared" si="143"/>
        <v>Q4-2023</v>
      </c>
      <c r="AB632" s="12" t="str">
        <f t="shared" si="144"/>
        <v>Nov-2023</v>
      </c>
      <c r="AC632" s="12" t="str">
        <f t="shared" si="145"/>
        <v>Medium</v>
      </c>
      <c r="AD632">
        <v>8</v>
      </c>
      <c r="AE632" s="12">
        <f>_xlfn.MINIFS(Table1[MonthDate], Table1[Country], Table1[[#This Row],[Country]])</f>
        <v>44986</v>
      </c>
      <c r="AF632" s="12">
        <f t="shared" si="146"/>
        <v>45231</v>
      </c>
      <c r="AG632">
        <f>AD632*(1 + Scenario_Control!$B$4)</f>
        <v>8.8000000000000007</v>
      </c>
      <c r="AH632">
        <f>O632*(1 + Scenario_Control!$B$3)</f>
        <v>847.46550000000002</v>
      </c>
      <c r="AI632">
        <f t="shared" si="147"/>
        <v>2809.2652896</v>
      </c>
      <c r="AJ632">
        <f t="shared" si="148"/>
        <v>-4648.4311104000008</v>
      </c>
      <c r="AK632" s="29">
        <f>MIN(Q632*(1-U632), Scenario_Control!$B$2*Q632)</f>
        <v>370.77199999999999</v>
      </c>
      <c r="AL632" s="15">
        <f t="shared" si="149"/>
        <v>0</v>
      </c>
      <c r="AM632" s="8">
        <f>DATEDIF(Table1[[#This Row],[Country_FirstMonth]], Table1[[#This Row],[MonthDate]], "m")</f>
        <v>8</v>
      </c>
    </row>
    <row r="633" spans="1:39" x14ac:dyDescent="0.25">
      <c r="A633" t="s">
        <v>645</v>
      </c>
      <c r="B633" s="12">
        <v>45716</v>
      </c>
      <c r="C633" s="12">
        <f t="shared" si="135"/>
        <v>45726</v>
      </c>
      <c r="D633" s="2" t="str">
        <f>IF(Table1[[#This Row],[RequiredDate]]&lt;Table1[[#This Row],[OrderDate]],"Check","OK")</f>
        <v>OK</v>
      </c>
      <c r="E633" s="2">
        <v>45726</v>
      </c>
      <c r="F633" s="15">
        <f t="shared" si="136"/>
        <v>10</v>
      </c>
      <c r="G633" t="s">
        <v>647</v>
      </c>
      <c r="H633" t="s">
        <v>652</v>
      </c>
      <c r="I633" t="s">
        <v>666</v>
      </c>
      <c r="J633" t="s">
        <v>702</v>
      </c>
      <c r="K633" t="s">
        <v>710</v>
      </c>
      <c r="L633" t="s">
        <v>725</v>
      </c>
      <c r="M633" t="s">
        <v>731</v>
      </c>
      <c r="N633" t="s">
        <v>1363</v>
      </c>
      <c r="O633" s="29">
        <v>51.86</v>
      </c>
      <c r="P633" t="str">
        <f>IF(Table1[[#This Row],[UnitPrice]]&lt;=0,"Check","OK")</f>
        <v>OK</v>
      </c>
      <c r="Q633" s="29">
        <f t="shared" si="137"/>
        <v>45.98</v>
      </c>
      <c r="R633">
        <v>45.98</v>
      </c>
      <c r="S633" s="5">
        <f>IF(Table1[[#This Row],[Discount_Flag]]="Check", MIN(MAX(Table1[[#This Row],[DiscountPct]],0),0.3), Table1[[#This Row],[DiscountPct]])</f>
        <v>0.17299999999999999</v>
      </c>
      <c r="T633" t="str">
        <f>IF(OR(Table1[[#This Row],[DiscountPct]]&lt;0,Table1[[#This Row],[DiscountPct]]&gt;0.3),"Check","OK")</f>
        <v>OK</v>
      </c>
      <c r="U633" s="11">
        <v>0.17299999999999999</v>
      </c>
      <c r="V633" s="15">
        <f t="shared" si="138"/>
        <v>0</v>
      </c>
      <c r="W633" s="11">
        <f t="shared" si="139"/>
        <v>-0.3638230806412337</v>
      </c>
      <c r="X633" s="17">
        <f t="shared" si="140"/>
        <v>363.02</v>
      </c>
      <c r="Y633" s="17">
        <f t="shared" si="141"/>
        <v>-96.841780000000028</v>
      </c>
      <c r="Z633" s="17">
        <f t="shared" si="142"/>
        <v>266.17821999999995</v>
      </c>
      <c r="AA633" s="17" t="str">
        <f t="shared" si="143"/>
        <v>Q1-2025</v>
      </c>
      <c r="AB633" s="12" t="str">
        <f t="shared" si="144"/>
        <v>Feb-2025</v>
      </c>
      <c r="AC633" s="12" t="str">
        <f t="shared" si="145"/>
        <v>Low</v>
      </c>
      <c r="AD633">
        <v>7</v>
      </c>
      <c r="AE633" s="12">
        <f>_xlfn.MINIFS(Table1[MonthDate], Table1[Country], Table1[[#This Row],[Country]])</f>
        <v>44986</v>
      </c>
      <c r="AF633" s="12">
        <f t="shared" si="146"/>
        <v>45689</v>
      </c>
      <c r="AG633">
        <f>AD633*(1 + Scenario_Control!$B$4)</f>
        <v>7.7000000000000011</v>
      </c>
      <c r="AH633">
        <f>O633*(1 + Scenario_Control!$B$3)</f>
        <v>54.453000000000003</v>
      </c>
      <c r="AI633">
        <f t="shared" si="147"/>
        <v>58.559208400000003</v>
      </c>
      <c r="AJ633">
        <f t="shared" si="148"/>
        <v>-360.72889160000011</v>
      </c>
      <c r="AK633" s="29">
        <f>MIN(Q633*(1-U633), Scenario_Control!$B$2*Q633)</f>
        <v>9.1959999999999997</v>
      </c>
      <c r="AL633" s="15">
        <f t="shared" si="149"/>
        <v>0</v>
      </c>
      <c r="AM633" s="8">
        <f>DATEDIF(Table1[[#This Row],[Country_FirstMonth]], Table1[[#This Row],[MonthDate]], "m")</f>
        <v>23</v>
      </c>
    </row>
    <row r="638" spans="1:39" x14ac:dyDescent="0.25">
      <c r="AE638" s="12" t="s">
        <v>1454</v>
      </c>
    </row>
    <row r="639" spans="1:39" x14ac:dyDescent="0.25">
      <c r="AE639" s="12">
        <f>_xlfn.QUARTILE.INC(Table1[UnitPrice_Clean],1)</f>
        <v>606.37750000000005</v>
      </c>
    </row>
    <row r="640" spans="1:39" x14ac:dyDescent="0.25">
      <c r="AE640" s="12" t="s">
        <v>1455</v>
      </c>
    </row>
    <row r="641" spans="31:31" x14ac:dyDescent="0.25">
      <c r="AE641" s="12">
        <f>_xlfn.QUARTILE.INC(Table1[UnitPrice_Clean],3)</f>
        <v>1912.0450000000001</v>
      </c>
    </row>
  </sheetData>
  <conditionalFormatting sqref="D1:D1048576">
    <cfRule type="containsText" dxfId="3" priority="1" operator="containsText" text="Check">
      <formula>NOT(ISERROR(SEARCH("Check",D1)))</formula>
    </cfRule>
  </conditionalFormatting>
  <conditionalFormatting sqref="D3">
    <cfRule type="containsText" dxfId="2" priority="2" operator="containsText" text="Check">
      <formula>NOT(ISERROR(SEARCH("Check",D3)))</formula>
    </cfRule>
  </conditionalFormatting>
  <conditionalFormatting sqref="P1:Q1048576">
    <cfRule type="containsText" dxfId="1" priority="4" operator="containsText" text="Check">
      <formula>NOT(ISERROR(SEARCH("Check",P1)))</formula>
    </cfRule>
  </conditionalFormatting>
  <conditionalFormatting sqref="T1:T1048576">
    <cfRule type="containsText" dxfId="0" priority="3" operator="containsText" text="Check">
      <formula>NOT(ISERROR(SEARCH("Check",T1)))</formula>
    </cfRule>
  </conditionalFormatting>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AB415-2550-4C74-87F3-A549D595C619}">
  <sheetPr codeName="Sheet12"/>
  <dimension ref="B1:B45"/>
  <sheetViews>
    <sheetView tabSelected="1" topLeftCell="B10" zoomScale="87" zoomScaleNormal="87" workbookViewId="0">
      <selection activeCell="B26" sqref="B26"/>
    </sheetView>
  </sheetViews>
  <sheetFormatPr defaultRowHeight="15" x14ac:dyDescent="0.25"/>
  <cols>
    <col min="2" max="2" width="216.140625" bestFit="1" customWidth="1"/>
  </cols>
  <sheetData>
    <row r="1" spans="2:2" x14ac:dyDescent="0.25">
      <c r="B1" s="9" t="s">
        <v>1436</v>
      </c>
    </row>
    <row r="2" spans="2:2" x14ac:dyDescent="0.25">
      <c r="B2" t="s">
        <v>1422</v>
      </c>
    </row>
    <row r="3" spans="2:2" x14ac:dyDescent="0.25">
      <c r="B3" t="s">
        <v>1423</v>
      </c>
    </row>
    <row r="4" spans="2:2" x14ac:dyDescent="0.25">
      <c r="B4" t="s">
        <v>1424</v>
      </c>
    </row>
    <row r="6" spans="2:2" x14ac:dyDescent="0.25">
      <c r="B6" t="s">
        <v>1426</v>
      </c>
    </row>
    <row r="7" spans="2:2" x14ac:dyDescent="0.25">
      <c r="B7" t="s">
        <v>1427</v>
      </c>
    </row>
    <row r="8" spans="2:2" x14ac:dyDescent="0.25">
      <c r="B8" t="s">
        <v>1429</v>
      </c>
    </row>
    <row r="9" spans="2:2" x14ac:dyDescent="0.25">
      <c r="B9" t="s">
        <v>1444</v>
      </c>
    </row>
    <row r="10" spans="2:2" x14ac:dyDescent="0.25">
      <c r="B10" t="s">
        <v>1438</v>
      </c>
    </row>
    <row r="11" spans="2:2" x14ac:dyDescent="0.25">
      <c r="B11" t="s">
        <v>1440</v>
      </c>
    </row>
    <row r="12" spans="2:2" x14ac:dyDescent="0.25">
      <c r="B12" t="s">
        <v>1448</v>
      </c>
    </row>
    <row r="13" spans="2:2" x14ac:dyDescent="0.25">
      <c r="B13" t="s">
        <v>1449</v>
      </c>
    </row>
    <row r="14" spans="2:2" x14ac:dyDescent="0.25">
      <c r="B14" t="s">
        <v>1452</v>
      </c>
    </row>
    <row r="15" spans="2:2" x14ac:dyDescent="0.25">
      <c r="B15" t="s">
        <v>1453</v>
      </c>
    </row>
    <row r="16" spans="2:2" x14ac:dyDescent="0.25">
      <c r="B16" t="s">
        <v>1456</v>
      </c>
    </row>
    <row r="17" spans="2:2" x14ac:dyDescent="0.25">
      <c r="B17" t="s">
        <v>1462</v>
      </c>
    </row>
    <row r="18" spans="2:2" x14ac:dyDescent="0.25">
      <c r="B18" t="s">
        <v>1466</v>
      </c>
    </row>
    <row r="19" spans="2:2" x14ac:dyDescent="0.25">
      <c r="B19" t="s">
        <v>1467</v>
      </c>
    </row>
    <row r="20" spans="2:2" x14ac:dyDescent="0.25">
      <c r="B20" t="s">
        <v>1504</v>
      </c>
    </row>
    <row r="21" spans="2:2" x14ac:dyDescent="0.25">
      <c r="B21" t="s">
        <v>1508</v>
      </c>
    </row>
    <row r="23" spans="2:2" x14ac:dyDescent="0.25">
      <c r="B23" t="s">
        <v>1513</v>
      </c>
    </row>
    <row r="24" spans="2:2" x14ac:dyDescent="0.25">
      <c r="B24" t="s">
        <v>1517</v>
      </c>
    </row>
    <row r="25" spans="2:2" x14ac:dyDescent="0.25">
      <c r="B25" t="s">
        <v>1533</v>
      </c>
    </row>
    <row r="26" spans="2:2" x14ac:dyDescent="0.25">
      <c r="B26" t="s">
        <v>1536</v>
      </c>
    </row>
    <row r="27" spans="2:2" x14ac:dyDescent="0.25">
      <c r="B27" t="s">
        <v>1537</v>
      </c>
    </row>
    <row r="28" spans="2:2" x14ac:dyDescent="0.25">
      <c r="B28" t="s">
        <v>1538</v>
      </c>
    </row>
    <row r="30" spans="2:2" x14ac:dyDescent="0.25">
      <c r="B30" s="9" t="s">
        <v>1539</v>
      </c>
    </row>
    <row r="31" spans="2:2" x14ac:dyDescent="0.25">
      <c r="B31" s="34"/>
    </row>
    <row r="32" spans="2:2" x14ac:dyDescent="0.25">
      <c r="B32" s="34" t="s">
        <v>1540</v>
      </c>
    </row>
    <row r="33" spans="2:2" x14ac:dyDescent="0.25">
      <c r="B33" s="9" t="s">
        <v>1541</v>
      </c>
    </row>
    <row r="34" spans="2:2" x14ac:dyDescent="0.25">
      <c r="B34" s="34"/>
    </row>
    <row r="35" spans="2:2" x14ac:dyDescent="0.25">
      <c r="B35" s="34" t="s">
        <v>1542</v>
      </c>
    </row>
    <row r="36" spans="2:2" x14ac:dyDescent="0.25">
      <c r="B36" s="9" t="s">
        <v>1543</v>
      </c>
    </row>
    <row r="37" spans="2:2" x14ac:dyDescent="0.25">
      <c r="B37" s="34"/>
    </row>
    <row r="38" spans="2:2" x14ac:dyDescent="0.25">
      <c r="B38" s="34" t="s">
        <v>1544</v>
      </c>
    </row>
    <row r="39" spans="2:2" x14ac:dyDescent="0.25">
      <c r="B39" s="9" t="s">
        <v>1545</v>
      </c>
    </row>
    <row r="40" spans="2:2" x14ac:dyDescent="0.25">
      <c r="B40" s="34"/>
    </row>
    <row r="41" spans="2:2" x14ac:dyDescent="0.25">
      <c r="B41" s="34" t="s">
        <v>1546</v>
      </c>
    </row>
    <row r="42" spans="2:2" x14ac:dyDescent="0.25">
      <c r="B42" s="34"/>
    </row>
    <row r="43" spans="2:2" x14ac:dyDescent="0.25">
      <c r="B43" s="34" t="s">
        <v>1547</v>
      </c>
    </row>
    <row r="44" spans="2:2" x14ac:dyDescent="0.25">
      <c r="B44" s="34"/>
    </row>
    <row r="45" spans="2:2" x14ac:dyDescent="0.25">
      <c r="B45" s="34" t="s">
        <v>1548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3"/>
  <dimension ref="A1:A67"/>
  <sheetViews>
    <sheetView topLeftCell="A13" workbookViewId="0">
      <selection activeCell="L60" sqref="L60"/>
    </sheetView>
  </sheetViews>
  <sheetFormatPr defaultRowHeight="15" x14ac:dyDescent="0.25"/>
  <sheetData>
    <row r="1" spans="1:1" x14ac:dyDescent="0.25">
      <c r="A1" s="1" t="s">
        <v>1364</v>
      </c>
    </row>
    <row r="2" spans="1:1" x14ac:dyDescent="0.25">
      <c r="A2" t="s">
        <v>1365</v>
      </c>
    </row>
    <row r="4" spans="1:1" x14ac:dyDescent="0.25">
      <c r="A4" t="s">
        <v>1366</v>
      </c>
    </row>
    <row r="5" spans="1:1" x14ac:dyDescent="0.25">
      <c r="A5" t="s">
        <v>1367</v>
      </c>
    </row>
    <row r="6" spans="1:1" x14ac:dyDescent="0.25">
      <c r="A6" t="s">
        <v>1368</v>
      </c>
    </row>
    <row r="8" spans="1:1" x14ac:dyDescent="0.25">
      <c r="A8" t="s">
        <v>1369</v>
      </c>
    </row>
    <row r="9" spans="1:1" x14ac:dyDescent="0.25">
      <c r="A9" t="s">
        <v>1370</v>
      </c>
    </row>
    <row r="10" spans="1:1" x14ac:dyDescent="0.25">
      <c r="A10" t="s">
        <v>1371</v>
      </c>
    </row>
    <row r="11" spans="1:1" x14ac:dyDescent="0.25">
      <c r="A11" t="s">
        <v>1372</v>
      </c>
    </row>
    <row r="12" spans="1:1" x14ac:dyDescent="0.25">
      <c r="A12" t="s">
        <v>1373</v>
      </c>
    </row>
    <row r="13" spans="1:1" x14ac:dyDescent="0.25">
      <c r="A13" t="s">
        <v>1374</v>
      </c>
    </row>
    <row r="14" spans="1:1" x14ac:dyDescent="0.25">
      <c r="A14" t="s">
        <v>1375</v>
      </c>
    </row>
    <row r="15" spans="1:1" x14ac:dyDescent="0.25">
      <c r="A15" t="s">
        <v>1376</v>
      </c>
    </row>
    <row r="17" spans="1:1" x14ac:dyDescent="0.25">
      <c r="A17" t="s">
        <v>1377</v>
      </c>
    </row>
    <row r="18" spans="1:1" x14ac:dyDescent="0.25">
      <c r="A18" t="s">
        <v>1378</v>
      </c>
    </row>
    <row r="19" spans="1:1" x14ac:dyDescent="0.25">
      <c r="A19" t="s">
        <v>1379</v>
      </c>
    </row>
    <row r="20" spans="1:1" x14ac:dyDescent="0.25">
      <c r="A20" t="s">
        <v>1380</v>
      </c>
    </row>
    <row r="21" spans="1:1" x14ac:dyDescent="0.25">
      <c r="A21" t="s">
        <v>1381</v>
      </c>
    </row>
    <row r="23" spans="1:1" x14ac:dyDescent="0.25">
      <c r="A23" t="s">
        <v>1382</v>
      </c>
    </row>
    <row r="24" spans="1:1" x14ac:dyDescent="0.25">
      <c r="A24" t="s">
        <v>1383</v>
      </c>
    </row>
    <row r="25" spans="1:1" x14ac:dyDescent="0.25">
      <c r="A25" t="s">
        <v>1384</v>
      </c>
    </row>
    <row r="26" spans="1:1" x14ac:dyDescent="0.25">
      <c r="A26" t="s">
        <v>1385</v>
      </c>
    </row>
    <row r="27" spans="1:1" x14ac:dyDescent="0.25">
      <c r="A27" t="s">
        <v>1386</v>
      </c>
    </row>
    <row r="29" spans="1:1" x14ac:dyDescent="0.25">
      <c r="A29" t="s">
        <v>1387</v>
      </c>
    </row>
    <row r="30" spans="1:1" x14ac:dyDescent="0.25">
      <c r="A30" t="s">
        <v>1388</v>
      </c>
    </row>
    <row r="31" spans="1:1" x14ac:dyDescent="0.25">
      <c r="A31" t="s">
        <v>1389</v>
      </c>
    </row>
    <row r="32" spans="1:1" x14ac:dyDescent="0.25">
      <c r="A32" t="s">
        <v>1390</v>
      </c>
    </row>
    <row r="33" spans="1:1" x14ac:dyDescent="0.25">
      <c r="A33" t="s">
        <v>1391</v>
      </c>
    </row>
    <row r="34" spans="1:1" x14ac:dyDescent="0.25">
      <c r="A34" t="s">
        <v>1392</v>
      </c>
    </row>
    <row r="35" spans="1:1" x14ac:dyDescent="0.25">
      <c r="A35" t="s">
        <v>1393</v>
      </c>
    </row>
    <row r="36" spans="1:1" x14ac:dyDescent="0.25">
      <c r="A36" t="s">
        <v>1394</v>
      </c>
    </row>
    <row r="37" spans="1:1" x14ac:dyDescent="0.25">
      <c r="A37" t="s">
        <v>1395</v>
      </c>
    </row>
    <row r="38" spans="1:1" x14ac:dyDescent="0.25">
      <c r="A38" t="s">
        <v>1396</v>
      </c>
    </row>
    <row r="39" spans="1:1" x14ac:dyDescent="0.25">
      <c r="A39" t="s">
        <v>1397</v>
      </c>
    </row>
    <row r="40" spans="1:1" x14ac:dyDescent="0.25">
      <c r="A40" t="s">
        <v>1398</v>
      </c>
    </row>
    <row r="41" spans="1:1" x14ac:dyDescent="0.25">
      <c r="A41" t="s">
        <v>1399</v>
      </c>
    </row>
    <row r="43" spans="1:1" x14ac:dyDescent="0.25">
      <c r="A43" t="s">
        <v>1400</v>
      </c>
    </row>
    <row r="44" spans="1:1" x14ac:dyDescent="0.25">
      <c r="A44" t="s">
        <v>1401</v>
      </c>
    </row>
    <row r="45" spans="1:1" x14ac:dyDescent="0.25">
      <c r="A45" t="s">
        <v>1402</v>
      </c>
    </row>
    <row r="46" spans="1:1" x14ac:dyDescent="0.25">
      <c r="A46" t="s">
        <v>1403</v>
      </c>
    </row>
    <row r="47" spans="1:1" x14ac:dyDescent="0.25">
      <c r="A47" t="s">
        <v>1404</v>
      </c>
    </row>
    <row r="48" spans="1:1" x14ac:dyDescent="0.25">
      <c r="A48" t="s">
        <v>1405</v>
      </c>
    </row>
    <row r="50" spans="1:1" x14ac:dyDescent="0.25">
      <c r="A50" t="s">
        <v>1406</v>
      </c>
    </row>
    <row r="51" spans="1:1" x14ac:dyDescent="0.25">
      <c r="A51" t="s">
        <v>1407</v>
      </c>
    </row>
    <row r="52" spans="1:1" x14ac:dyDescent="0.25">
      <c r="A52" t="s">
        <v>1408</v>
      </c>
    </row>
    <row r="53" spans="1:1" x14ac:dyDescent="0.25">
      <c r="A53" t="s">
        <v>1409</v>
      </c>
    </row>
    <row r="54" spans="1:1" x14ac:dyDescent="0.25">
      <c r="A54" t="s">
        <v>1410</v>
      </c>
    </row>
    <row r="55" spans="1:1" x14ac:dyDescent="0.25">
      <c r="A55" t="s">
        <v>1411</v>
      </c>
    </row>
    <row r="56" spans="1:1" x14ac:dyDescent="0.25">
      <c r="A56" t="s">
        <v>1412</v>
      </c>
    </row>
    <row r="57" spans="1:1" x14ac:dyDescent="0.25">
      <c r="A57" t="s">
        <v>1413</v>
      </c>
    </row>
    <row r="58" spans="1:1" x14ac:dyDescent="0.25">
      <c r="A58" t="s">
        <v>1414</v>
      </c>
    </row>
    <row r="59" spans="1:1" x14ac:dyDescent="0.25">
      <c r="A59" t="s">
        <v>1415</v>
      </c>
    </row>
    <row r="61" spans="1:1" x14ac:dyDescent="0.25">
      <c r="A61" t="s">
        <v>1416</v>
      </c>
    </row>
    <row r="62" spans="1:1" x14ac:dyDescent="0.25">
      <c r="A62" t="s">
        <v>1417</v>
      </c>
    </row>
    <row r="64" spans="1:1" x14ac:dyDescent="0.25">
      <c r="A64" t="s">
        <v>1418</v>
      </c>
    </row>
    <row r="65" spans="1:1" x14ac:dyDescent="0.25">
      <c r="A65" t="s">
        <v>1419</v>
      </c>
    </row>
    <row r="66" spans="1:1" x14ac:dyDescent="0.25">
      <c r="A66" t="s">
        <v>1420</v>
      </c>
    </row>
    <row r="67" spans="1:1" x14ac:dyDescent="0.25">
      <c r="A67" t="s">
        <v>1421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A9C84-DCA8-494A-B65B-AA03A7511C3D}">
  <sheetPr codeName="Sheet1"/>
  <dimension ref="A1:G10"/>
  <sheetViews>
    <sheetView workbookViewId="0">
      <selection activeCell="F10" sqref="F10"/>
    </sheetView>
  </sheetViews>
  <sheetFormatPr defaultRowHeight="15" x14ac:dyDescent="0.25"/>
  <cols>
    <col min="1" max="1" width="18.5703125" customWidth="1"/>
    <col min="2" max="2" width="8.42578125" style="32" bestFit="1" customWidth="1"/>
    <col min="4" max="4" width="18" bestFit="1" customWidth="1"/>
    <col min="5" max="5" width="13.85546875" bestFit="1" customWidth="1"/>
    <col min="6" max="6" width="11.5703125" style="29" bestFit="1" customWidth="1"/>
    <col min="7" max="7" width="11.5703125" bestFit="1" customWidth="1"/>
  </cols>
  <sheetData>
    <row r="1" spans="1:7" x14ac:dyDescent="0.25">
      <c r="A1" t="s">
        <v>1518</v>
      </c>
      <c r="B1" s="32" t="s">
        <v>1519</v>
      </c>
    </row>
    <row r="2" spans="1:7" x14ac:dyDescent="0.25">
      <c r="A2" t="s">
        <v>1520</v>
      </c>
      <c r="B2" s="32">
        <v>0.2</v>
      </c>
    </row>
    <row r="3" spans="1:7" x14ac:dyDescent="0.25">
      <c r="A3" t="s">
        <v>1521</v>
      </c>
      <c r="B3" s="32">
        <v>0.05</v>
      </c>
    </row>
    <row r="4" spans="1:7" x14ac:dyDescent="0.25">
      <c r="A4" t="s">
        <v>1522</v>
      </c>
      <c r="B4" s="32">
        <v>0.1</v>
      </c>
    </row>
    <row r="7" spans="1:7" x14ac:dyDescent="0.25">
      <c r="E7" t="s">
        <v>1526</v>
      </c>
      <c r="F7" s="29" t="s">
        <v>1527</v>
      </c>
      <c r="G7" t="s">
        <v>1528</v>
      </c>
    </row>
    <row r="8" spans="1:7" x14ac:dyDescent="0.25">
      <c r="E8" t="s">
        <v>1470</v>
      </c>
      <c r="F8" s="29">
        <f>SUM(Data_staging!Z:Z)</f>
        <v>10944328.85743</v>
      </c>
      <c r="G8">
        <f>SUM(Data_staging!AI:AI)</f>
        <v>2404029.4654156007</v>
      </c>
    </row>
    <row r="9" spans="1:7" x14ac:dyDescent="0.25">
      <c r="E9" t="s">
        <v>1529</v>
      </c>
      <c r="F9" s="29">
        <f>SUM(Data_staging!Y:Y)</f>
        <v>3416581.1474300027</v>
      </c>
      <c r="G9">
        <f>SUM(Data_staging!AJ:AJ)</f>
        <v>-6290519.1396343932</v>
      </c>
    </row>
    <row r="10" spans="1:7" x14ac:dyDescent="0.25">
      <c r="E10" t="s">
        <v>1530</v>
      </c>
      <c r="F10" s="29">
        <f>IF(SUM(Data_staging!Z:Z)=0,0,SUM(Data_staging!Y:Y)/SUM(Data_staging!Z:Z))</f>
        <v>0.31217822416863128</v>
      </c>
      <c r="G10">
        <f>IF(SUM(Data_staging!AI:AI)=0,0,SUM(Data_staging!AJ:AJ)/SUM(Data_staging!AI:AI))</f>
        <v>-2.6166564221154038</v>
      </c>
    </row>
  </sheetData>
  <phoneticPr fontId="2" type="noConversion"/>
  <pageMargins left="0.7" right="0.7" top="0.75" bottom="0.75" header="0.3" footer="0.3"/>
  <tableParts count="3">
    <tablePart r:id="rId1"/>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4F81A-7FD3-4325-BB29-AFCF2BA8BE47}">
  <dimension ref="B2:B3"/>
  <sheetViews>
    <sheetView zoomScale="64" zoomScaleNormal="64" workbookViewId="0">
      <selection activeCell="AD13" sqref="AD13"/>
    </sheetView>
  </sheetViews>
  <sheetFormatPr defaultRowHeight="15" x14ac:dyDescent="0.25"/>
  <cols>
    <col min="1" max="16384" width="9.140625" style="33"/>
  </cols>
  <sheetData>
    <row r="2" spans="2:2" x14ac:dyDescent="0.25">
      <c r="B2" s="33" t="str">
        <f>"Revenue by Month | Region: " &amp; IF(B3="(All)","All Regions",B3)</f>
        <v>Revenue by Month | Region: Africa</v>
      </c>
    </row>
    <row r="3" spans="2:2" x14ac:dyDescent="0.25">
      <c r="B3" s="33" t="str">
        <f>Sheet18!A4</f>
        <v>Africa</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Data</vt:lpstr>
      <vt:lpstr>Cohort Analysis</vt:lpstr>
      <vt:lpstr>SKU</vt:lpstr>
      <vt:lpstr>ABC</vt:lpstr>
      <vt:lpstr>salespersons</vt:lpstr>
      <vt:lpstr>per month</vt:lpstr>
      <vt:lpstr>Channel Mix</vt:lpstr>
      <vt:lpstr>Service Level </vt:lpstr>
      <vt:lpstr>Price Compliance</vt:lpstr>
      <vt:lpstr>Revenue per month</vt:lpstr>
      <vt:lpstr>Profit by R n C</vt:lpstr>
      <vt:lpstr>10 SKU</vt:lpstr>
      <vt:lpstr>slicer</vt:lpstr>
      <vt:lpstr>Sheet17</vt:lpstr>
      <vt:lpstr>Sheet18</vt:lpstr>
      <vt:lpstr>Data_staging</vt:lpstr>
      <vt:lpstr>Read Me</vt:lpstr>
      <vt:lpstr>Brief</vt:lpstr>
      <vt:lpstr>Scenario_Control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Guest user</cp:lastModifiedBy>
  <dcterms:created xsi:type="dcterms:W3CDTF">2025-09-28T10:49:35Z</dcterms:created>
  <dcterms:modified xsi:type="dcterms:W3CDTF">2026-01-30T19:27:08Z</dcterms:modified>
</cp:coreProperties>
</file>