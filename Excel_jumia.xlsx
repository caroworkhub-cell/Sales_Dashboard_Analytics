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Guest user\Documents\CARO\CaroGit\"/>
    </mc:Choice>
  </mc:AlternateContent>
  <xr:revisionPtr revIDLastSave="0" documentId="13_ncr:1_{6B88915F-8ECA-4668-9EE9-38F8AD4F205E}" xr6:coauthVersionLast="47" xr6:coauthVersionMax="47" xr10:uidLastSave="{00000000-0000-0000-0000-000000000000}"/>
  <bookViews>
    <workbookView xWindow="-120" yWindow="-120" windowWidth="20730" windowHeight="11040" firstSheet="8" activeTab="11" xr2:uid="{EF8A9628-A588-41A9-A4A1-EFF7D8061B90}"/>
  </bookViews>
  <sheets>
    <sheet name="Avg rating by discount cat" sheetId="5" r:id="rId1"/>
    <sheet name="Summary" sheetId="15" r:id="rId2"/>
    <sheet name="Discount vs review" sheetId="9" r:id="rId3"/>
    <sheet name="Products by rating cat" sheetId="10" r:id="rId4"/>
    <sheet name="Rating vs disct" sheetId="12" r:id="rId5"/>
    <sheet name="Dashboard" sheetId="19" r:id="rId6"/>
    <sheet name="Top Products Discount" sheetId="16" r:id="rId7"/>
    <sheet name="Top products review" sheetId="17" r:id="rId8"/>
    <sheet name="Rating and review acc disct" sheetId="18" r:id="rId9"/>
    <sheet name="Top Product rating" sheetId="20" r:id="rId10"/>
    <sheet name="Rating vs review" sheetId="21" r:id="rId11"/>
    <sheet name="Excel_jumia" sheetId="1" r:id="rId12"/>
  </sheets>
  <definedNames>
    <definedName name="Slicer_Discount_Category">#N/A</definedName>
    <definedName name="Slicer_Rating_Category">#N/A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5"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G112" i="1"/>
  <c r="B112" i="1"/>
  <c r="C112" i="1" s="1"/>
  <c r="D44" i="1"/>
  <c r="E44" i="1"/>
  <c r="H44"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2" i="1"/>
  <c r="E3" i="1"/>
  <c r="H3" i="1" s="1"/>
  <c r="E4" i="1"/>
  <c r="H4" i="1" s="1"/>
  <c r="E5" i="1"/>
  <c r="H5" i="1" s="1"/>
  <c r="E6" i="1"/>
  <c r="H6" i="1" s="1"/>
  <c r="E7" i="1"/>
  <c r="H7" i="1" s="1"/>
  <c r="E8" i="1"/>
  <c r="H8" i="1" s="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0" i="1"/>
  <c r="H70" i="1" s="1"/>
  <c r="E71" i="1"/>
  <c r="H71" i="1" s="1"/>
  <c r="E72" i="1"/>
  <c r="H72" i="1" s="1"/>
  <c r="E73" i="1"/>
  <c r="H73" i="1" s="1"/>
  <c r="E74" i="1"/>
  <c r="H74" i="1" s="1"/>
  <c r="E75" i="1"/>
  <c r="H75" i="1" s="1"/>
  <c r="E76" i="1"/>
  <c r="H76" i="1" s="1"/>
  <c r="E77" i="1"/>
  <c r="H77" i="1" s="1"/>
  <c r="E78" i="1"/>
  <c r="H78" i="1" s="1"/>
  <c r="E79" i="1"/>
  <c r="H79" i="1" s="1"/>
  <c r="E80" i="1"/>
  <c r="H80" i="1" s="1"/>
  <c r="E81" i="1"/>
  <c r="H81" i="1" s="1"/>
  <c r="E82" i="1"/>
  <c r="H82" i="1" s="1"/>
  <c r="E83" i="1"/>
  <c r="H83" i="1" s="1"/>
  <c r="E84" i="1"/>
  <c r="H84" i="1" s="1"/>
  <c r="E85" i="1"/>
  <c r="H85" i="1" s="1"/>
  <c r="E86" i="1"/>
  <c r="H86" i="1" s="1"/>
  <c r="E87" i="1"/>
  <c r="H87" i="1" s="1"/>
  <c r="E88" i="1"/>
  <c r="H88" i="1" s="1"/>
  <c r="E89" i="1"/>
  <c r="H89" i="1" s="1"/>
  <c r="E90" i="1"/>
  <c r="H90" i="1" s="1"/>
  <c r="E91" i="1"/>
  <c r="H91" i="1" s="1"/>
  <c r="E92" i="1"/>
  <c r="H92" i="1" s="1"/>
  <c r="E93" i="1"/>
  <c r="H93"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6" i="1"/>
  <c r="H106" i="1" s="1"/>
  <c r="E107" i="1"/>
  <c r="H107" i="1" s="1"/>
  <c r="E108" i="1"/>
  <c r="H108" i="1" s="1"/>
  <c r="E109" i="1"/>
  <c r="H109" i="1" s="1"/>
  <c r="E110" i="1"/>
  <c r="H110" i="1" s="1"/>
  <c r="E2" i="1"/>
  <c r="H2" i="1" s="1"/>
  <c r="E112" i="1" l="1"/>
</calcChain>
</file>

<file path=xl/sharedStrings.xml><?xml version="1.0" encoding="utf-8"?>
<sst xmlns="http://schemas.openxmlformats.org/spreadsheetml/2006/main" count="290" uniqueCount="163">
  <si>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</si>
  <si>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</si>
  <si>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</si>
  <si>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</si>
  <si>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</si>
  <si>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</si>
  <si>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</si>
  <si>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</si>
  <si>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</si>
  <si>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</si>
  <si>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</si>
  <si>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</si>
  <si>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</si>
  <si>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</si>
  <si>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</si>
  <si>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</si>
  <si>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</si>
  <si>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</si>
  <si>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</si>
  <si>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</si>
  <si>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</si>
  <si>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</si>
  <si>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</si>
  <si>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</si>
  <si>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</si>
  <si>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</si>
  <si>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</si>
  <si>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</si>
  <si>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</si>
  <si>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</si>
  <si>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</si>
  <si>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</si>
  <si>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</si>
  <si>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</si>
  <si>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</si>
  <si>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</si>
  <si>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</si>
  <si>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</si>
  <si>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</si>
  <si>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</si>
  <si>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</si>
  <si>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</si>
  <si>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</si>
  <si>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</si>
  <si>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</si>
  <si>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</si>
  <si>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</si>
  <si>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</si>
  <si>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</si>
  <si>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</si>
  <si>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</si>
  <si>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</si>
  <si>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</si>
  <si>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</si>
  <si>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</si>
  <si>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</si>
  <si>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</si>
  <si>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</si>
  <si>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</si>
  <si>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</si>
  <si>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</si>
  <si>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</si>
  <si>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</si>
  <si>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</si>
  <si>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</si>
  <si>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</si>
  <si>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</si>
  <si>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</si>
  <si>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</si>
  <si>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</si>
  <si>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</si>
  <si>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</si>
  <si>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</si>
  <si>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</si>
  <si>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</si>
  <si>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</si>
  <si>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</si>
  <si>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</si>
  <si>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</si>
  <si>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</si>
  <si>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</si>
  <si>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</si>
  <si>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</si>
  <si>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</si>
  <si>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</si>
  <si>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</si>
  <si>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</si>
  <si>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</si>
  <si>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</si>
  <si>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</si>
  <si>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</si>
  <si>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</si>
  <si>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</si>
  <si>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</si>
  <si>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</si>
  <si>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</si>
  <si>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</si>
  <si>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</si>
  <si>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</si>
  <si>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</si>
  <si>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</si>
  <si>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</si>
  <si>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</si>
  <si>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</si>
  <si>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</si>
  <si>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</si>
  <si>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</si>
  <si>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</si>
  <si>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</si>
  <si>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</si>
  <si>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</si>
  <si>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</si>
  <si>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MultiFunctional Storage Rack Multi-layer Booelf</t>
  </si>
  <si>
    <t>Rating (out of 5)</t>
  </si>
  <si>
    <t>Old price</t>
  </si>
  <si>
    <t>not provided</t>
  </si>
  <si>
    <t>Discount Amount</t>
  </si>
  <si>
    <t>Rating Category</t>
  </si>
  <si>
    <t>Discount Category</t>
  </si>
  <si>
    <t>Row Labels</t>
  </si>
  <si>
    <t>Low</t>
  </si>
  <si>
    <t>Medium</t>
  </si>
  <si>
    <t>Grand Total</t>
  </si>
  <si>
    <t>Average of Rating (out of 5)</t>
  </si>
  <si>
    <t>Column Labels</t>
  </si>
  <si>
    <t>High</t>
  </si>
  <si>
    <t>Sum of Review</t>
  </si>
  <si>
    <t>NOTES</t>
  </si>
  <si>
    <t>1.  Missing values in the Reviews and Rating Columns were identified using 'Find and Replace' (Ctrl + H)</t>
  </si>
  <si>
    <t>2. Blanks were replaced with '0' in the Review column and 'Not Provided' in the rating column.</t>
  </si>
  <si>
    <t>3. Conditional Formatting was used to identify duplicate values and Remove Duplicates in Data tab was used to eliminate them.</t>
  </si>
  <si>
    <t>4. Find and Replace was used to remove the 'Ksh' in the price columns and the column was later formatted to local currency.</t>
  </si>
  <si>
    <t>5. Discount column was formatted to percentage and later found to have miscalculated values. A new column was created and formula of (old price -current price )/ by old price was used to find correct discount.</t>
  </si>
  <si>
    <t>6.Text to column was used to remove the 'out of 5' and remaining values formatted to number. 'Out of 5' was moved to rating header.</t>
  </si>
  <si>
    <t>7. Negatives were converted to positives by Find and Replace of (-) with blanks.</t>
  </si>
  <si>
    <t>8.Prices with ranges were fixed by adding the values in the range and dividing by 2 to find average.</t>
  </si>
  <si>
    <t>Data Cleaning</t>
  </si>
  <si>
    <t>Data Enrichment</t>
  </si>
  <si>
    <t>9.Discount amount column was created using minus funtion.</t>
  </si>
  <si>
    <t>10. Rating and Discount Category colums were created using Nested IF functions.</t>
  </si>
  <si>
    <t>11. Average Price, discount percentage and rating were calculated using average function.</t>
  </si>
  <si>
    <t>12. Most expensive and least expensive products were identified using conditional formatting and the results were:Ksh3750.00 And Ksh38.00</t>
  </si>
  <si>
    <t>13. A pivot table was created to identify average rating and discount by discount category, a bar chart was created from the results for visualisation of the trends.</t>
  </si>
  <si>
    <t>14. A pivot table containing count of products and rating was created to analyse distribution.</t>
  </si>
  <si>
    <t>17.A column chart was created to display top 10 products according to highest discount, this was achieved by applying sort and filter to the pivot table with products and discount value fields.</t>
  </si>
  <si>
    <t>18. A bar chart was created to display the top 10 products with the most reviews.</t>
  </si>
  <si>
    <t>0.0126382306477093-0.112638230647709</t>
  </si>
  <si>
    <t>0.112638230647709-0.212638230647709</t>
  </si>
  <si>
    <t>0.212638230647709-0.312638230647709</t>
  </si>
  <si>
    <t>0.312638230647709-0.412638230647709</t>
  </si>
  <si>
    <t>0.412638230647709-0.512638230647709</t>
  </si>
  <si>
    <t>0.512638230647709-0.612638230647709</t>
  </si>
  <si>
    <t>Total Reviews</t>
  </si>
  <si>
    <t>Average of Discount</t>
  </si>
  <si>
    <t>Average</t>
  </si>
  <si>
    <t>Excellent</t>
  </si>
  <si>
    <t>Poor</t>
  </si>
  <si>
    <t>Number of Product</t>
  </si>
  <si>
    <t>15. A scatter chart was created to display the relationship between discount percentage and number of reviews.</t>
  </si>
  <si>
    <t>16. A line chart was made to show relationship between rating and number of reviews.</t>
  </si>
  <si>
    <t>19. Slicers were created and connected tonthe charts in the dashboard.</t>
  </si>
  <si>
    <t>20. Dashboard was created with appropriate charts.</t>
  </si>
  <si>
    <t>Discussion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</si>
</sst>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5"/>
      <name val="Calibri"/>
      <family val="2"/>
      <scheme val="minor"/>
    </font>
    <font>
      <b/>
      <sz val="11"/>
      <color theme="5"/>
      <name val="Calibri"/>
      <family val="2"/>
      <scheme val="minor"/>
    </font>
    <font>
      <b/>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164" fontId="18" fillId="0" borderId="0" xfId="0" applyNumberFormat="1" applyFont="1"/>
    <xf numFmtId="164" fontId="0" fillId="0" borderId="0" xfId="0" applyNumberFormat="1"/>
    <xf numFmtId="10" fontId="18" fillId="0" borderId="0" xfId="0" applyNumberFormat="1" applyFont="1"/>
    <xf numFmtId="10" fontId="0" fillId="0" borderId="0" xfId="0" applyNumberFormat="1"/>
    <xf numFmtId="0" fontId="19" fillId="0" borderId="0" xfId="0" applyFont="1"/>
    <xf numFmtId="0" fontId="0" fillId="0" borderId="0" xfId="0" pivotButton="1"/>
    <xf numFmtId="0" fontId="0" fillId="0" borderId="0" xfId="0" applyAlignment="1">
      <alignment horizontal="left"/>
    </xf>
    <xf numFmtId="10" fontId="0" fillId="0" borderId="0" xfId="0" applyNumberFormat="1" applyAlignment="1">
      <alignment horizontal="left"/>
    </xf>
    <xf numFmtId="0" fontId="16" fillId="0" borderId="0" xfId="0" applyFont="1"/>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Discount</a:t>
            </a:r>
            <a:r>
              <a:rPr lang="en-US" b="1" baseline="0">
                <a:solidFill>
                  <a:srgbClr val="002060"/>
                </a:solidFill>
                <a:latin typeface="Aptos" panose="020B0004020202020204" pitchFamily="34" charset="0"/>
              </a:rPr>
              <a:t> vs Number of Reviews</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'Discount vs review'!$K$6:$K$11</c:f>
              <c:strCache>
                <c:ptCount val="6"/>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strCache>
            </c:strRef>
          </c:xVal>
          <c:yVal>
            <c:numRef>
              <c:f>'Discount vs review'!$L$6:$L$11</c:f>
              <c:numCache>
                <c:formatCode>General</c:formatCode>
                <c:ptCount val="6"/>
                <c:pt idx="0">
                  <c:v>15</c:v>
                </c:pt>
                <c:pt idx="1">
                  <c:v>36</c:v>
                </c:pt>
                <c:pt idx="2">
                  <c:v>191</c:v>
                </c:pt>
                <c:pt idx="3">
                  <c:v>183</c:v>
                </c:pt>
                <c:pt idx="4">
                  <c:v>221</c:v>
                </c:pt>
                <c:pt idx="5">
                  <c:v>76</c:v>
                </c:pt>
              </c:numCache>
            </c:numRef>
          </c:yVal>
          <c:smooth val="0"/>
          <c:extLst>
            <c:ext xmlns:c16="http://schemas.microsoft.com/office/drawing/2014/chart" uri="{C3380CC4-5D6E-409C-BE32-E72D297353CC}">
              <c16:uniqueId val="{00000000-8D86-4EDC-A393-5F825AE695A2}"/>
            </c:ext>
          </c:extLst>
        </c:ser>
        <c:dLbls>
          <c:dLblPos val="t"/>
          <c:showLegendKey val="0"/>
          <c:showVal val="1"/>
          <c:showCatName val="0"/>
          <c:showSerName val="0"/>
          <c:showPercent val="0"/>
          <c:showBubbleSize val="0"/>
        </c:dLbls>
        <c:axId val="238989552"/>
        <c:axId val="238988112"/>
      </c:scatterChart>
      <c:valAx>
        <c:axId val="238989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988112"/>
        <c:crosses val="autoZero"/>
        <c:crossBetween val="midCat"/>
      </c:valAx>
      <c:valAx>
        <c:axId val="23898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Number</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989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[Excel_jumia.xlsx]Products by rating cat!PivotTable7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Products</a:t>
            </a:r>
            <a:r>
              <a:rPr lang="en-US" b="1" baseline="0">
                <a:solidFill>
                  <a:srgbClr val="002060"/>
                </a:solidFill>
                <a:latin typeface="Aptos" panose="020B0004020202020204" pitchFamily="34" charset="0"/>
              </a:rPr>
              <a:t> by Rating Category</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by rating cat'!$B$3</c:f>
              <c:strCache>
                <c:ptCount val="1"/>
                <c:pt idx="0">
                  <c:v>Total</c:v>
                </c:pt>
              </c:strCache>
            </c:strRef>
          </c:tx>
          <c:spPr>
            <a:solidFill>
              <a:schemeClr val="accent2"/>
            </a:solidFill>
            <a:ln>
              <a:noFill/>
            </a:ln>
            <a:effectLst/>
          </c:spPr>
          <c:invertIfNegative val="0"/>
          <c:cat>
            <c:strRef>
              <c:f>'Products by rating cat'!$A$4:$A$8</c:f>
              <c:strCache>
                <c:ptCount val="4"/>
                <c:pt idx="0">
                  <c:v>Average</c:v>
                </c:pt>
                <c:pt idx="1">
                  <c:v>Excellent</c:v>
                </c:pt>
                <c:pt idx="2">
                  <c:v>not provided</c:v>
                </c:pt>
                <c:pt idx="3">
                  <c:v>Poor</c:v>
                </c:pt>
              </c:strCache>
            </c:strRef>
          </c:cat>
          <c:val>
            <c:numRef>
              <c:f>'Products by rating cat'!$B$4:$B$8</c:f>
              <c:numCache>
                <c:formatCode>General</c:formatCode>
                <c:ptCount val="4"/>
                <c:pt idx="0">
                  <c:v>22</c:v>
                </c:pt>
                <c:pt idx="1">
                  <c:v>23</c:v>
                </c:pt>
                <c:pt idx="2">
                  <c:v>53</c:v>
                </c:pt>
                <c:pt idx="3">
                  <c:v>11</c:v>
                </c:pt>
              </c:numCache>
            </c:numRef>
          </c:val>
          <c:extLst>
            <c:ext xmlns:c16="http://schemas.microsoft.com/office/drawing/2014/chart" uri="{C3380CC4-5D6E-409C-BE32-E72D297353CC}">
              <c16:uniqueId val="{00000000-7D73-4136-BCCA-9708C5CFDA41}"/>
            </c:ext>
          </c:extLst>
        </c:ser>
        <c:dLbls>
          <c:showLegendKey val="0"/>
          <c:showVal val="0"/>
          <c:showCatName val="0"/>
          <c:showSerName val="0"/>
          <c:showPercent val="0"/>
          <c:showBubbleSize val="0"/>
        </c:dLbls>
        <c:gapWidth val="150"/>
        <c:axId val="1340838831"/>
        <c:axId val="1340848431"/>
      </c:barChart>
      <c:catAx>
        <c:axId val="134083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0848431"/>
        <c:crosses val="autoZero"/>
        <c:auto val="1"/>
        <c:lblAlgn val="ctr"/>
        <c:lblOffset val="100"/>
        <c:noMultiLvlLbl val="0"/>
      </c:catAx>
      <c:valAx>
        <c:axId val="134084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083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[Excel_jumia.xlsx]Rating vs disct!PivotTable8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latin typeface="Aptos" panose="020B0004020202020204" pitchFamily="34" charset="0"/>
              </a:rPr>
              <a:t>Products by Discount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65000"/>
            </a:schemeClr>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'Rating vs disct'!$B$3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A8-412E-AD38-0B3B22B0AC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A8-412E-AD38-0B3B22B0AC0A}"/>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A8-412E-AD38-0B3B22B0AC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 vs disct'!$A$4:$A$7</c:f>
              <c:strCache>
                <c:ptCount val="3"/>
                <c:pt idx="0">
                  <c:v>High</c:v>
                </c:pt>
                <c:pt idx="1">
                  <c:v>Low</c:v>
                </c:pt>
                <c:pt idx="2">
                  <c:v>Medium</c:v>
                </c:pt>
              </c:strCache>
            </c:strRef>
          </c:cat>
          <c:val>
            <c:numRef>
              <c:f>'Rating vs disct'!$B$4:$B$7</c:f>
              <c:numCache>
                <c:formatCode>General</c:formatCode>
                <c:ptCount val="3"/>
                <c:pt idx="0">
                  <c:v>59</c:v>
                </c:pt>
                <c:pt idx="1">
                  <c:v>18</c:v>
                </c:pt>
                <c:pt idx="2">
                  <c:v>32</c:v>
                </c:pt>
              </c:numCache>
            </c:numRef>
          </c:val>
          <c:extLst>
            <c:ext xmlns:c16="http://schemas.microsoft.com/office/drawing/2014/chart" uri="{C3380CC4-5D6E-409C-BE32-E72D297353CC}">
              <c16:uniqueId val="{00000000-E359-4E6F-B204-752D1CABDE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[Excel_jumia.xlsx]Rating vs review!PivotTable1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rPr>
              <a:t>Rating vs Review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'Rating vs review'!$A$4:$A$26</c:f>
              <c:strCache>
                <c:ptCount val="22"/>
                <c:pt idx="0">
                  <c:v>2.1</c:v>
                </c:pt>
                <c:pt idx="1">
                  <c:v>2.2</c:v>
                </c:pt>
                <c:pt idx="2">
                  <c:v>2.3</c:v>
                </c:pt>
                <c:pt idx="3">
                  <c:v>2.5</c:v>
                </c:pt>
                <c:pt idx="4">
                  <c:v>2.6</c:v>
                </c:pt>
                <c:pt idx="5">
                  <c:v>2.7</c:v>
                </c:pt>
                <c:pt idx="6">
                  <c:v>2.8</c:v>
                </c:pt>
                <c:pt idx="7">
                  <c:v>2.9</c:v>
                </c:pt>
                <c:pt idx="8">
                  <c:v>3</c:v>
                </c:pt>
                <c:pt idx="9">
                  <c:v>3.3</c:v>
                </c:pt>
                <c:pt idx="10">
                  <c:v>3.8</c:v>
                </c:pt>
                <c:pt idx="11">
                  <c:v>4</c:v>
                </c:pt>
                <c:pt idx="12">
                  <c:v>4.1</c:v>
                </c:pt>
                <c:pt idx="13">
                  <c:v>4.2</c:v>
                </c:pt>
                <c:pt idx="14">
                  <c:v>4.3</c:v>
                </c:pt>
                <c:pt idx="15">
                  <c:v>4.4</c:v>
                </c:pt>
                <c:pt idx="16">
                  <c:v>4.5</c:v>
                </c:pt>
                <c:pt idx="17">
                  <c:v>4.6</c:v>
                </c:pt>
                <c:pt idx="18">
                  <c:v>4.7</c:v>
                </c:pt>
                <c:pt idx="19">
                  <c:v>4.8</c:v>
                </c:pt>
                <c:pt idx="20">
                  <c:v>5</c:v>
                </c:pt>
                <c:pt idx="21">
                  <c:v>not provided</c:v>
                </c:pt>
              </c:strCache>
            </c:strRef>
          </c:cat>
          <c:val>
            <c:numRef>
              <c:f>'Rating vs review'!$B$4:$B$26</c:f>
              <c:numCache>
                <c:formatCode>General</c:formatCode>
                <c:ptCount val="22"/>
                <c:pt idx="0">
                  <c:v>20</c:v>
                </c:pt>
                <c:pt idx="1">
                  <c:v>12</c:v>
                </c:pt>
                <c:pt idx="2">
                  <c:v>13</c:v>
                </c:pt>
                <c:pt idx="3">
                  <c:v>6</c:v>
                </c:pt>
                <c:pt idx="4">
                  <c:v>17</c:v>
                </c:pt>
                <c:pt idx="5">
                  <c:v>15</c:v>
                </c:pt>
                <c:pt idx="6">
                  <c:v>69</c:v>
                </c:pt>
                <c:pt idx="7">
                  <c:v>16</c:v>
                </c:pt>
                <c:pt idx="8">
                  <c:v>26</c:v>
                </c:pt>
                <c:pt idx="9">
                  <c:v>13</c:v>
                </c:pt>
                <c:pt idx="10">
                  <c:v>30</c:v>
                </c:pt>
                <c:pt idx="11">
                  <c:v>24</c:v>
                </c:pt>
                <c:pt idx="12">
                  <c:v>46</c:v>
                </c:pt>
                <c:pt idx="13">
                  <c:v>9</c:v>
                </c:pt>
                <c:pt idx="14">
                  <c:v>61</c:v>
                </c:pt>
                <c:pt idx="15">
                  <c:v>14</c:v>
                </c:pt>
                <c:pt idx="16">
                  <c:v>42</c:v>
                </c:pt>
                <c:pt idx="17">
                  <c:v>177</c:v>
                </c:pt>
                <c:pt idx="18">
                  <c:v>78</c:v>
                </c:pt>
                <c:pt idx="19">
                  <c:v>22</c:v>
                </c:pt>
                <c:pt idx="20">
                  <c:v>12</c:v>
                </c:pt>
                <c:pt idx="21">
                  <c:v>0</c:v>
                </c:pt>
              </c:numCache>
            </c:numRef>
          </c:val>
          <c:smooth val="0"/>
          <c:extLst>
            <c:ext xmlns:c16="http://schemas.microsoft.com/office/drawing/2014/chart" uri="{C3380CC4-5D6E-409C-BE32-E72D297353CC}">
              <c16:uniqueId val="{00000000-9684-410B-9966-FCE544041B8A}"/>
            </c:ext>
          </c:extLst>
        </c:ser>
        <c:dLbls>
          <c:showLegendKey val="0"/>
          <c:showVal val="0"/>
          <c:showCatName val="0"/>
          <c:showSerName val="0"/>
          <c:showPercent val="0"/>
          <c:showBubbleSize val="0"/>
        </c:dLbls>
        <c:marker val="1"/>
        <c:smooth val="0"/>
        <c:axId val="1250036591"/>
        <c:axId val="1250045711"/>
      </c:lineChart>
      <c:catAx>
        <c:axId val="1250036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0045711"/>
        <c:crosses val="autoZero"/>
        <c:auto val="1"/>
        <c:lblAlgn val="ctr"/>
        <c:lblOffset val="100"/>
        <c:noMultiLvlLbl val="0"/>
      </c:catAx>
      <c:valAx>
        <c:axId val="12500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00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 rating!PivotTable13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Top 10 </a:t>
            </a:r>
            <a:r>
              <a:rPr lang="en-US" b="1" baseline="0">
                <a:solidFill>
                  <a:srgbClr val="002060"/>
                </a:solidFill>
                <a:latin typeface="Aptos" panose="020B0004020202020204" pitchFamily="34" charset="0"/>
              </a:rPr>
              <a:t> Products by Rating</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Product rating'!$B$3</c:f>
              <c:strCache>
                <c:ptCount val="1"/>
                <c:pt idx="0">
                  <c:v>Total</c:v>
                </c:pt>
              </c:strCache>
            </c:strRef>
          </c:tx>
          <c:spPr>
            <a:solidFill>
              <a:schemeClr val="accent2"/>
            </a:solidFill>
            <a:ln>
              <a:noFill/>
            </a:ln>
            <a:effectLst/>
            <a:sp3d/>
          </c:spPr>
          <c:invertIfNegative val="0"/>
          <c:cat>
            <c:strRef>
              <c:f>'Top Product rating'!$A$4:$A$14</c:f>
              <c:strCache>
                <c:ptCount val="10"/>
                <c:pt idx="0">
                  <c:v>1PC Refrigerator Food Seal Pocket Fridge Bags</c:v>
                </c:pt>
                <c:pt idx="1">
                  <c:v>LASA Aluminum Folding Truck Hand Cart - 68kg Max</c:v>
                </c:pt>
                <c:pt idx="2">
                  <c:v>DIY File Folder, Office Drawer File Holder, Pen Holder, Desktop Storage Rack</c:v>
                </c:pt>
                <c:pt idx="3">
                  <c:v>5m Waterproof Spherical LED String Lights Outdoor Ball Chain Lights Party Lighting Decoration Adjustable</c:v>
                </c:pt>
                <c:pt idx="4">
                  <c:v>Peacock  Throw Pillow Cushion Case For Home Car</c:v>
                </c:pt>
                <c:pt idx="5">
                  <c:v>Anti-Skid Absorbent Insulation Coaster  For Home Office</c:v>
                </c:pt>
                <c:pt idx="6">
                  <c:v>Classic Black Cat Cotton Hemp Pillow Case For Home Car</c:v>
                </c:pt>
                <c:pt idx="7">
                  <c:v>LASA FOLDING TABLE SERVING STAND</c:v>
                </c:pt>
                <c:pt idx="8">
                  <c:v>Portable Home Small Air Humidifier 3-Speed Fan - Green</c:v>
                </c:pt>
                <c:pt idx="9">
                  <c:v>40cm Gold DIY Acrylic Wall Sticker Clock</c:v>
                </c:pt>
              </c:strCache>
            </c:strRef>
          </c:cat>
          <c:val>
            <c:numRef>
              <c:f>'Top Product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9AE7-451E-BA76-40543E3C57E4}"/>
            </c:ext>
          </c:extLst>
        </c:ser>
        <c:dLbls>
          <c:showLegendKey val="0"/>
          <c:showVal val="0"/>
          <c:showCatName val="0"/>
          <c:showSerName val="0"/>
          <c:showPercent val="0"/>
          <c:showBubbleSize val="0"/>
        </c:dLbls>
        <c:gapWidth val="150"/>
        <c:shape val="box"/>
        <c:axId val="136002368"/>
        <c:axId val="135991808"/>
        <c:axId val="0"/>
      </c:bar3DChart>
      <c:catAx>
        <c:axId val="13600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991808"/>
        <c:crosses val="autoZero"/>
        <c:auto val="1"/>
        <c:lblAlgn val="ctr"/>
        <c:lblOffset val="100"/>
        <c:noMultiLvlLbl val="0"/>
      </c:catAx>
      <c:valAx>
        <c:axId val="13599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0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products review!PivotTable11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a:solidFill>
                  <a:srgbClr val="002060"/>
                </a:solidFill>
                <a:latin typeface="Aptos" panose="020B0004020202020204" pitchFamily="34" charset="0"/>
              </a:rPr>
              <a:t>Top 10 products with the most Reviews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review'!$B$3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 review'!$A$4:$A$14</c:f>
              <c:strCache>
                <c:ptCount val="10"/>
                <c:pt idx="0">
                  <c:v>Intelligent  LED Body Sensor Wireless Lighting Night Light USB</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'Top products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C083-450A-8C74-8204A74E5CA5}"/>
            </c:ext>
          </c:extLst>
        </c:ser>
        <c:dLbls>
          <c:dLblPos val="inEnd"/>
          <c:showLegendKey val="0"/>
          <c:showVal val="1"/>
          <c:showCatName val="0"/>
          <c:showSerName val="0"/>
          <c:showPercent val="0"/>
          <c:showBubbleSize val="0"/>
        </c:dLbls>
        <c:gapWidth val="65"/>
        <c:axId val="1502555263"/>
        <c:axId val="1502567743"/>
      </c:barChart>
      <c:catAx>
        <c:axId val="1502555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02567743"/>
        <c:crosses val="autoZero"/>
        <c:auto val="1"/>
        <c:lblAlgn val="ctr"/>
        <c:lblOffset val="100"/>
        <c:noMultiLvlLbl val="0"/>
      </c:catAx>
      <c:valAx>
        <c:axId val="15025677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5025552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Products Discount!PivotTable10</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Discount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Discount'!$B$3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 Discount'!$A$4:$A$14</c:f>
              <c:strCache>
                <c:ptCount val="10"/>
                <c:pt idx="0">
                  <c:v>Creative Owl Shape Keychain Black</c:v>
                </c:pt>
                <c:pt idx="1">
                  <c:v>5 Pieces/set Of Stainless Steel Induction Cooker Pots</c:v>
                </c:pt>
                <c:pt idx="2">
                  <c:v>120W Cordless Vacuum Cleaners Handheld Electric Vacuum Cleaner</c:v>
                </c:pt>
                <c:pt idx="3">
                  <c:v>LASA FOLDING TABLE SERVING STAND</c:v>
                </c:pt>
                <c:pt idx="4">
                  <c:v>LASA 3 Tier Bamboo Shoe Bench Storage Shelf</c:v>
                </c:pt>
                <c:pt idx="5">
                  <c:v>5-PCS Stainless Steel Cooking Pot Set With Steamed Slices</c:v>
                </c:pt>
                <c:pt idx="6">
                  <c:v>3PCS Single Head Knitting Crochet Sweater Needle Set</c:v>
                </c:pt>
                <c:pt idx="7">
                  <c:v>Classic Black Cat Cotton Hemp Pillow Case For Home Car</c:v>
                </c:pt>
                <c:pt idx="8">
                  <c:v>VIC Wireless Vacuum Cleaner Dual Use For Home And Car 120W High Power Powerful</c:v>
                </c:pt>
                <c:pt idx="9">
                  <c:v>Exfoliate And Exfoliate Face Towel - Black</c:v>
                </c:pt>
              </c:strCache>
            </c:strRef>
          </c:cat>
          <c:val>
            <c:numRef>
              <c:f>'Top Products Discount'!$B$4:$B$14</c:f>
              <c:numCache>
                <c:formatCode>0.00%</c:formatCode>
                <c:ptCount val="10"/>
                <c:pt idx="0">
                  <c:v>0.60515873015873012</c:v>
                </c:pt>
                <c:pt idx="1">
                  <c:v>0.5546875</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282D-43CF-B17B-3F2D7E736C65}"/>
            </c:ext>
          </c:extLst>
        </c:ser>
        <c:dLbls>
          <c:showLegendKey val="0"/>
          <c:showVal val="0"/>
          <c:showCatName val="0"/>
          <c:showSerName val="0"/>
          <c:showPercent val="0"/>
          <c:showBubbleSize val="0"/>
        </c:dLbls>
        <c:gapWidth val="115"/>
        <c:overlap val="-20"/>
        <c:axId val="1502564863"/>
        <c:axId val="1502558623"/>
      </c:barChart>
      <c:catAx>
        <c:axId val="1502564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02558623"/>
        <c:crosses val="autoZero"/>
        <c:auto val="1"/>
        <c:lblAlgn val="ctr"/>
        <c:lblOffset val="100"/>
        <c:noMultiLvlLbl val="0"/>
      </c:catAx>
      <c:valAx>
        <c:axId val="150255862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025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Discount</a:t>
            </a:r>
            <a:r>
              <a:rPr lang="en-US" b="1" baseline="0">
                <a:solidFill>
                  <a:srgbClr val="002060"/>
                </a:solidFill>
                <a:latin typeface="Aptos" panose="020B0004020202020204" pitchFamily="34" charset="0"/>
              </a:rPr>
              <a:t> vs Number of Reviews</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'Discount vs review'!$K$6:$K$11</c:f>
              <c:strCache>
                <c:ptCount val="6"/>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strCache>
            </c:strRef>
          </c:xVal>
          <c:yVal>
            <c:numRef>
              <c:f>'Discount vs review'!$L$6:$L$11</c:f>
              <c:numCache>
                <c:formatCode>General</c:formatCode>
                <c:ptCount val="6"/>
                <c:pt idx="0">
                  <c:v>15</c:v>
                </c:pt>
                <c:pt idx="1">
                  <c:v>36</c:v>
                </c:pt>
                <c:pt idx="2">
                  <c:v>191</c:v>
                </c:pt>
                <c:pt idx="3">
                  <c:v>183</c:v>
                </c:pt>
                <c:pt idx="4">
                  <c:v>221</c:v>
                </c:pt>
                <c:pt idx="5">
                  <c:v>76</c:v>
                </c:pt>
              </c:numCache>
            </c:numRef>
          </c:yVal>
          <c:smooth val="0"/>
          <c:extLst>
            <c:ext xmlns:c16="http://schemas.microsoft.com/office/drawing/2014/chart" uri="{C3380CC4-5D6E-409C-BE32-E72D297353CC}">
              <c16:uniqueId val="{00000000-CA27-4B00-A340-71AC8DF3461C}"/>
            </c:ext>
          </c:extLst>
        </c:ser>
        <c:dLbls>
          <c:dLblPos val="t"/>
          <c:showLegendKey val="0"/>
          <c:showVal val="1"/>
          <c:showCatName val="0"/>
          <c:showSerName val="0"/>
          <c:showPercent val="0"/>
          <c:showBubbleSize val="0"/>
        </c:dLbls>
        <c:axId val="238989552"/>
        <c:axId val="238988112"/>
      </c:scatterChart>
      <c:valAx>
        <c:axId val="238989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988112"/>
        <c:crosses val="autoZero"/>
        <c:crossBetween val="midCat"/>
      </c:valAx>
      <c:valAx>
        <c:axId val="23898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Number</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8989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[Excel_jumia.xlsx]Products by rating cat!PivotTable7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Products</a:t>
            </a:r>
            <a:r>
              <a:rPr lang="en-US" b="1" baseline="0">
                <a:solidFill>
                  <a:srgbClr val="002060"/>
                </a:solidFill>
                <a:latin typeface="Aptos" panose="020B0004020202020204" pitchFamily="34" charset="0"/>
              </a:rPr>
              <a:t> by Rating Category</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by rating cat'!$B$3</c:f>
              <c:strCache>
                <c:ptCount val="1"/>
                <c:pt idx="0">
                  <c:v>Total</c:v>
                </c:pt>
              </c:strCache>
            </c:strRef>
          </c:tx>
          <c:spPr>
            <a:solidFill>
              <a:schemeClr val="accent2"/>
            </a:solidFill>
            <a:ln>
              <a:noFill/>
            </a:ln>
            <a:effectLst/>
          </c:spPr>
          <c:invertIfNegative val="0"/>
          <c:cat>
            <c:strRef>
              <c:f>'Products by rating cat'!$A$4:$A$8</c:f>
              <c:strCache>
                <c:ptCount val="4"/>
                <c:pt idx="0">
                  <c:v>Average</c:v>
                </c:pt>
                <c:pt idx="1">
                  <c:v>Excellent</c:v>
                </c:pt>
                <c:pt idx="2">
                  <c:v>not provided</c:v>
                </c:pt>
                <c:pt idx="3">
                  <c:v>Poor</c:v>
                </c:pt>
              </c:strCache>
            </c:strRef>
          </c:cat>
          <c:val>
            <c:numRef>
              <c:f>'Products by rating cat'!$B$4:$B$8</c:f>
              <c:numCache>
                <c:formatCode>General</c:formatCode>
                <c:ptCount val="4"/>
                <c:pt idx="0">
                  <c:v>22</c:v>
                </c:pt>
                <c:pt idx="1">
                  <c:v>23</c:v>
                </c:pt>
                <c:pt idx="2">
                  <c:v>53</c:v>
                </c:pt>
                <c:pt idx="3">
                  <c:v>11</c:v>
                </c:pt>
              </c:numCache>
            </c:numRef>
          </c:val>
          <c:extLst>
            <c:ext xmlns:c16="http://schemas.microsoft.com/office/drawing/2014/chart" uri="{C3380CC4-5D6E-409C-BE32-E72D297353CC}">
              <c16:uniqueId val="{00000000-1443-4E5C-AE1E-C8C92D95BFA5}"/>
            </c:ext>
          </c:extLst>
        </c:ser>
        <c:dLbls>
          <c:showLegendKey val="0"/>
          <c:showVal val="0"/>
          <c:showCatName val="0"/>
          <c:showSerName val="0"/>
          <c:showPercent val="0"/>
          <c:showBubbleSize val="0"/>
        </c:dLbls>
        <c:gapWidth val="150"/>
        <c:axId val="1340838831"/>
        <c:axId val="1340848431"/>
      </c:barChart>
      <c:catAx>
        <c:axId val="134083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0848431"/>
        <c:crosses val="autoZero"/>
        <c:auto val="1"/>
        <c:lblAlgn val="ctr"/>
        <c:lblOffset val="100"/>
        <c:noMultiLvlLbl val="0"/>
      </c:catAx>
      <c:valAx>
        <c:axId val="134084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083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[Excel_jumia.xlsx]Rating vs disct!PivotTable8</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latin typeface="Aptos" panose="020B0004020202020204" pitchFamily="34" charset="0"/>
              </a:rPr>
              <a:t>Products by Discount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hade val="65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65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65000"/>
            </a:schemeClr>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'Rating vs disct'!$B$3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04-4DCD-B162-035A66CEED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04-4DCD-B162-035A66CEED27}"/>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04-4DCD-B162-035A66CEED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 vs disct'!$A$4:$A$7</c:f>
              <c:strCache>
                <c:ptCount val="3"/>
                <c:pt idx="0">
                  <c:v>High</c:v>
                </c:pt>
                <c:pt idx="1">
                  <c:v>Low</c:v>
                </c:pt>
                <c:pt idx="2">
                  <c:v>Medium</c:v>
                </c:pt>
              </c:strCache>
            </c:strRef>
          </c:cat>
          <c:val>
            <c:numRef>
              <c:f>'Rating vs disct'!$B$4:$B$7</c:f>
              <c:numCache>
                <c:formatCode>General</c:formatCode>
                <c:ptCount val="3"/>
                <c:pt idx="0">
                  <c:v>59</c:v>
                </c:pt>
                <c:pt idx="1">
                  <c:v>18</c:v>
                </c:pt>
                <c:pt idx="2">
                  <c:v>32</c:v>
                </c:pt>
              </c:numCache>
            </c:numRef>
          </c:val>
          <c:extLst>
            <c:ext xmlns:c16="http://schemas.microsoft.com/office/drawing/2014/chart" uri="{C3380CC4-5D6E-409C-BE32-E72D297353CC}">
              <c16:uniqueId val="{00000006-0304-4DCD-B162-035A66CEED2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Products Discount!PivotTable10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Discount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Discount'!$B$3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Products Discount'!$A$4:$A$14</c:f>
              <c:strCache>
                <c:ptCount val="10"/>
                <c:pt idx="0">
                  <c:v>Creative Owl Shape Keychain Black</c:v>
                </c:pt>
                <c:pt idx="1">
                  <c:v>5 Pieces/set Of Stainless Steel Induction Cooker Pots</c:v>
                </c:pt>
                <c:pt idx="2">
                  <c:v>120W Cordless Vacuum Cleaners Handheld Electric Vacuum Cleaner</c:v>
                </c:pt>
                <c:pt idx="3">
                  <c:v>LASA FOLDING TABLE SERVING STAND</c:v>
                </c:pt>
                <c:pt idx="4">
                  <c:v>LASA 3 Tier Bamboo Shoe Bench Storage Shelf</c:v>
                </c:pt>
                <c:pt idx="5">
                  <c:v>5-PCS Stainless Steel Cooking Pot Set With Steamed Slices</c:v>
                </c:pt>
                <c:pt idx="6">
                  <c:v>3PCS Single Head Knitting Crochet Sweater Needle Set</c:v>
                </c:pt>
                <c:pt idx="7">
                  <c:v>Classic Black Cat Cotton Hemp Pillow Case For Home Car</c:v>
                </c:pt>
                <c:pt idx="8">
                  <c:v>VIC Wireless Vacuum Cleaner Dual Use For Home And Car 120W High Power Powerful</c:v>
                </c:pt>
                <c:pt idx="9">
                  <c:v>Exfoliate And Exfoliate Face Towel - Black</c:v>
                </c:pt>
              </c:strCache>
            </c:strRef>
          </c:cat>
          <c:val>
            <c:numRef>
              <c:f>'Top Products Discount'!$B$4:$B$14</c:f>
              <c:numCache>
                <c:formatCode>0.00%</c:formatCode>
                <c:ptCount val="10"/>
                <c:pt idx="0">
                  <c:v>0.60515873015873012</c:v>
                </c:pt>
                <c:pt idx="1">
                  <c:v>0.5546875</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37D6-4BD2-8D3F-AEE1EC1AEA1E}"/>
            </c:ext>
          </c:extLst>
        </c:ser>
        <c:dLbls>
          <c:showLegendKey val="0"/>
          <c:showVal val="0"/>
          <c:showCatName val="0"/>
          <c:showSerName val="0"/>
          <c:showPercent val="0"/>
          <c:showBubbleSize val="0"/>
        </c:dLbls>
        <c:gapWidth val="115"/>
        <c:overlap val="-20"/>
        <c:axId val="1502564863"/>
        <c:axId val="1502558623"/>
      </c:barChart>
      <c:catAx>
        <c:axId val="1502564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02558623"/>
        <c:crosses val="autoZero"/>
        <c:auto val="1"/>
        <c:lblAlgn val="ctr"/>
        <c:lblOffset val="100"/>
        <c:noMultiLvlLbl val="0"/>
      </c:catAx>
      <c:valAx>
        <c:axId val="150255862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025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products review!PivotTable11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with the most Reviews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review'!$B$3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 review'!$A$4:$A$14</c:f>
              <c:strCache>
                <c:ptCount val="10"/>
                <c:pt idx="0">
                  <c:v>Intelligent  LED Body Sensor Wireless Lighting Night Light USB</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'Top products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B1C-4F64-A966-43C20ABFBAA2}"/>
            </c:ext>
          </c:extLst>
        </c:ser>
        <c:dLbls>
          <c:dLblPos val="inEnd"/>
          <c:showLegendKey val="0"/>
          <c:showVal val="1"/>
          <c:showCatName val="0"/>
          <c:showSerName val="0"/>
          <c:showPercent val="0"/>
          <c:showBubbleSize val="0"/>
        </c:dLbls>
        <c:gapWidth val="65"/>
        <c:axId val="1502555263"/>
        <c:axId val="1502567743"/>
      </c:barChart>
      <c:catAx>
        <c:axId val="1502555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02567743"/>
        <c:crosses val="autoZero"/>
        <c:auto val="1"/>
        <c:lblAlgn val="ctr"/>
        <c:lblOffset val="100"/>
        <c:noMultiLvlLbl val="0"/>
      </c:catAx>
      <c:valAx>
        <c:axId val="15025677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5025552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[Excel_jumia.xlsx]Rating and review acc disct!PivotTable12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Discount vs Review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hade val="50000"/>
            </a:schemeClr>
          </a:solidFill>
          <a:ln>
            <a:noFill/>
          </a:ln>
          <a:effectLst>
            <a:outerShdw blurRad="254000" sx="102000" sy="102000" algn="ctr" rotWithShape="0">
              <a:prstClr val="black">
                <a:alpha val="20000"/>
              </a:prstClr>
            </a:outerShdw>
          </a:effectLst>
        </c:spPr>
      </c:pivotFmt>
      <c:pivotFmt>
        <c:idx val="5"/>
        <c:spPr>
          <a:solidFill>
            <a:schemeClr val="accent2">
              <a:shade val="70000"/>
            </a:schemeClr>
          </a:solidFill>
          <a:ln>
            <a:noFill/>
          </a:ln>
          <a:effectLst>
            <a:outerShdw blurRad="254000" sx="102000" sy="102000" algn="ctr" rotWithShape="0">
              <a:prstClr val="black">
                <a:alpha val="20000"/>
              </a:prstClr>
            </a:outerShdw>
          </a:effectLst>
        </c:spPr>
      </c:pivotFmt>
      <c:pivotFmt>
        <c:idx val="6"/>
        <c:spPr>
          <a:solidFill>
            <a:schemeClr val="accent2">
              <a:shade val="90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tint val="70000"/>
            </a:schemeClr>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hade val="50000"/>
            </a:schemeClr>
          </a:solidFill>
          <a:ln>
            <a:noFill/>
          </a:ln>
          <a:effectLst>
            <a:outerShdw blurRad="254000" sx="102000" sy="102000" algn="ctr" rotWithShape="0">
              <a:prstClr val="black">
                <a:alpha val="20000"/>
              </a:prstClr>
            </a:outerShdw>
          </a:effectLst>
        </c:spPr>
      </c:pivotFmt>
      <c:pivotFmt>
        <c:idx val="11"/>
        <c:spPr>
          <a:solidFill>
            <a:schemeClr val="accent2">
              <a:shade val="70000"/>
            </a:schemeClr>
          </a:solidFill>
          <a:ln>
            <a:noFill/>
          </a:ln>
          <a:effectLst>
            <a:outerShdw blurRad="254000" sx="102000" sy="102000" algn="ctr" rotWithShape="0">
              <a:prstClr val="black">
                <a:alpha val="20000"/>
              </a:prstClr>
            </a:outerShdw>
          </a:effectLst>
        </c:spPr>
      </c:pivotFmt>
      <c:pivotFmt>
        <c:idx val="12"/>
        <c:spPr>
          <a:solidFill>
            <a:schemeClr val="accent2">
              <a:shade val="90000"/>
            </a:schemeClr>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tint val="70000"/>
            </a:schemeClr>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'Rating and review acc disct'!$B$3</c:f>
              <c:strCache>
                <c:ptCount val="1"/>
                <c:pt idx="0">
                  <c:v>Total</c:v>
                </c:pt>
              </c:strCache>
            </c:strRef>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31-436F-B79B-D9B33510A7E5}"/>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31-436F-B79B-D9B33510A7E5}"/>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031-436F-B79B-D9B33510A7E5}"/>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031-436F-B79B-D9B33510A7E5}"/>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031-436F-B79B-D9B33510A7E5}"/>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031-436F-B79B-D9B33510A7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 and review acc disct'!$A$4:$A$10</c:f>
              <c:strCache>
                <c:ptCount val="6"/>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strCache>
            </c:strRef>
          </c:cat>
          <c:val>
            <c:numRef>
              <c:f>'Rating and review acc disct'!$B$4:$B$10</c:f>
              <c:numCache>
                <c:formatCode>General</c:formatCode>
                <c:ptCount val="6"/>
                <c:pt idx="0">
                  <c:v>15</c:v>
                </c:pt>
                <c:pt idx="1">
                  <c:v>36</c:v>
                </c:pt>
                <c:pt idx="2">
                  <c:v>191</c:v>
                </c:pt>
                <c:pt idx="3">
                  <c:v>183</c:v>
                </c:pt>
                <c:pt idx="4">
                  <c:v>221</c:v>
                </c:pt>
                <c:pt idx="5">
                  <c:v>76</c:v>
                </c:pt>
              </c:numCache>
            </c:numRef>
          </c:val>
          <c:extLst>
            <c:ext xmlns:c16="http://schemas.microsoft.com/office/drawing/2014/chart" uri="{C3380CC4-5D6E-409C-BE32-E72D297353CC}">
              <c16:uniqueId val="{00000002-DFEF-4C9E-86C0-90834CE1E3EB}"/>
            </c:ext>
          </c:extLst>
        </c:ser>
        <c:dLbls>
          <c:dLblPos val="ctr"/>
          <c:showLegendKey val="0"/>
          <c:showVal val="0"/>
          <c:showCatName val="0"/>
          <c:showSerName val="0"/>
          <c:showPercent val="1"/>
          <c:showBubbleSize val="0"/>
          <c:showLeaderLines val="1"/>
        </c:dLbls>
        <c:firstSliceAng val="0"/>
      </c:pie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[Excel_jumia.xlsx]Top Product rating!PivotTable13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panose="020B0004020202020204" pitchFamily="34" charset="0"/>
              </a:rPr>
              <a:t>Top</a:t>
            </a:r>
            <a:r>
              <a:rPr lang="en-US" b="1" baseline="0">
                <a:solidFill>
                  <a:srgbClr val="002060"/>
                </a:solidFill>
                <a:latin typeface="Aptos" panose="020B0004020202020204" pitchFamily="34" charset="0"/>
              </a:rPr>
              <a:t> Products by Rating</a:t>
            </a:r>
            <a:endParaRPr lang="en-US"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Product rating'!$B$3</c:f>
              <c:strCache>
                <c:ptCount val="1"/>
                <c:pt idx="0">
                  <c:v>Total</c:v>
                </c:pt>
              </c:strCache>
            </c:strRef>
          </c:tx>
          <c:spPr>
            <a:solidFill>
              <a:schemeClr val="accent2"/>
            </a:solidFill>
            <a:ln>
              <a:noFill/>
            </a:ln>
            <a:effectLst/>
            <a:sp3d/>
          </c:spPr>
          <c:invertIfNegative val="0"/>
          <c:cat>
            <c:strRef>
              <c:f>'Top Product rating'!$A$4:$A$14</c:f>
              <c:strCache>
                <c:ptCount val="10"/>
                <c:pt idx="0">
                  <c:v>1PC Refrigerator Food Seal Pocket Fridge Bags</c:v>
                </c:pt>
                <c:pt idx="1">
                  <c:v>LASA Aluminum Folding Truck Hand Cart - 68kg Max</c:v>
                </c:pt>
                <c:pt idx="2">
                  <c:v>DIY File Folder, Office Drawer File Holder, Pen Holder, Desktop Storage Rack</c:v>
                </c:pt>
                <c:pt idx="3">
                  <c:v>5m Waterproof Spherical LED String Lights Outdoor Ball Chain Lights Party Lighting Decoration Adjustable</c:v>
                </c:pt>
                <c:pt idx="4">
                  <c:v>Peacock  Throw Pillow Cushion Case For Home Car</c:v>
                </c:pt>
                <c:pt idx="5">
                  <c:v>Anti-Skid Absorbent Insulation Coaster  For Home Office</c:v>
                </c:pt>
                <c:pt idx="6">
                  <c:v>Classic Black Cat Cotton Hemp Pillow Case For Home Car</c:v>
                </c:pt>
                <c:pt idx="7">
                  <c:v>LASA FOLDING TABLE SERVING STAND</c:v>
                </c:pt>
                <c:pt idx="8">
                  <c:v>Portable Home Small Air Humidifier 3-Speed Fan - Green</c:v>
                </c:pt>
                <c:pt idx="9">
                  <c:v>40cm Gold DIY Acrylic Wall Sticker Clock</c:v>
                </c:pt>
              </c:strCache>
            </c:strRef>
          </c:cat>
          <c:val>
            <c:numRef>
              <c:f>'Top Product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575-45A0-8927-A5F2A9487BDF}"/>
            </c:ext>
          </c:extLst>
        </c:ser>
        <c:dLbls>
          <c:showLegendKey val="0"/>
          <c:showVal val="0"/>
          <c:showCatName val="0"/>
          <c:showSerName val="0"/>
          <c:showPercent val="0"/>
          <c:showBubbleSize val="0"/>
        </c:dLbls>
        <c:gapWidth val="150"/>
        <c:shape val="box"/>
        <c:axId val="136002368"/>
        <c:axId val="135991808"/>
        <c:axId val="0"/>
      </c:bar3DChart>
      <c:catAx>
        <c:axId val="13600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991808"/>
        <c:crosses val="autoZero"/>
        <c:auto val="1"/>
        <c:lblAlgn val="ctr"/>
        <c:lblOffset val="100"/>
        <c:noMultiLvlLbl val="0"/>
      </c:catAx>
      <c:valAx>
        <c:axId val="13599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0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[Excel_jumia.xlsx]Rating vs review!PivotTable1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rPr>
              <a:t>Rating vs Review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'Rating vs review'!$A$4:$A$26</c:f>
              <c:strCache>
                <c:ptCount val="22"/>
                <c:pt idx="0">
                  <c:v>2.1</c:v>
                </c:pt>
                <c:pt idx="1">
                  <c:v>2.2</c:v>
                </c:pt>
                <c:pt idx="2">
                  <c:v>2.3</c:v>
                </c:pt>
                <c:pt idx="3">
                  <c:v>2.5</c:v>
                </c:pt>
                <c:pt idx="4">
                  <c:v>2.6</c:v>
                </c:pt>
                <c:pt idx="5">
                  <c:v>2.7</c:v>
                </c:pt>
                <c:pt idx="6">
                  <c:v>2.8</c:v>
                </c:pt>
                <c:pt idx="7">
                  <c:v>2.9</c:v>
                </c:pt>
                <c:pt idx="8">
                  <c:v>3</c:v>
                </c:pt>
                <c:pt idx="9">
                  <c:v>3.3</c:v>
                </c:pt>
                <c:pt idx="10">
                  <c:v>3.8</c:v>
                </c:pt>
                <c:pt idx="11">
                  <c:v>4</c:v>
                </c:pt>
                <c:pt idx="12">
                  <c:v>4.1</c:v>
                </c:pt>
                <c:pt idx="13">
                  <c:v>4.2</c:v>
                </c:pt>
                <c:pt idx="14">
                  <c:v>4.3</c:v>
                </c:pt>
                <c:pt idx="15">
                  <c:v>4.4</c:v>
                </c:pt>
                <c:pt idx="16">
                  <c:v>4.5</c:v>
                </c:pt>
                <c:pt idx="17">
                  <c:v>4.6</c:v>
                </c:pt>
                <c:pt idx="18">
                  <c:v>4.7</c:v>
                </c:pt>
                <c:pt idx="19">
                  <c:v>4.8</c:v>
                </c:pt>
                <c:pt idx="20">
                  <c:v>5</c:v>
                </c:pt>
                <c:pt idx="21">
                  <c:v>not provided</c:v>
                </c:pt>
              </c:strCache>
            </c:strRef>
          </c:cat>
          <c:val>
            <c:numRef>
              <c:f>'Rating vs review'!$B$4:$B$26</c:f>
              <c:numCache>
                <c:formatCode>General</c:formatCode>
                <c:ptCount val="22"/>
                <c:pt idx="0">
                  <c:v>20</c:v>
                </c:pt>
                <c:pt idx="1">
                  <c:v>12</c:v>
                </c:pt>
                <c:pt idx="2">
                  <c:v>13</c:v>
                </c:pt>
                <c:pt idx="3">
                  <c:v>6</c:v>
                </c:pt>
                <c:pt idx="4">
                  <c:v>17</c:v>
                </c:pt>
                <c:pt idx="5">
                  <c:v>15</c:v>
                </c:pt>
                <c:pt idx="6">
                  <c:v>69</c:v>
                </c:pt>
                <c:pt idx="7">
                  <c:v>16</c:v>
                </c:pt>
                <c:pt idx="8">
                  <c:v>26</c:v>
                </c:pt>
                <c:pt idx="9">
                  <c:v>13</c:v>
                </c:pt>
                <c:pt idx="10">
                  <c:v>30</c:v>
                </c:pt>
                <c:pt idx="11">
                  <c:v>24</c:v>
                </c:pt>
                <c:pt idx="12">
                  <c:v>46</c:v>
                </c:pt>
                <c:pt idx="13">
                  <c:v>9</c:v>
                </c:pt>
                <c:pt idx="14">
                  <c:v>61</c:v>
                </c:pt>
                <c:pt idx="15">
                  <c:v>14</c:v>
                </c:pt>
                <c:pt idx="16">
                  <c:v>42</c:v>
                </c:pt>
                <c:pt idx="17">
                  <c:v>177</c:v>
                </c:pt>
                <c:pt idx="18">
                  <c:v>78</c:v>
                </c:pt>
                <c:pt idx="19">
                  <c:v>22</c:v>
                </c:pt>
                <c:pt idx="20">
                  <c:v>12</c:v>
                </c:pt>
                <c:pt idx="21">
                  <c:v>0</c:v>
                </c:pt>
              </c:numCache>
            </c:numRef>
          </c:val>
          <c:smooth val="0"/>
          <c:extLst>
            <c:ext xmlns:c16="http://schemas.microsoft.com/office/drawing/2014/chart" uri="{C3380CC4-5D6E-409C-BE32-E72D297353CC}">
              <c16:uniqueId val="{00000000-02DF-4FD4-AC94-E88291AA19A4}"/>
            </c:ext>
          </c:extLst>
        </c:ser>
        <c:dLbls>
          <c:showLegendKey val="0"/>
          <c:showVal val="0"/>
          <c:showCatName val="0"/>
          <c:showSerName val="0"/>
          <c:showPercent val="0"/>
          <c:showBubbleSize val="0"/>
        </c:dLbls>
        <c:marker val="1"/>
        <c:smooth val="0"/>
        <c:axId val="1250036591"/>
        <c:axId val="1250045711"/>
      </c:lineChart>
      <c:catAx>
        <c:axId val="1250036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0045711"/>
        <c:crosses val="autoZero"/>
        <c:auto val="1"/>
        <c:lblAlgn val="ctr"/>
        <c:lblOffset val="100"/>
        <c:noMultiLvlLbl val="0"/>
      </c:catAx>
      <c:valAx>
        <c:axId val="12500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00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strRef>
              <c:f>'Rating vs review'!$D$5:$D$26</c:f>
              <c:strCache>
                <c:ptCount val="22"/>
                <c:pt idx="0">
                  <c:v>2.1</c:v>
                </c:pt>
                <c:pt idx="1">
                  <c:v>2.2</c:v>
                </c:pt>
                <c:pt idx="2">
                  <c:v>2.3</c:v>
                </c:pt>
                <c:pt idx="3">
                  <c:v>2.5</c:v>
                </c:pt>
                <c:pt idx="4">
                  <c:v>2.6</c:v>
                </c:pt>
                <c:pt idx="5">
                  <c:v>2.7</c:v>
                </c:pt>
                <c:pt idx="6">
                  <c:v>2.8</c:v>
                </c:pt>
                <c:pt idx="7">
                  <c:v>2.9</c:v>
                </c:pt>
                <c:pt idx="8">
                  <c:v>3</c:v>
                </c:pt>
                <c:pt idx="9">
                  <c:v>3.3</c:v>
                </c:pt>
                <c:pt idx="10">
                  <c:v>3.8</c:v>
                </c:pt>
                <c:pt idx="11">
                  <c:v>4</c:v>
                </c:pt>
                <c:pt idx="12">
                  <c:v>4.1</c:v>
                </c:pt>
                <c:pt idx="13">
                  <c:v>4.2</c:v>
                </c:pt>
                <c:pt idx="14">
                  <c:v>4.3</c:v>
                </c:pt>
                <c:pt idx="15">
                  <c:v>4.4</c:v>
                </c:pt>
                <c:pt idx="16">
                  <c:v>4.5</c:v>
                </c:pt>
                <c:pt idx="17">
                  <c:v>4.6</c:v>
                </c:pt>
                <c:pt idx="18">
                  <c:v>4.7</c:v>
                </c:pt>
                <c:pt idx="19">
                  <c:v>4.8</c:v>
                </c:pt>
                <c:pt idx="20">
                  <c:v>5</c:v>
                </c:pt>
                <c:pt idx="21">
                  <c:v>not provided</c:v>
                </c:pt>
              </c:strCache>
            </c:strRef>
          </c:xVal>
          <c:yVal>
            <c:numRef>
              <c:f>'Rating vs review'!$E$5:$E$26</c:f>
              <c:numCache>
                <c:formatCode>General</c:formatCode>
                <c:ptCount val="22"/>
                <c:pt idx="0">
                  <c:v>20</c:v>
                </c:pt>
                <c:pt idx="1">
                  <c:v>12</c:v>
                </c:pt>
                <c:pt idx="2">
                  <c:v>13</c:v>
                </c:pt>
                <c:pt idx="3">
                  <c:v>6</c:v>
                </c:pt>
                <c:pt idx="4">
                  <c:v>17</c:v>
                </c:pt>
                <c:pt idx="5">
                  <c:v>15</c:v>
                </c:pt>
                <c:pt idx="6">
                  <c:v>69</c:v>
                </c:pt>
                <c:pt idx="7">
                  <c:v>16</c:v>
                </c:pt>
                <c:pt idx="8">
                  <c:v>26</c:v>
                </c:pt>
                <c:pt idx="9">
                  <c:v>13</c:v>
                </c:pt>
                <c:pt idx="10">
                  <c:v>30</c:v>
                </c:pt>
                <c:pt idx="11">
                  <c:v>24</c:v>
                </c:pt>
                <c:pt idx="12">
                  <c:v>46</c:v>
                </c:pt>
                <c:pt idx="13">
                  <c:v>9</c:v>
                </c:pt>
                <c:pt idx="14">
                  <c:v>61</c:v>
                </c:pt>
                <c:pt idx="15">
                  <c:v>14</c:v>
                </c:pt>
                <c:pt idx="16">
                  <c:v>42</c:v>
                </c:pt>
                <c:pt idx="17">
                  <c:v>177</c:v>
                </c:pt>
                <c:pt idx="18">
                  <c:v>78</c:v>
                </c:pt>
                <c:pt idx="19">
                  <c:v>22</c:v>
                </c:pt>
                <c:pt idx="20">
                  <c:v>12</c:v>
                </c:pt>
                <c:pt idx="21">
                  <c:v>0</c:v>
                </c:pt>
              </c:numCache>
            </c:numRef>
          </c:yVal>
          <c:smooth val="0"/>
          <c:extLst>
            <c:ext xmlns:c16="http://schemas.microsoft.com/office/drawing/2014/chart" uri="{C3380CC4-5D6E-409C-BE32-E72D297353CC}">
              <c16:uniqueId val="{00000000-1B69-4DB7-B21A-02FD7A5A40DE}"/>
            </c:ext>
          </c:extLst>
        </c:ser>
        <c:dLbls>
          <c:showLegendKey val="0"/>
          <c:showVal val="0"/>
          <c:showCatName val="0"/>
          <c:showSerName val="0"/>
          <c:showPercent val="0"/>
          <c:showBubbleSize val="0"/>
        </c:dLbls>
        <c:axId val="141156048"/>
        <c:axId val="141160368"/>
      </c:scatterChart>
      <c:valAx>
        <c:axId val="14115604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1160368"/>
        <c:crosses val="autoZero"/>
        <c:crossBetween val="midCat"/>
      </c:valAx>
      <c:valAx>
        <c:axId val="14116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1156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12</xdr:col>
      <xdr:colOff>28575</xdr:colOff>
      <xdr:row>3</xdr:row>
      <xdr:rowOff>47625</xdr:rowOff>
    </xdr:from>
    <xdr:to>
      <xdr:col>15</xdr:col>
      <xdr:colOff>28575</xdr:colOff>
      <xdr:row>16</xdr:row>
      <xdr:rowOff>95250</xdr:rowOff>
    </xdr:to>
    <mc:AlternateContent xmlns:mc="http://schemas.openxmlformats.org/markup-compatibility/2006" xmlns:a14="http://schemas.microsoft.com/office/drawing/2010/main">
      <mc:Choice Requires="a14">
        <xdr:graphicFrame macro="">
          <xdr:nvGraphicFramePr>
            <xdr:cNvPr id="10" name="Discount Category">
              <a:extLst>
                <a:ext uri="{FF2B5EF4-FFF2-40B4-BE49-F238E27FC236}">
                  <a16:creationId xmlns:a16="http://schemas.microsoft.com/office/drawing/2014/main" id="{513009FE-A307-FC93-6D00-DF62C2DD8249}"/>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3963650" y="6191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3</xdr:row>
      <xdr:rowOff>66675</xdr:rowOff>
    </xdr:from>
    <xdr:to>
      <xdr:col>18</xdr:col>
      <xdr:colOff>133350</xdr:colOff>
      <xdr:row>16</xdr:row>
      <xdr:rowOff>114300</xdr:rowOff>
    </xdr:to>
    <mc:AlternateContent xmlns:mc="http://schemas.openxmlformats.org/markup-compatibility/2006" xmlns:a14="http://schemas.microsoft.com/office/drawing/2010/main">
      <mc:Choice Requires="a14">
        <xdr:graphicFrame macro="">
          <xdr:nvGraphicFramePr>
            <xdr:cNvPr id="11" name="Rating Category">
              <a:extLst>
                <a:ext uri="{FF2B5EF4-FFF2-40B4-BE49-F238E27FC236}">
                  <a16:creationId xmlns:a16="http://schemas.microsoft.com/office/drawing/2014/main" id="{D0CD40B9-3D69-1FAD-6077-ABB8FDD8AB8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5897225" y="6381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990600</xdr:colOff>
      <xdr:row>0</xdr:row>
      <xdr:rowOff>76200</xdr:rowOff>
    </xdr:from>
    <xdr:to>
      <xdr:col>25</xdr:col>
      <xdr:colOff>247650</xdr:colOff>
      <xdr:row>14</xdr:row>
      <xdr:rowOff>152400</xdr:rowOff>
    </xdr:to>
    <xdr:graphicFrame macro="">
      <xdr:nvGraphicFramePr>
        <xdr:cNvPr id="3" name="Chart 2">
          <a:extLst>
            <a:ext uri="{FF2B5EF4-FFF2-40B4-BE49-F238E27FC236}">
              <a16:creationId xmlns:a16="http://schemas.microsoft.com/office/drawing/2014/main" id="{CE8B4D42-18A6-BE30-C1DB-50ABC4A74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438150</xdr:colOff>
      <xdr:row>3</xdr:row>
      <xdr:rowOff>23812</xdr:rowOff>
    </xdr:from>
    <xdr:to>
      <xdr:col>12</xdr:col>
      <xdr:colOff>133350</xdr:colOff>
      <xdr:row>17</xdr:row>
      <xdr:rowOff>100012</xdr:rowOff>
    </xdr:to>
    <xdr:graphicFrame macro="">
      <xdr:nvGraphicFramePr>
        <xdr:cNvPr id="2" name="Chart 1">
          <a:extLst>
            <a:ext uri="{FF2B5EF4-FFF2-40B4-BE49-F238E27FC236}">
              <a16:creationId xmlns:a16="http://schemas.microsoft.com/office/drawing/2014/main" id="{6AB89C55-3410-5D40-FCF8-2FE90331D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0</xdr:row>
      <xdr:rowOff>166687</xdr:rowOff>
    </xdr:from>
    <xdr:to>
      <xdr:col>11</xdr:col>
      <xdr:colOff>371475</xdr:colOff>
      <xdr:row>15</xdr:row>
      <xdr:rowOff>52387</xdr:rowOff>
    </xdr:to>
    <xdr:graphicFrame macro="">
      <xdr:nvGraphicFramePr>
        <xdr:cNvPr id="2" name="Chart 1">
          <a:extLst>
            <a:ext uri="{FF2B5EF4-FFF2-40B4-BE49-F238E27FC236}">
              <a16:creationId xmlns:a16="http://schemas.microsoft.com/office/drawing/2014/main" id="{E59ADB68-61B9-6574-4C01-86B92E028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217905</xdr:colOff>
      <xdr:row>0</xdr:row>
      <xdr:rowOff>195843</xdr:rowOff>
    </xdr:from>
    <xdr:to>
      <xdr:col>22</xdr:col>
      <xdr:colOff>196102</xdr:colOff>
      <xdr:row>6</xdr:row>
      <xdr:rowOff>97751</xdr:rowOff>
    </xdr:to>
    <xdr:sp macro="" textlink="">
      <xdr:nvSpPr>
        <xdr:cNvPr id="2" name="Rectangle: Rounded Corners 1">
          <a:extLst>
            <a:ext uri="{FF2B5EF4-FFF2-40B4-BE49-F238E27FC236}">
              <a16:creationId xmlns:a16="http://schemas.microsoft.com/office/drawing/2014/main" id="{27DC1AA8-35D2-FC90-97CC-37BC1BD28BC2}"/>
            </a:ext>
          </a:extLst>
        </xdr:cNvPr>
        <xdr:cNvSpPr/>
      </xdr:nvSpPr>
      <xdr:spPr>
        <a:xfrm>
          <a:off x="5764817" y="195843"/>
          <a:ext cx="7990403" cy="1078526"/>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800" b="1" cap="none" spc="0">
              <a:ln w="0"/>
              <a:solidFill>
                <a:schemeClr val="tx1"/>
              </a:solidFill>
              <a:effectLst>
                <a:outerShdw blurRad="38100" dist="19050" dir="2700000" algn="tl" rotWithShape="0">
                  <a:schemeClr val="dk1">
                    <a:alpha val="40000"/>
                  </a:schemeClr>
                </a:outerShdw>
              </a:effectLst>
              <a:latin typeface="Aptos Display" panose="020B0004020202020204" pitchFamily="34" charset="0"/>
            </a:rPr>
            <a:t>Jumia Product Performance &amp; Insights Dashboard</a:t>
          </a:r>
          <a:endParaRPr lang="en-KE" sz="2800" b="1" cap="none" spc="0">
            <a:ln w="0"/>
            <a:solidFill>
              <a:schemeClr val="tx1"/>
            </a:solidFill>
            <a:effectLst>
              <a:outerShdw blurRad="38100" dist="19050" dir="2700000" algn="tl" rotWithShape="0">
                <a:schemeClr val="dk1">
                  <a:alpha val="40000"/>
                </a:schemeClr>
              </a:outerShdw>
            </a:effectLst>
            <a:latin typeface="Aptos Display" panose="020B0004020202020204" pitchFamily="34" charset="0"/>
          </a:endParaRPr>
        </a:p>
      </xdr:txBody>
    </xdr:sp>
    <xdr:clientData/>
  </xdr:twoCellAnchor>
  <xdr:twoCellAnchor>
    <xdr:from>
      <xdr:col>4</xdr:col>
      <xdr:colOff>197734</xdr:colOff>
      <xdr:row>8</xdr:row>
      <xdr:rowOff>9749</xdr:rowOff>
    </xdr:from>
    <xdr:to>
      <xdr:col>10</xdr:col>
      <xdr:colOff>322168</xdr:colOff>
      <xdr:row>12</xdr:row>
      <xdr:rowOff>182096</xdr:rowOff>
    </xdr:to>
    <xdr:sp macro="" textlink="">
      <xdr:nvSpPr>
        <xdr:cNvPr id="3" name="Rectangle: Rounded Corners 2">
          <a:extLst>
            <a:ext uri="{FF2B5EF4-FFF2-40B4-BE49-F238E27FC236}">
              <a16:creationId xmlns:a16="http://schemas.microsoft.com/office/drawing/2014/main" id="{354D6B11-3E57-46AF-451C-19E8F5A379FE}"/>
            </a:ext>
          </a:extLst>
        </xdr:cNvPr>
        <xdr:cNvSpPr/>
      </xdr:nvSpPr>
      <xdr:spPr>
        <a:xfrm>
          <a:off x="2663028" y="1578573"/>
          <a:ext cx="3822375" cy="956758"/>
        </a:xfrm>
        <a:prstGeom prst="roundRect">
          <a:avLst/>
        </a:prstGeom>
        <a:effectLst>
          <a:outerShdw blurRad="50800" dist="38100" dir="2700000" algn="t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b="1">
              <a:solidFill>
                <a:schemeClr val="tx2">
                  <a:lumMod val="50000"/>
                </a:schemeClr>
              </a:solidFill>
              <a:effectLst/>
              <a:latin typeface="Aptos Display" panose="020B0004020202020204" pitchFamily="34" charset="0"/>
            </a:rPr>
            <a:t>Total number of Products:</a:t>
          </a:r>
        </a:p>
        <a:p>
          <a:pPr algn="l"/>
          <a:r>
            <a:rPr lang="en-US" sz="2000" b="1">
              <a:solidFill>
                <a:schemeClr val="tx1"/>
              </a:solidFill>
              <a:effectLst/>
              <a:latin typeface="Aptos Display" panose="020B0004020202020204" pitchFamily="34" charset="0"/>
            </a:rPr>
            <a:t>110</a:t>
          </a:r>
          <a:endParaRPr lang="en-KE" sz="2000" b="1">
            <a:solidFill>
              <a:schemeClr val="tx1"/>
            </a:solidFill>
            <a:effectLst/>
            <a:latin typeface="Aptos Display" panose="020B0004020202020204" pitchFamily="34" charset="0"/>
          </a:endParaRPr>
        </a:p>
      </xdr:txBody>
    </xdr:sp>
    <xdr:clientData/>
  </xdr:twoCellAnchor>
  <xdr:twoCellAnchor>
    <xdr:from>
      <xdr:col>11</xdr:col>
      <xdr:colOff>442530</xdr:colOff>
      <xdr:row>8</xdr:row>
      <xdr:rowOff>51772</xdr:rowOff>
    </xdr:from>
    <xdr:to>
      <xdr:col>15</xdr:col>
      <xdr:colOff>588816</xdr:colOff>
      <xdr:row>12</xdr:row>
      <xdr:rowOff>156547</xdr:rowOff>
    </xdr:to>
    <xdr:sp macro="" textlink="">
      <xdr:nvSpPr>
        <xdr:cNvPr id="4" name="Rectangle: Rounded Corners 3">
          <a:extLst>
            <a:ext uri="{FF2B5EF4-FFF2-40B4-BE49-F238E27FC236}">
              <a16:creationId xmlns:a16="http://schemas.microsoft.com/office/drawing/2014/main" id="{6EBDF95D-D0ED-4596-BDB1-B0C9ED1D8DBC}"/>
            </a:ext>
          </a:extLst>
        </xdr:cNvPr>
        <xdr:cNvSpPr/>
      </xdr:nvSpPr>
      <xdr:spPr>
        <a:xfrm>
          <a:off x="7222089" y="1620596"/>
          <a:ext cx="2611580" cy="889186"/>
        </a:xfrm>
        <a:prstGeom prst="roundRect">
          <a:avLst/>
        </a:prstGeom>
        <a:effectLst>
          <a:outerShdw blurRad="50800" dist="38100" dir="2700000" algn="t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b="1">
              <a:solidFill>
                <a:schemeClr val="tx2">
                  <a:lumMod val="50000"/>
                </a:schemeClr>
              </a:solidFill>
              <a:effectLst>
                <a:innerShdw blurRad="63500" dist="50800" dir="13500000">
                  <a:prstClr val="black">
                    <a:alpha val="50000"/>
                  </a:prstClr>
                </a:innerShdw>
              </a:effectLst>
              <a:latin typeface="Aptos" panose="020B0004020202020204" pitchFamily="34" charset="0"/>
            </a:rPr>
            <a:t>Average Rating:</a:t>
          </a:r>
        </a:p>
        <a:p>
          <a:pPr algn="l"/>
          <a:r>
            <a:rPr lang="en-US" sz="2000" b="1">
              <a:solidFill>
                <a:schemeClr val="tx1"/>
              </a:solidFill>
              <a:effectLst>
                <a:innerShdw blurRad="63500" dist="50800" dir="13500000">
                  <a:prstClr val="black">
                    <a:alpha val="50000"/>
                  </a:prstClr>
                </a:innerShdw>
              </a:effectLst>
              <a:latin typeface="Aptos" panose="020B0004020202020204" pitchFamily="34" charset="0"/>
            </a:rPr>
            <a:t>5</a:t>
          </a:r>
          <a:endParaRPr lang="en-KE" sz="2000" b="1">
            <a:solidFill>
              <a:schemeClr val="tx1"/>
            </a:solidFill>
            <a:effectLst>
              <a:innerShdw blurRad="63500" dist="50800" dir="13500000">
                <a:prstClr val="black">
                  <a:alpha val="50000"/>
                </a:prstClr>
              </a:innerShdw>
            </a:effectLst>
            <a:latin typeface="Aptos" panose="020B0004020202020204" pitchFamily="34" charset="0"/>
          </a:endParaRPr>
        </a:p>
      </xdr:txBody>
    </xdr:sp>
    <xdr:clientData/>
  </xdr:twoCellAnchor>
  <xdr:twoCellAnchor>
    <xdr:from>
      <xdr:col>17</xdr:col>
      <xdr:colOff>98051</xdr:colOff>
      <xdr:row>8</xdr:row>
      <xdr:rowOff>65778</xdr:rowOff>
    </xdr:from>
    <xdr:to>
      <xdr:col>24</xdr:col>
      <xdr:colOff>247038</xdr:colOff>
      <xdr:row>12</xdr:row>
      <xdr:rowOff>173805</xdr:rowOff>
    </xdr:to>
    <xdr:sp macro="" textlink="">
      <xdr:nvSpPr>
        <xdr:cNvPr id="5" name="Rectangle: Rounded Corners 4">
          <a:extLst>
            <a:ext uri="{FF2B5EF4-FFF2-40B4-BE49-F238E27FC236}">
              <a16:creationId xmlns:a16="http://schemas.microsoft.com/office/drawing/2014/main" id="{2EC43DC6-CFCC-4A29-AF55-A711168B80CA}"/>
            </a:ext>
          </a:extLst>
        </xdr:cNvPr>
        <xdr:cNvSpPr/>
      </xdr:nvSpPr>
      <xdr:spPr>
        <a:xfrm>
          <a:off x="10575551" y="1634602"/>
          <a:ext cx="4463252" cy="892438"/>
        </a:xfrm>
        <a:prstGeom prst="roundRect">
          <a:avLst/>
        </a:prstGeom>
        <a:ln/>
        <a:effectLst>
          <a:outerShdw blurRad="50800" dist="38100" dir="2700000" algn="t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b="1">
              <a:solidFill>
                <a:schemeClr val="tx2">
                  <a:lumMod val="50000"/>
                </a:schemeClr>
              </a:solidFill>
              <a:latin typeface="Aptos" panose="020B0004020202020204" pitchFamily="34" charset="0"/>
            </a:rPr>
            <a:t>Average Discount Percentage: </a:t>
          </a:r>
          <a:r>
            <a:rPr lang="en-US" sz="2000" b="1">
              <a:solidFill>
                <a:schemeClr val="tx1"/>
              </a:solidFill>
              <a:latin typeface="Aptos" panose="020B0004020202020204" pitchFamily="34" charset="0"/>
            </a:rPr>
            <a:t>36.25%</a:t>
          </a:r>
          <a:endParaRPr lang="en-KE" sz="2000" b="1">
            <a:solidFill>
              <a:schemeClr val="tx1"/>
            </a:solidFill>
            <a:latin typeface="Aptos" panose="020B0004020202020204" pitchFamily="34" charset="0"/>
          </a:endParaRPr>
        </a:p>
      </xdr:txBody>
    </xdr:sp>
    <xdr:clientData/>
  </xdr:twoCellAnchor>
  <xdr:twoCellAnchor>
    <xdr:from>
      <xdr:col>26</xdr:col>
      <xdr:colOff>99884</xdr:colOff>
      <xdr:row>8</xdr:row>
      <xdr:rowOff>37763</xdr:rowOff>
    </xdr:from>
    <xdr:to>
      <xdr:col>31</xdr:col>
      <xdr:colOff>347303</xdr:colOff>
      <xdr:row>12</xdr:row>
      <xdr:rowOff>148655</xdr:rowOff>
    </xdr:to>
    <xdr:sp macro="" textlink="">
      <xdr:nvSpPr>
        <xdr:cNvPr id="6" name="Rectangle: Rounded Corners 5">
          <a:extLst>
            <a:ext uri="{FF2B5EF4-FFF2-40B4-BE49-F238E27FC236}">
              <a16:creationId xmlns:a16="http://schemas.microsoft.com/office/drawing/2014/main" id="{B9CEE415-12FE-41A3-953C-3D287388831F}"/>
            </a:ext>
          </a:extLst>
        </xdr:cNvPr>
        <xdr:cNvSpPr/>
      </xdr:nvSpPr>
      <xdr:spPr>
        <a:xfrm>
          <a:off x="16124296" y="1606587"/>
          <a:ext cx="3329036" cy="895303"/>
        </a:xfrm>
        <a:prstGeom prst="roundRect">
          <a:avLst/>
        </a:prstGeom>
        <a:effectLst>
          <a:outerShdw blurRad="50800" dist="38100" dir="2700000" algn="t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b="1">
              <a:solidFill>
                <a:schemeClr val="tx2">
                  <a:lumMod val="50000"/>
                </a:schemeClr>
              </a:solidFill>
              <a:latin typeface="Aptos" panose="020B0004020202020204" pitchFamily="34" charset="0"/>
            </a:rPr>
            <a:t>Total Number of Reviews:</a:t>
          </a:r>
        </a:p>
        <a:p>
          <a:pPr algn="l"/>
          <a:r>
            <a:rPr lang="en-US" sz="2000" b="1">
              <a:solidFill>
                <a:schemeClr val="tx1"/>
              </a:solidFill>
              <a:latin typeface="Aptos" panose="020B0004020202020204" pitchFamily="34" charset="0"/>
            </a:rPr>
            <a:t>722</a:t>
          </a:r>
          <a:endParaRPr lang="en-KE" sz="2000" b="1">
            <a:solidFill>
              <a:schemeClr val="tx1"/>
            </a:solidFill>
            <a:latin typeface="Aptos" panose="020B0004020202020204" pitchFamily="34" charset="0"/>
          </a:endParaRPr>
        </a:p>
      </xdr:txBody>
    </xdr:sp>
    <xdr:clientData/>
  </xdr:twoCellAnchor>
  <xdr:twoCellAnchor>
    <xdr:from>
      <xdr:col>12</xdr:col>
      <xdr:colOff>317500</xdr:colOff>
      <xdr:row>38</xdr:row>
      <xdr:rowOff>2740</xdr:rowOff>
    </xdr:from>
    <xdr:to>
      <xdr:col>22</xdr:col>
      <xdr:colOff>301625</xdr:colOff>
      <xdr:row>58</xdr:row>
      <xdr:rowOff>95250</xdr:rowOff>
    </xdr:to>
    <xdr:graphicFrame macro="">
      <xdr:nvGraphicFramePr>
        <xdr:cNvPr id="11" name="Chart 10">
          <a:extLst>
            <a:ext uri="{FF2B5EF4-FFF2-40B4-BE49-F238E27FC236}">
              <a16:creationId xmlns:a16="http://schemas.microsoft.com/office/drawing/2014/main" id="{630D18AD-C7A8-426B-ABA2-EF16FF06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444500</xdr:colOff>
      <xdr:row>14</xdr:row>
      <xdr:rowOff>63500</xdr:rowOff>
    </xdr:from>
    <xdr:to>
      <xdr:col>32</xdr:col>
      <xdr:colOff>555625</xdr:colOff>
      <xdr:row>36</xdr:row>
      <xdr:rowOff>127000</xdr:rowOff>
    </xdr:to>
    <xdr:graphicFrame macro="">
      <xdr:nvGraphicFramePr>
        <xdr:cNvPr id="13" name="Chart 12">
          <a:extLst>
            <a:ext uri="{FF2B5EF4-FFF2-40B4-BE49-F238E27FC236}">
              <a16:creationId xmlns:a16="http://schemas.microsoft.com/office/drawing/2014/main" id="{CD4BC637-E59E-47F2-9807-0903B3ABE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14</xdr:row>
      <xdr:rowOff>19050</xdr:rowOff>
    </xdr:from>
    <xdr:to>
      <xdr:col>12</xdr:col>
      <xdr:colOff>158750</xdr:colOff>
      <xdr:row>36</xdr:row>
      <xdr:rowOff>95250</xdr:rowOff>
    </xdr:to>
    <xdr:graphicFrame macro="">
      <xdr:nvGraphicFramePr>
        <xdr:cNvPr id="16" name="Chart 15">
          <a:extLst>
            <a:ext uri="{FF2B5EF4-FFF2-40B4-BE49-F238E27FC236}">
              <a16:creationId xmlns:a16="http://schemas.microsoft.com/office/drawing/2014/main" id="{019F904C-AF4C-42BB-BA99-8C0180314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333375</xdr:colOff>
      <xdr:row>14</xdr:row>
      <xdr:rowOff>15875</xdr:rowOff>
    </xdr:from>
    <xdr:to>
      <xdr:col>22</xdr:col>
      <xdr:colOff>285750</xdr:colOff>
      <xdr:row>36</xdr:row>
      <xdr:rowOff>142875</xdr:rowOff>
    </xdr:to>
    <xdr:graphicFrame macro="">
      <xdr:nvGraphicFramePr>
        <xdr:cNvPr id="18" name="Chart 17">
          <a:extLst>
            <a:ext uri="{FF2B5EF4-FFF2-40B4-BE49-F238E27FC236}">
              <a16:creationId xmlns:a16="http://schemas.microsoft.com/office/drawing/2014/main" id="{3081929E-0762-419C-BAB4-C956502ED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428625</xdr:colOff>
      <xdr:row>37</xdr:row>
      <xdr:rowOff>174625</xdr:rowOff>
    </xdr:from>
    <xdr:to>
      <xdr:col>12</xdr:col>
      <xdr:colOff>158751</xdr:colOff>
      <xdr:row>58</xdr:row>
      <xdr:rowOff>79375</xdr:rowOff>
    </xdr:to>
    <xdr:graphicFrame macro="">
      <xdr:nvGraphicFramePr>
        <xdr:cNvPr id="20" name="Chart 19">
          <a:extLst>
            <a:ext uri="{FF2B5EF4-FFF2-40B4-BE49-F238E27FC236}">
              <a16:creationId xmlns:a16="http://schemas.microsoft.com/office/drawing/2014/main" id="{17779798-0DF9-4141-98AC-0B73693CE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492125</xdr:colOff>
      <xdr:row>38</xdr:row>
      <xdr:rowOff>1</xdr:rowOff>
    </xdr:from>
    <xdr:to>
      <xdr:col>32</xdr:col>
      <xdr:colOff>587375</xdr:colOff>
      <xdr:row>58</xdr:row>
      <xdr:rowOff>95251</xdr:rowOff>
    </xdr:to>
    <xdr:graphicFrame macro="">
      <xdr:nvGraphicFramePr>
        <xdr:cNvPr id="22" name="Chart 21">
          <a:extLst>
            <a:ext uri="{FF2B5EF4-FFF2-40B4-BE49-F238E27FC236}">
              <a16:creationId xmlns:a16="http://schemas.microsoft.com/office/drawing/2014/main" id="{0FDC0F3C-E668-4FD0-BD64-A054992B4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301624</xdr:colOff>
      <xdr:row>60</xdr:row>
      <xdr:rowOff>15874</xdr:rowOff>
    </xdr:from>
    <xdr:to>
      <xdr:col>22</xdr:col>
      <xdr:colOff>238125</xdr:colOff>
      <xdr:row>81</xdr:row>
      <xdr:rowOff>31749</xdr:rowOff>
    </xdr:to>
    <xdr:graphicFrame macro="">
      <xdr:nvGraphicFramePr>
        <xdr:cNvPr id="23" name="Chart 22">
          <a:extLst>
            <a:ext uri="{FF2B5EF4-FFF2-40B4-BE49-F238E27FC236}">
              <a16:creationId xmlns:a16="http://schemas.microsoft.com/office/drawing/2014/main" id="{097BC9C7-4E8A-49A1-ACA0-9E9C49478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111124</xdr:colOff>
      <xdr:row>14</xdr:row>
      <xdr:rowOff>0</xdr:rowOff>
    </xdr:from>
    <xdr:to>
      <xdr:col>3</xdr:col>
      <xdr:colOff>349249</xdr:colOff>
      <xdr:row>36</xdr:row>
      <xdr:rowOff>174625</xdr:rowOff>
    </xdr:to>
    <mc:AlternateContent xmlns:mc="http://schemas.openxmlformats.org/markup-compatibility/2006" xmlns:a14="http://schemas.microsoft.com/office/drawing/2010/main">
      <mc:Choice Requires="a14">
        <xdr:graphicFrame macro="">
          <xdr:nvGraphicFramePr>
            <xdr:cNvPr id="24" name="Discount Category 1">
              <a:extLst>
                <a:ext uri="{FF2B5EF4-FFF2-40B4-BE49-F238E27FC236}">
                  <a16:creationId xmlns:a16="http://schemas.microsoft.com/office/drawing/2014/main" id="{64CDD557-9815-4521-B136-734EF442A004}"/>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11124" y="2597727"/>
              <a:ext cx="2056534" cy="425676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38</xdr:row>
      <xdr:rowOff>95250</xdr:rowOff>
    </xdr:from>
    <xdr:to>
      <xdr:col>3</xdr:col>
      <xdr:colOff>285750</xdr:colOff>
      <xdr:row>58</xdr:row>
      <xdr:rowOff>31750</xdr:rowOff>
    </xdr:to>
    <mc:AlternateContent xmlns:mc="http://schemas.openxmlformats.org/markup-compatibility/2006" xmlns:a14="http://schemas.microsoft.com/office/drawing/2010/main">
      <mc:Choice Requires="a14">
        <xdr:graphicFrame macro="">
          <xdr:nvGraphicFramePr>
            <xdr:cNvPr id="25" name="Rating Category 1">
              <a:extLst>
                <a:ext uri="{FF2B5EF4-FFF2-40B4-BE49-F238E27FC236}">
                  <a16:creationId xmlns:a16="http://schemas.microsoft.com/office/drawing/2014/main" id="{35DEE017-7E7F-41E6-82D6-39D32BF61D12}"/>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27000" y="7146224"/>
              <a:ext cx="1977159" cy="364753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3629025</xdr:colOff>
      <xdr:row>1</xdr:row>
      <xdr:rowOff>100012</xdr:rowOff>
    </xdr:from>
    <xdr:to>
      <xdr:col>2</xdr:col>
      <xdr:colOff>1962150</xdr:colOff>
      <xdr:row>15</xdr:row>
      <xdr:rowOff>176212</xdr:rowOff>
    </xdr:to>
    <xdr:graphicFrame macro="">
      <xdr:nvGraphicFramePr>
        <xdr:cNvPr id="2" name="Chart 1">
          <a:extLst>
            <a:ext uri="{FF2B5EF4-FFF2-40B4-BE49-F238E27FC236}">
              <a16:creationId xmlns:a16="http://schemas.microsoft.com/office/drawing/2014/main" id="{78C1A9E0-9296-9B8F-3EF8-A2FB5FEA7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152400</xdr:colOff>
      <xdr:row>1</xdr:row>
      <xdr:rowOff>71437</xdr:rowOff>
    </xdr:from>
    <xdr:to>
      <xdr:col>8</xdr:col>
      <xdr:colOff>171450</xdr:colOff>
      <xdr:row>15</xdr:row>
      <xdr:rowOff>147637</xdr:rowOff>
    </xdr:to>
    <xdr:graphicFrame macro="">
      <xdr:nvGraphicFramePr>
        <xdr:cNvPr id="2" name="Chart 1">
          <a:extLst>
            <a:ext uri="{FF2B5EF4-FFF2-40B4-BE49-F238E27FC236}">
              <a16:creationId xmlns:a16="http://schemas.microsoft.com/office/drawing/2014/main" id="{0C95359F-B3EB-816D-0710-B35C565D0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247650</xdr:colOff>
      <xdr:row>0</xdr:row>
      <xdr:rowOff>71436</xdr:rowOff>
    </xdr:from>
    <xdr:to>
      <xdr:col>9</xdr:col>
      <xdr:colOff>209550</xdr:colOff>
      <xdr:row>18</xdr:row>
      <xdr:rowOff>76200</xdr:rowOff>
    </xdr:to>
    <xdr:graphicFrame macro="">
      <xdr:nvGraphicFramePr>
        <xdr:cNvPr id="2" name="Chart 1">
          <a:extLst>
            <a:ext uri="{FF2B5EF4-FFF2-40B4-BE49-F238E27FC236}">
              <a16:creationId xmlns:a16="http://schemas.microsoft.com/office/drawing/2014/main" id="{3F35B935-CB71-FE0D-4F4E-5D57C0188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2324100</xdr:colOff>
      <xdr:row>2</xdr:row>
      <xdr:rowOff>90487</xdr:rowOff>
    </xdr:from>
    <xdr:to>
      <xdr:col>1</xdr:col>
      <xdr:colOff>514350</xdr:colOff>
      <xdr:row>16</xdr:row>
      <xdr:rowOff>166687</xdr:rowOff>
    </xdr:to>
    <xdr:graphicFrame macro="">
      <xdr:nvGraphicFramePr>
        <xdr:cNvPr id="2" name="Chart 1">
          <a:extLst>
            <a:ext uri="{FF2B5EF4-FFF2-40B4-BE49-F238E27FC236}">
              <a16:creationId xmlns:a16="http://schemas.microsoft.com/office/drawing/2014/main" id="{34613D85-446A-0EDF-6A36-C65D9FAB8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295275</xdr:colOff>
      <xdr:row>0</xdr:row>
      <xdr:rowOff>0</xdr:rowOff>
    </xdr:from>
    <xdr:to>
      <xdr:col>18</xdr:col>
      <xdr:colOff>600075</xdr:colOff>
      <xdr:row>14</xdr:row>
      <xdr:rowOff>76200</xdr:rowOff>
    </xdr:to>
    <xdr:graphicFrame macro="">
      <xdr:nvGraphicFramePr>
        <xdr:cNvPr id="2" name="Chart 1">
          <a:extLst>
            <a:ext uri="{FF2B5EF4-FFF2-40B4-BE49-F238E27FC236}">
              <a16:creationId xmlns:a16="http://schemas.microsoft.com/office/drawing/2014/main" id="{9D92EE4F-D87A-57E2-27FD-1C7200EFE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2</xdr:row>
      <xdr:rowOff>147637</xdr:rowOff>
    </xdr:from>
    <xdr:to>
      <xdr:col>11</xdr:col>
      <xdr:colOff>76200</xdr:colOff>
      <xdr:row>17</xdr:row>
      <xdr:rowOff>33337</xdr:rowOff>
    </xdr:to>
    <xdr:graphicFrame macro="">
      <xdr:nvGraphicFramePr>
        <xdr:cNvPr id="3" name="Chart 2">
          <a:extLst>
            <a:ext uri="{FF2B5EF4-FFF2-40B4-BE49-F238E27FC236}">
              <a16:creationId xmlns:a16="http://schemas.microsoft.com/office/drawing/2014/main" id="{EF566829-E5AA-26C3-AD5A-ED9636CE3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est user" refreshedDate="46048.563894328705" createdVersion="8" refreshedVersion="8" minRefreshableVersion="3" recordCount="109" xr:uid="{60E5A356-AE0D-4AE0-897E-9117D84F14B5}">
  <cacheSource type="worksheet">
    <worksheetSource ref="A1:I110"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ount="101">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sharedItems>
    </cacheField>
    <cacheField name="Old price" numFmtId="164">
      <sharedItems containsSemiMixedTypes="0" containsString="0" containsNumber="1" containsInteger="1" minValue="80" maxValue="6143" count="91">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sharedItems>
    </cacheField>
    <cacheField name="Discount Amount" numFmtId="164">
      <sharedItems containsSemiMixedTypes="0" containsString="0" containsNumber="1" containsInteger="1" minValue="24" maxValue="2585" count="101">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sharedItems>
    </cacheField>
    <cacheField name="Discount" numFmtId="10">
      <sharedItems containsSemiMixedTypes="0" containsString="0" containsNumber="1" minValue="1.2638230647709321E-2" maxValue="0.60515873015873012" count="103">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sharedItems>
      <fieldGroup base="4">
        <rangePr startNum="1.2638230647709321E-2" endNum="0.60515873015873012" groupInterval="0.1"/>
        <groupItems count="8">
          <s v="&lt;0.0126382306477093"/>
          <s v="0.0126382306477093-0.112638230647709"/>
          <s v="0.112638230647709-0.212638230647709"/>
          <s v="0.212638230647709-0.312638230647709"/>
          <s v="0.312638230647709-0.412638230647709"/>
          <s v="0.412638230647709-0.512638230647709"/>
          <s v="0.512638230647709-0.612638230647709"/>
          <s v="&gt;0.612638230647709"/>
        </groupItems>
      </fieldGroup>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out of 5)" numFmtId="0">
      <sharedItems containsMixedTypes="1" containsNumber="1" minValue="2.1" maxValue="5" count="22">
        <n v="4.5"/>
        <n v="4.0999999999999996"/>
        <n v="4.5999999999999996"/>
        <n v="4.7"/>
        <n v="4.8"/>
        <n v="4"/>
        <n v="3.8"/>
        <n v="4.2"/>
        <n v="5"/>
        <n v="3.3"/>
        <s v="not provided"/>
        <n v="4.4000000000000004"/>
        <n v="4.3"/>
        <n v="2.5"/>
        <n v="3"/>
        <n v="2.1"/>
        <n v="2.8"/>
        <n v="2.7"/>
        <n v="2.9"/>
        <n v="2.2000000000000002"/>
        <n v="2.2999999999999998"/>
        <n v="2.6"/>
      </sharedItems>
    </cacheField>
    <cacheField name="Discount Category" numFmtId="0">
      <sharedItems count="3">
        <s v="Medium"/>
        <s v="High"/>
        <s v="Low"/>
      </sharedItems>
    </cacheField>
    <cacheField name="Rating Category" numFmtId="0">
      <sharedItems count="4">
        <s v="Excellent"/>
        <s v="Average"/>
        <s v="not provided"/>
        <s v="Poor"/>
      </sharedItems>
    </cacheField>
  </cacheFields>
  <extLst>
    <ext xmlns:x14="http://schemas.microsoft.com/office/spreadsheetml/2009/9/main" uri="{725AE2AE-9491-48be-B2B4-4EB974FC3084}">
      <x14:pivotCacheDefinition pivotCacheId="575673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est user" refreshedDate="46051.643080324073" createdVersion="8" refreshedVersion="8" minRefreshableVersion="3" recordCount="5" xr:uid="{9332354F-BE84-44C5-9392-335227FE33FD}">
  <cacheSource type="worksheet">
    <worksheetSource ref="K6:L11" sheet="Discount vs review"/>
  </cacheSource>
  <cacheFields count="2">
    <cacheField name="0.0126382306477093-0.112638230647709" numFmtId="10">
      <sharedItems/>
    </cacheField>
    <cacheField name="15" numFmtId="0">
      <sharedItems containsSemiMixedTypes="0" containsString="0" containsNumber="1" containsInteger="1" minValue="36" maxValue="2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x v="0"/>
    <x v="0"/>
    <x v="0"/>
    <x v="0"/>
    <x v="0"/>
    <x v="0"/>
    <x v="0"/>
  </r>
  <r>
    <x v="1"/>
    <x v="1"/>
    <x v="1"/>
    <x v="1"/>
    <x v="1"/>
    <x v="1"/>
    <x v="1"/>
    <x v="1"/>
    <x v="1"/>
  </r>
  <r>
    <x v="2"/>
    <x v="2"/>
    <x v="2"/>
    <x v="2"/>
    <x v="2"/>
    <x v="2"/>
    <x v="2"/>
    <x v="0"/>
    <x v="0"/>
  </r>
  <r>
    <x v="3"/>
    <x v="3"/>
    <x v="3"/>
    <x v="3"/>
    <x v="3"/>
    <x v="3"/>
    <x v="3"/>
    <x v="0"/>
    <x v="0"/>
  </r>
  <r>
    <x v="4"/>
    <x v="4"/>
    <x v="4"/>
    <x v="4"/>
    <x v="4"/>
    <x v="4"/>
    <x v="4"/>
    <x v="0"/>
    <x v="0"/>
  </r>
  <r>
    <x v="5"/>
    <x v="5"/>
    <x v="5"/>
    <x v="5"/>
    <x v="5"/>
    <x v="5"/>
    <x v="5"/>
    <x v="2"/>
    <x v="1"/>
  </r>
  <r>
    <x v="6"/>
    <x v="6"/>
    <x v="6"/>
    <x v="6"/>
    <x v="6"/>
    <x v="6"/>
    <x v="2"/>
    <x v="0"/>
    <x v="0"/>
  </r>
  <r>
    <x v="7"/>
    <x v="7"/>
    <x v="7"/>
    <x v="7"/>
    <x v="7"/>
    <x v="0"/>
    <x v="5"/>
    <x v="0"/>
    <x v="1"/>
  </r>
  <r>
    <x v="8"/>
    <x v="8"/>
    <x v="8"/>
    <x v="8"/>
    <x v="8"/>
    <x v="4"/>
    <x v="4"/>
    <x v="1"/>
    <x v="0"/>
  </r>
  <r>
    <x v="9"/>
    <x v="9"/>
    <x v="9"/>
    <x v="9"/>
    <x v="9"/>
    <x v="4"/>
    <x v="6"/>
    <x v="1"/>
    <x v="1"/>
  </r>
  <r>
    <x v="10"/>
    <x v="10"/>
    <x v="1"/>
    <x v="10"/>
    <x v="10"/>
    <x v="7"/>
    <x v="1"/>
    <x v="0"/>
    <x v="1"/>
  </r>
  <r>
    <x v="11"/>
    <x v="11"/>
    <x v="10"/>
    <x v="11"/>
    <x v="11"/>
    <x v="8"/>
    <x v="3"/>
    <x v="0"/>
    <x v="0"/>
  </r>
  <r>
    <x v="12"/>
    <x v="12"/>
    <x v="11"/>
    <x v="12"/>
    <x v="12"/>
    <x v="7"/>
    <x v="4"/>
    <x v="1"/>
    <x v="0"/>
  </r>
  <r>
    <x v="13"/>
    <x v="13"/>
    <x v="12"/>
    <x v="13"/>
    <x v="13"/>
    <x v="9"/>
    <x v="0"/>
    <x v="1"/>
    <x v="0"/>
  </r>
  <r>
    <x v="14"/>
    <x v="14"/>
    <x v="3"/>
    <x v="14"/>
    <x v="14"/>
    <x v="10"/>
    <x v="7"/>
    <x v="0"/>
    <x v="1"/>
  </r>
  <r>
    <x v="15"/>
    <x v="15"/>
    <x v="13"/>
    <x v="15"/>
    <x v="15"/>
    <x v="0"/>
    <x v="8"/>
    <x v="1"/>
    <x v="0"/>
  </r>
  <r>
    <x v="16"/>
    <x v="16"/>
    <x v="14"/>
    <x v="16"/>
    <x v="16"/>
    <x v="0"/>
    <x v="8"/>
    <x v="1"/>
    <x v="0"/>
  </r>
  <r>
    <x v="17"/>
    <x v="17"/>
    <x v="15"/>
    <x v="17"/>
    <x v="17"/>
    <x v="11"/>
    <x v="8"/>
    <x v="1"/>
    <x v="0"/>
  </r>
  <r>
    <x v="18"/>
    <x v="5"/>
    <x v="16"/>
    <x v="18"/>
    <x v="18"/>
    <x v="4"/>
    <x v="2"/>
    <x v="2"/>
    <x v="0"/>
  </r>
  <r>
    <x v="19"/>
    <x v="18"/>
    <x v="17"/>
    <x v="19"/>
    <x v="19"/>
    <x v="12"/>
    <x v="2"/>
    <x v="1"/>
    <x v="0"/>
  </r>
  <r>
    <x v="20"/>
    <x v="19"/>
    <x v="18"/>
    <x v="20"/>
    <x v="20"/>
    <x v="13"/>
    <x v="9"/>
    <x v="1"/>
    <x v="1"/>
  </r>
  <r>
    <x v="21"/>
    <x v="20"/>
    <x v="19"/>
    <x v="21"/>
    <x v="21"/>
    <x v="14"/>
    <x v="10"/>
    <x v="1"/>
    <x v="2"/>
  </r>
  <r>
    <x v="22"/>
    <x v="21"/>
    <x v="20"/>
    <x v="22"/>
    <x v="22"/>
    <x v="9"/>
    <x v="5"/>
    <x v="0"/>
    <x v="1"/>
  </r>
  <r>
    <x v="23"/>
    <x v="22"/>
    <x v="21"/>
    <x v="23"/>
    <x v="23"/>
    <x v="1"/>
    <x v="11"/>
    <x v="0"/>
    <x v="1"/>
  </r>
  <r>
    <x v="24"/>
    <x v="23"/>
    <x v="22"/>
    <x v="24"/>
    <x v="24"/>
    <x v="3"/>
    <x v="12"/>
    <x v="1"/>
    <x v="1"/>
  </r>
  <r>
    <x v="25"/>
    <x v="24"/>
    <x v="23"/>
    <x v="25"/>
    <x v="25"/>
    <x v="15"/>
    <x v="2"/>
    <x v="0"/>
    <x v="0"/>
  </r>
  <r>
    <x v="26"/>
    <x v="25"/>
    <x v="24"/>
    <x v="26"/>
    <x v="26"/>
    <x v="7"/>
    <x v="6"/>
    <x v="2"/>
    <x v="1"/>
  </r>
  <r>
    <x v="27"/>
    <x v="26"/>
    <x v="25"/>
    <x v="26"/>
    <x v="27"/>
    <x v="13"/>
    <x v="6"/>
    <x v="0"/>
    <x v="1"/>
  </r>
  <r>
    <x v="28"/>
    <x v="27"/>
    <x v="3"/>
    <x v="27"/>
    <x v="28"/>
    <x v="16"/>
    <x v="1"/>
    <x v="0"/>
    <x v="1"/>
  </r>
  <r>
    <x v="29"/>
    <x v="28"/>
    <x v="26"/>
    <x v="28"/>
    <x v="29"/>
    <x v="14"/>
    <x v="10"/>
    <x v="1"/>
    <x v="2"/>
  </r>
  <r>
    <x v="30"/>
    <x v="29"/>
    <x v="27"/>
    <x v="29"/>
    <x v="30"/>
    <x v="10"/>
    <x v="12"/>
    <x v="1"/>
    <x v="1"/>
  </r>
  <r>
    <x v="31"/>
    <x v="30"/>
    <x v="28"/>
    <x v="11"/>
    <x v="31"/>
    <x v="7"/>
    <x v="3"/>
    <x v="0"/>
    <x v="0"/>
  </r>
  <r>
    <x v="32"/>
    <x v="31"/>
    <x v="29"/>
    <x v="30"/>
    <x v="32"/>
    <x v="10"/>
    <x v="12"/>
    <x v="1"/>
    <x v="1"/>
  </r>
  <r>
    <x v="33"/>
    <x v="32"/>
    <x v="30"/>
    <x v="31"/>
    <x v="33"/>
    <x v="16"/>
    <x v="3"/>
    <x v="0"/>
    <x v="0"/>
  </r>
  <r>
    <x v="34"/>
    <x v="33"/>
    <x v="31"/>
    <x v="32"/>
    <x v="34"/>
    <x v="17"/>
    <x v="0"/>
    <x v="0"/>
    <x v="0"/>
  </r>
  <r>
    <x v="35"/>
    <x v="34"/>
    <x v="32"/>
    <x v="33"/>
    <x v="35"/>
    <x v="18"/>
    <x v="8"/>
    <x v="0"/>
    <x v="0"/>
  </r>
  <r>
    <x v="36"/>
    <x v="35"/>
    <x v="14"/>
    <x v="34"/>
    <x v="20"/>
    <x v="0"/>
    <x v="8"/>
    <x v="1"/>
    <x v="0"/>
  </r>
  <r>
    <x v="37"/>
    <x v="36"/>
    <x v="33"/>
    <x v="35"/>
    <x v="36"/>
    <x v="19"/>
    <x v="12"/>
    <x v="1"/>
    <x v="1"/>
  </r>
  <r>
    <x v="38"/>
    <x v="37"/>
    <x v="34"/>
    <x v="36"/>
    <x v="37"/>
    <x v="0"/>
    <x v="0"/>
    <x v="0"/>
    <x v="0"/>
  </r>
  <r>
    <x v="39"/>
    <x v="38"/>
    <x v="35"/>
    <x v="37"/>
    <x v="38"/>
    <x v="14"/>
    <x v="10"/>
    <x v="0"/>
    <x v="2"/>
  </r>
  <r>
    <x v="40"/>
    <x v="39"/>
    <x v="36"/>
    <x v="38"/>
    <x v="39"/>
    <x v="14"/>
    <x v="10"/>
    <x v="1"/>
    <x v="2"/>
  </r>
  <r>
    <x v="41"/>
    <x v="40"/>
    <x v="37"/>
    <x v="39"/>
    <x v="40"/>
    <x v="14"/>
    <x v="10"/>
    <x v="1"/>
    <x v="2"/>
  </r>
  <r>
    <x v="42"/>
    <x v="41"/>
    <x v="38"/>
    <x v="40"/>
    <x v="41"/>
    <x v="14"/>
    <x v="10"/>
    <x v="1"/>
    <x v="2"/>
  </r>
  <r>
    <x v="43"/>
    <x v="42"/>
    <x v="39"/>
    <x v="41"/>
    <x v="42"/>
    <x v="14"/>
    <x v="10"/>
    <x v="2"/>
    <x v="2"/>
  </r>
  <r>
    <x v="44"/>
    <x v="43"/>
    <x v="40"/>
    <x v="42"/>
    <x v="43"/>
    <x v="14"/>
    <x v="10"/>
    <x v="1"/>
    <x v="2"/>
  </r>
  <r>
    <x v="45"/>
    <x v="44"/>
    <x v="41"/>
    <x v="43"/>
    <x v="37"/>
    <x v="14"/>
    <x v="10"/>
    <x v="0"/>
    <x v="2"/>
  </r>
  <r>
    <x v="46"/>
    <x v="45"/>
    <x v="42"/>
    <x v="44"/>
    <x v="44"/>
    <x v="14"/>
    <x v="10"/>
    <x v="1"/>
    <x v="2"/>
  </r>
  <r>
    <x v="47"/>
    <x v="46"/>
    <x v="43"/>
    <x v="45"/>
    <x v="45"/>
    <x v="14"/>
    <x v="10"/>
    <x v="0"/>
    <x v="2"/>
  </r>
  <r>
    <x v="48"/>
    <x v="47"/>
    <x v="44"/>
    <x v="46"/>
    <x v="46"/>
    <x v="14"/>
    <x v="10"/>
    <x v="1"/>
    <x v="2"/>
  </r>
  <r>
    <x v="49"/>
    <x v="48"/>
    <x v="45"/>
    <x v="47"/>
    <x v="47"/>
    <x v="14"/>
    <x v="10"/>
    <x v="1"/>
    <x v="2"/>
  </r>
  <r>
    <x v="50"/>
    <x v="49"/>
    <x v="46"/>
    <x v="48"/>
    <x v="48"/>
    <x v="14"/>
    <x v="10"/>
    <x v="2"/>
    <x v="2"/>
  </r>
  <r>
    <x v="51"/>
    <x v="48"/>
    <x v="47"/>
    <x v="49"/>
    <x v="49"/>
    <x v="14"/>
    <x v="10"/>
    <x v="0"/>
    <x v="2"/>
  </r>
  <r>
    <x v="52"/>
    <x v="50"/>
    <x v="48"/>
    <x v="50"/>
    <x v="50"/>
    <x v="14"/>
    <x v="10"/>
    <x v="2"/>
    <x v="2"/>
  </r>
  <r>
    <x v="53"/>
    <x v="10"/>
    <x v="49"/>
    <x v="51"/>
    <x v="51"/>
    <x v="14"/>
    <x v="10"/>
    <x v="1"/>
    <x v="2"/>
  </r>
  <r>
    <x v="54"/>
    <x v="51"/>
    <x v="50"/>
    <x v="52"/>
    <x v="52"/>
    <x v="14"/>
    <x v="10"/>
    <x v="1"/>
    <x v="2"/>
  </r>
  <r>
    <x v="55"/>
    <x v="52"/>
    <x v="49"/>
    <x v="53"/>
    <x v="53"/>
    <x v="14"/>
    <x v="10"/>
    <x v="1"/>
    <x v="2"/>
  </r>
  <r>
    <x v="56"/>
    <x v="10"/>
    <x v="51"/>
    <x v="54"/>
    <x v="54"/>
    <x v="14"/>
    <x v="10"/>
    <x v="1"/>
    <x v="2"/>
  </r>
  <r>
    <x v="57"/>
    <x v="53"/>
    <x v="52"/>
    <x v="55"/>
    <x v="55"/>
    <x v="14"/>
    <x v="10"/>
    <x v="0"/>
    <x v="2"/>
  </r>
  <r>
    <x v="58"/>
    <x v="54"/>
    <x v="53"/>
    <x v="56"/>
    <x v="56"/>
    <x v="14"/>
    <x v="10"/>
    <x v="1"/>
    <x v="2"/>
  </r>
  <r>
    <x v="59"/>
    <x v="55"/>
    <x v="54"/>
    <x v="57"/>
    <x v="57"/>
    <x v="9"/>
    <x v="13"/>
    <x v="2"/>
    <x v="3"/>
  </r>
  <r>
    <x v="60"/>
    <x v="56"/>
    <x v="55"/>
    <x v="58"/>
    <x v="58"/>
    <x v="20"/>
    <x v="14"/>
    <x v="1"/>
    <x v="1"/>
  </r>
  <r>
    <x v="61"/>
    <x v="57"/>
    <x v="56"/>
    <x v="59"/>
    <x v="59"/>
    <x v="13"/>
    <x v="15"/>
    <x v="1"/>
    <x v="3"/>
  </r>
  <r>
    <x v="62"/>
    <x v="58"/>
    <x v="57"/>
    <x v="60"/>
    <x v="60"/>
    <x v="21"/>
    <x v="16"/>
    <x v="1"/>
    <x v="3"/>
  </r>
  <r>
    <x v="63"/>
    <x v="59"/>
    <x v="58"/>
    <x v="61"/>
    <x v="61"/>
    <x v="5"/>
    <x v="17"/>
    <x v="1"/>
    <x v="3"/>
  </r>
  <r>
    <x v="64"/>
    <x v="60"/>
    <x v="59"/>
    <x v="62"/>
    <x v="62"/>
    <x v="22"/>
    <x v="18"/>
    <x v="0"/>
    <x v="3"/>
  </r>
  <r>
    <x v="65"/>
    <x v="11"/>
    <x v="60"/>
    <x v="63"/>
    <x v="63"/>
    <x v="9"/>
    <x v="19"/>
    <x v="1"/>
    <x v="3"/>
  </r>
  <r>
    <x v="66"/>
    <x v="61"/>
    <x v="40"/>
    <x v="64"/>
    <x v="40"/>
    <x v="3"/>
    <x v="20"/>
    <x v="1"/>
    <x v="3"/>
  </r>
  <r>
    <x v="67"/>
    <x v="62"/>
    <x v="61"/>
    <x v="65"/>
    <x v="64"/>
    <x v="4"/>
    <x v="14"/>
    <x v="0"/>
    <x v="1"/>
  </r>
  <r>
    <x v="68"/>
    <x v="63"/>
    <x v="62"/>
    <x v="66"/>
    <x v="65"/>
    <x v="23"/>
    <x v="21"/>
    <x v="1"/>
    <x v="3"/>
  </r>
  <r>
    <x v="69"/>
    <x v="64"/>
    <x v="63"/>
    <x v="67"/>
    <x v="66"/>
    <x v="4"/>
    <x v="14"/>
    <x v="0"/>
    <x v="1"/>
  </r>
  <r>
    <x v="70"/>
    <x v="65"/>
    <x v="64"/>
    <x v="68"/>
    <x v="67"/>
    <x v="9"/>
    <x v="20"/>
    <x v="1"/>
    <x v="3"/>
  </r>
  <r>
    <x v="71"/>
    <x v="66"/>
    <x v="65"/>
    <x v="69"/>
    <x v="68"/>
    <x v="4"/>
    <x v="14"/>
    <x v="1"/>
    <x v="1"/>
  </r>
  <r>
    <x v="72"/>
    <x v="67"/>
    <x v="60"/>
    <x v="70"/>
    <x v="69"/>
    <x v="9"/>
    <x v="19"/>
    <x v="1"/>
    <x v="3"/>
  </r>
  <r>
    <x v="73"/>
    <x v="68"/>
    <x v="66"/>
    <x v="71"/>
    <x v="70"/>
    <x v="3"/>
    <x v="15"/>
    <x v="1"/>
    <x v="3"/>
  </r>
  <r>
    <x v="74"/>
    <x v="69"/>
    <x v="67"/>
    <x v="72"/>
    <x v="71"/>
    <x v="14"/>
    <x v="10"/>
    <x v="1"/>
    <x v="2"/>
  </r>
  <r>
    <x v="75"/>
    <x v="70"/>
    <x v="68"/>
    <x v="11"/>
    <x v="72"/>
    <x v="14"/>
    <x v="10"/>
    <x v="1"/>
    <x v="2"/>
  </r>
  <r>
    <x v="76"/>
    <x v="71"/>
    <x v="69"/>
    <x v="73"/>
    <x v="73"/>
    <x v="14"/>
    <x v="10"/>
    <x v="2"/>
    <x v="2"/>
  </r>
  <r>
    <x v="77"/>
    <x v="72"/>
    <x v="70"/>
    <x v="74"/>
    <x v="74"/>
    <x v="14"/>
    <x v="10"/>
    <x v="1"/>
    <x v="2"/>
  </r>
  <r>
    <x v="78"/>
    <x v="73"/>
    <x v="71"/>
    <x v="75"/>
    <x v="75"/>
    <x v="18"/>
    <x v="14"/>
    <x v="1"/>
    <x v="1"/>
  </r>
  <r>
    <x v="79"/>
    <x v="74"/>
    <x v="72"/>
    <x v="76"/>
    <x v="76"/>
    <x v="18"/>
    <x v="8"/>
    <x v="1"/>
    <x v="0"/>
  </r>
  <r>
    <x v="80"/>
    <x v="75"/>
    <x v="73"/>
    <x v="77"/>
    <x v="77"/>
    <x v="14"/>
    <x v="10"/>
    <x v="0"/>
    <x v="2"/>
  </r>
  <r>
    <x v="81"/>
    <x v="76"/>
    <x v="46"/>
    <x v="78"/>
    <x v="78"/>
    <x v="14"/>
    <x v="10"/>
    <x v="2"/>
    <x v="2"/>
  </r>
  <r>
    <x v="82"/>
    <x v="77"/>
    <x v="23"/>
    <x v="79"/>
    <x v="79"/>
    <x v="18"/>
    <x v="5"/>
    <x v="1"/>
    <x v="1"/>
  </r>
  <r>
    <x v="83"/>
    <x v="78"/>
    <x v="74"/>
    <x v="80"/>
    <x v="80"/>
    <x v="14"/>
    <x v="10"/>
    <x v="1"/>
    <x v="2"/>
  </r>
  <r>
    <x v="84"/>
    <x v="79"/>
    <x v="46"/>
    <x v="81"/>
    <x v="81"/>
    <x v="14"/>
    <x v="10"/>
    <x v="2"/>
    <x v="2"/>
  </r>
  <r>
    <x v="85"/>
    <x v="80"/>
    <x v="75"/>
    <x v="82"/>
    <x v="82"/>
    <x v="14"/>
    <x v="10"/>
    <x v="1"/>
    <x v="2"/>
  </r>
  <r>
    <x v="86"/>
    <x v="10"/>
    <x v="50"/>
    <x v="83"/>
    <x v="83"/>
    <x v="14"/>
    <x v="10"/>
    <x v="2"/>
    <x v="2"/>
  </r>
  <r>
    <x v="87"/>
    <x v="81"/>
    <x v="76"/>
    <x v="84"/>
    <x v="84"/>
    <x v="14"/>
    <x v="10"/>
    <x v="1"/>
    <x v="2"/>
  </r>
  <r>
    <x v="88"/>
    <x v="82"/>
    <x v="46"/>
    <x v="85"/>
    <x v="85"/>
    <x v="14"/>
    <x v="10"/>
    <x v="2"/>
    <x v="2"/>
  </r>
  <r>
    <x v="89"/>
    <x v="83"/>
    <x v="77"/>
    <x v="22"/>
    <x v="86"/>
    <x v="14"/>
    <x v="10"/>
    <x v="1"/>
    <x v="2"/>
  </r>
  <r>
    <x v="90"/>
    <x v="84"/>
    <x v="78"/>
    <x v="86"/>
    <x v="40"/>
    <x v="14"/>
    <x v="10"/>
    <x v="1"/>
    <x v="2"/>
  </r>
  <r>
    <x v="91"/>
    <x v="85"/>
    <x v="54"/>
    <x v="87"/>
    <x v="87"/>
    <x v="14"/>
    <x v="10"/>
    <x v="1"/>
    <x v="2"/>
  </r>
  <r>
    <x v="92"/>
    <x v="86"/>
    <x v="79"/>
    <x v="88"/>
    <x v="88"/>
    <x v="14"/>
    <x v="10"/>
    <x v="1"/>
    <x v="2"/>
  </r>
  <r>
    <x v="93"/>
    <x v="87"/>
    <x v="46"/>
    <x v="89"/>
    <x v="89"/>
    <x v="14"/>
    <x v="10"/>
    <x v="1"/>
    <x v="2"/>
  </r>
  <r>
    <x v="94"/>
    <x v="46"/>
    <x v="80"/>
    <x v="87"/>
    <x v="40"/>
    <x v="14"/>
    <x v="10"/>
    <x v="1"/>
    <x v="2"/>
  </r>
  <r>
    <x v="95"/>
    <x v="88"/>
    <x v="81"/>
    <x v="90"/>
    <x v="90"/>
    <x v="14"/>
    <x v="10"/>
    <x v="2"/>
    <x v="2"/>
  </r>
  <r>
    <x v="96"/>
    <x v="89"/>
    <x v="48"/>
    <x v="41"/>
    <x v="91"/>
    <x v="14"/>
    <x v="10"/>
    <x v="2"/>
    <x v="2"/>
  </r>
  <r>
    <x v="97"/>
    <x v="90"/>
    <x v="82"/>
    <x v="39"/>
    <x v="92"/>
    <x v="14"/>
    <x v="10"/>
    <x v="1"/>
    <x v="2"/>
  </r>
  <r>
    <x v="98"/>
    <x v="91"/>
    <x v="16"/>
    <x v="91"/>
    <x v="93"/>
    <x v="14"/>
    <x v="10"/>
    <x v="2"/>
    <x v="2"/>
  </r>
  <r>
    <x v="99"/>
    <x v="92"/>
    <x v="83"/>
    <x v="92"/>
    <x v="39"/>
    <x v="14"/>
    <x v="10"/>
    <x v="1"/>
    <x v="2"/>
  </r>
  <r>
    <x v="100"/>
    <x v="93"/>
    <x v="84"/>
    <x v="93"/>
    <x v="94"/>
    <x v="14"/>
    <x v="10"/>
    <x v="1"/>
    <x v="2"/>
  </r>
  <r>
    <x v="101"/>
    <x v="94"/>
    <x v="85"/>
    <x v="94"/>
    <x v="95"/>
    <x v="18"/>
    <x v="8"/>
    <x v="0"/>
    <x v="0"/>
  </r>
  <r>
    <x v="102"/>
    <x v="95"/>
    <x v="86"/>
    <x v="64"/>
    <x v="96"/>
    <x v="14"/>
    <x v="10"/>
    <x v="1"/>
    <x v="2"/>
  </r>
  <r>
    <x v="103"/>
    <x v="96"/>
    <x v="87"/>
    <x v="95"/>
    <x v="97"/>
    <x v="14"/>
    <x v="10"/>
    <x v="2"/>
    <x v="2"/>
  </r>
  <r>
    <x v="104"/>
    <x v="97"/>
    <x v="88"/>
    <x v="96"/>
    <x v="98"/>
    <x v="14"/>
    <x v="10"/>
    <x v="0"/>
    <x v="2"/>
  </r>
  <r>
    <x v="105"/>
    <x v="98"/>
    <x v="89"/>
    <x v="97"/>
    <x v="99"/>
    <x v="14"/>
    <x v="10"/>
    <x v="0"/>
    <x v="2"/>
  </r>
  <r>
    <x v="106"/>
    <x v="44"/>
    <x v="90"/>
    <x v="98"/>
    <x v="100"/>
    <x v="14"/>
    <x v="10"/>
    <x v="0"/>
    <x v="2"/>
  </r>
  <r>
    <x v="107"/>
    <x v="99"/>
    <x v="46"/>
    <x v="99"/>
    <x v="101"/>
    <x v="14"/>
    <x v="10"/>
    <x v="2"/>
    <x v="2"/>
  </r>
  <r>
    <x v="108"/>
    <x v="100"/>
    <x v="69"/>
    <x v="100"/>
    <x v="102"/>
    <x v="14"/>
    <x v="10"/>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0.112638230647709-0.212638230647709"/>
    <n v="36"/>
  </r>
  <r>
    <s v="0.212638230647709-0.312638230647709"/>
    <n v="191"/>
  </r>
  <r>
    <s v="0.312638230647709-0.412638230647709"/>
    <n v="183"/>
  </r>
  <r>
    <s v="0.412638230647709-0.512638230647709"/>
    <n v="221"/>
  </r>
  <r>
    <s v="0.512638230647709-0.612638230647709"/>
    <n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16F00-6E30-4848-ABD2-79C8AC3A5A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1" firstHeaderRow="1" firstDataRow="2"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items count="102">
        <item x="19"/>
        <item x="86"/>
        <item x="35"/>
        <item x="78"/>
        <item x="29"/>
        <item x="16"/>
        <item x="97"/>
        <item x="47"/>
        <item x="72"/>
        <item x="40"/>
        <item x="90"/>
        <item x="80"/>
        <item x="48"/>
        <item x="59"/>
        <item x="77"/>
        <item x="15"/>
        <item x="65"/>
        <item x="63"/>
        <item x="36"/>
        <item x="54"/>
        <item x="24"/>
        <item x="58"/>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numFmtId="164" showAll="0">
      <items count="92">
        <item x="18"/>
        <item x="79"/>
        <item x="88"/>
        <item x="74"/>
        <item x="14"/>
        <item x="27"/>
        <item x="47"/>
        <item x="70"/>
        <item x="37"/>
        <item x="82"/>
        <item x="44"/>
        <item x="75"/>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t="default"/>
      </items>
    </pivotField>
    <pivotField numFmtId="164" showAll="0">
      <items count="102">
        <item x="95"/>
        <item x="100"/>
        <item x="78"/>
        <item x="41"/>
        <item x="48"/>
        <item x="50"/>
        <item x="99"/>
        <item x="20"/>
        <item x="96"/>
        <item x="73"/>
        <item x="49"/>
        <item x="88"/>
        <item x="83"/>
        <item x="90"/>
        <item x="91"/>
        <item x="16"/>
        <item x="80"/>
        <item x="34"/>
        <item x="29"/>
        <item x="10"/>
        <item x="74"/>
        <item x="25"/>
        <item x="85"/>
        <item x="81"/>
        <item x="39"/>
        <item x="68"/>
        <item x="82"/>
        <item x="35"/>
        <item x="5"/>
        <item x="47"/>
        <item x="46"/>
        <item x="79"/>
        <item x="66"/>
        <item x="57"/>
        <item x="62"/>
        <item x="15"/>
        <item x="61"/>
        <item x="13"/>
        <item x="69"/>
        <item x="52"/>
        <item x="60"/>
        <item x="40"/>
        <item x="38"/>
        <item x="22"/>
        <item x="1"/>
        <item x="12"/>
        <item x="56"/>
        <item x="23"/>
        <item x="92"/>
        <item x="11"/>
        <item x="58"/>
        <item x="51"/>
        <item x="0"/>
        <item x="97"/>
        <item x="7"/>
        <item x="43"/>
        <item x="4"/>
        <item x="98"/>
        <item x="84"/>
        <item x="26"/>
        <item x="53"/>
        <item x="44"/>
        <item x="72"/>
        <item x="18"/>
        <item x="31"/>
        <item x="6"/>
        <item x="32"/>
        <item x="2"/>
        <item x="27"/>
        <item x="45"/>
        <item x="54"/>
        <item x="93"/>
        <item x="89"/>
        <item x="14"/>
        <item x="63"/>
        <item x="77"/>
        <item x="70"/>
        <item x="86"/>
        <item x="36"/>
        <item x="3"/>
        <item x="67"/>
        <item x="76"/>
        <item x="94"/>
        <item x="19"/>
        <item x="64"/>
        <item x="42"/>
        <item x="75"/>
        <item x="55"/>
        <item x="33"/>
        <item x="87"/>
        <item x="9"/>
        <item x="21"/>
        <item x="71"/>
        <item x="8"/>
        <item x="30"/>
        <item x="37"/>
        <item x="28"/>
        <item x="17"/>
        <item x="65"/>
        <item x="24"/>
        <item x="59"/>
        <item t="default"/>
      </items>
    </pivotField>
    <pivotField axis="axisRow" numFmtId="10" showAll="0">
      <items count="9">
        <item x="0"/>
        <item x="1"/>
        <item x="2"/>
        <item x="3"/>
        <item x="4"/>
        <item x="5"/>
        <item x="6"/>
        <item x="7"/>
        <item t="default"/>
      </items>
    </pivotField>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3">
        <item x="15"/>
        <item x="19"/>
        <item x="20"/>
        <item x="13"/>
        <item x="21"/>
        <item x="17"/>
        <item x="16"/>
        <item x="18"/>
        <item x="14"/>
        <item x="9"/>
        <item x="6"/>
        <item x="5"/>
        <item x="1"/>
        <item x="7"/>
        <item x="12"/>
        <item x="11"/>
        <item x="0"/>
        <item x="2"/>
        <item x="3"/>
        <item x="4"/>
        <item x="8"/>
        <item x="10"/>
        <item t="default"/>
      </items>
    </pivotField>
    <pivotField axis="axisCol" showAll="0">
      <items count="4">
        <item x="1"/>
        <item x="2"/>
        <item x="0"/>
        <item t="default"/>
      </items>
    </pivotField>
    <pivotField showAll="0">
      <items count="5">
        <item x="1"/>
        <item x="0"/>
        <item x="2"/>
        <item x="3"/>
        <item t="default"/>
      </items>
    </pivotField>
  </pivotFields>
  <rowFields count="1">
    <field x="4"/>
  </rowFields>
  <rowItems count="7">
    <i>
      <x v="1"/>
    </i>
    <i>
      <x v="2"/>
    </i>
    <i>
      <x v="3"/>
    </i>
    <i>
      <x v="4"/>
    </i>
    <i>
      <x v="5"/>
    </i>
    <i>
      <x v="6"/>
    </i>
    <i t="grand">
      <x/>
    </i>
  </rowItems>
  <colFields count="1">
    <field x="7"/>
  </colFields>
  <colItems count="4">
    <i>
      <x/>
    </i>
    <i>
      <x v="1"/>
    </i>
    <i>
      <x v="2"/>
    </i>
    <i t="grand">
      <x/>
    </i>
  </colItems>
  <dataFields count="1">
    <dataField name="Average of Rating (out of 5)" fld="6"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8C060-6A5D-4C6D-B620-78330A55B4D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S23"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383D6-A377-4DDE-9318-CFC8182BF7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9">
    <pivotField showAll="0"/>
    <pivotField numFmtId="164" showAll="0"/>
    <pivotField numFmtId="164" showAll="0"/>
    <pivotField numFmtId="164" showAll="0"/>
    <pivotField axis="axisRow" numFmtId="10" showAll="0">
      <items count="9">
        <item x="0"/>
        <item x="1"/>
        <item x="2"/>
        <item x="3"/>
        <item x="4"/>
        <item x="5"/>
        <item x="6"/>
        <item x="7"/>
        <item t="default"/>
      </items>
    </pivotField>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showAll="0">
      <items count="5">
        <item x="1"/>
        <item x="0"/>
        <item x="2"/>
        <item x="3"/>
        <item t="default"/>
      </items>
    </pivotField>
  </pivotFields>
  <rowFields count="1">
    <field x="4"/>
  </rowFields>
  <rowItems count="7">
    <i>
      <x v="1"/>
    </i>
    <i>
      <x v="2"/>
    </i>
    <i>
      <x v="3"/>
    </i>
    <i>
      <x v="4"/>
    </i>
    <i>
      <x v="5"/>
    </i>
    <i>
      <x v="6"/>
    </i>
    <i t="grand">
      <x/>
    </i>
  </rowItems>
  <colItems count="1">
    <i/>
  </colItems>
  <dataFields count="1">
    <dataField name="Sum of Review" fld="5"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49A49D-2D5B-4B58-A380-EB75ECEC85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9">
    <pivotField dataField="1" showAll="0"/>
    <pivotField numFmtId="164" showAll="0"/>
    <pivotField numFmtId="164" showAll="0"/>
    <pivotField numFmtId="164" showAll="0"/>
    <pivotField numFmtId="10" showAll="0">
      <items count="9">
        <item x="0"/>
        <item x="1"/>
        <item x="2"/>
        <item x="3"/>
        <item x="4"/>
        <item x="5"/>
        <item x="6"/>
        <item x="7"/>
        <item t="default"/>
      </items>
    </pivotField>
    <pivotField showAll="0"/>
    <pivotField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axis="axisRow" showAll="0">
      <items count="5">
        <item x="1"/>
        <item x="0"/>
        <item x="2"/>
        <item x="3"/>
        <item t="default"/>
      </items>
    </pivotField>
  </pivotFields>
  <rowFields count="1">
    <field x="8"/>
  </rowFields>
  <rowItems count="5">
    <i>
      <x/>
    </i>
    <i>
      <x v="1"/>
    </i>
    <i>
      <x v="2"/>
    </i>
    <i>
      <x v="3"/>
    </i>
    <i t="grand">
      <x/>
    </i>
  </rowItems>
  <colItems count="1">
    <i/>
  </colItems>
  <dataFields count="1">
    <dataField name="Number of Product" fld="0" subtotal="count" baseField="0" baseItem="0"/>
  </dataFields>
  <chartFormats count="2">
    <chartFormat chart="0"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221DF1-0AA7-4548-B472-834A1E0A915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9">
    <pivotField dataField="1" showAll="0"/>
    <pivotField numFmtId="164" showAll="0"/>
    <pivotField numFmtId="164" showAll="0"/>
    <pivotField numFmtId="164" showAll="0"/>
    <pivotField numFmtId="10" showAll="0">
      <items count="9">
        <item x="0"/>
        <item x="1"/>
        <item x="2"/>
        <item x="3"/>
        <item x="4"/>
        <item x="5"/>
        <item x="6"/>
        <item x="7"/>
        <item t="default"/>
      </items>
    </pivotField>
    <pivotField showAll="0"/>
    <pivotField showAll="0">
      <items count="23">
        <item x="15"/>
        <item x="19"/>
        <item x="20"/>
        <item x="13"/>
        <item x="21"/>
        <item x="17"/>
        <item x="16"/>
        <item x="18"/>
        <item x="14"/>
        <item x="9"/>
        <item x="6"/>
        <item x="5"/>
        <item x="1"/>
        <item x="7"/>
        <item x="12"/>
        <item x="11"/>
        <item x="0"/>
        <item x="2"/>
        <item x="3"/>
        <item x="4"/>
        <item x="8"/>
        <item x="10"/>
        <item t="default"/>
      </items>
    </pivotField>
    <pivotField axis="axisRow" showAll="0">
      <items count="4">
        <item x="1"/>
        <item x="2"/>
        <item x="0"/>
        <item t="default"/>
      </items>
    </pivotField>
    <pivotField showAll="0">
      <items count="5">
        <item x="1"/>
        <item x="0"/>
        <item x="2"/>
        <item x="3"/>
        <item t="default"/>
      </items>
    </pivotField>
  </pivotFields>
  <rowFields count="1">
    <field x="7"/>
  </rowFields>
  <rowItems count="4">
    <i>
      <x/>
    </i>
    <i>
      <x v="1"/>
    </i>
    <i>
      <x v="2"/>
    </i>
    <i t="grand">
      <x/>
    </i>
  </rowItems>
  <colItems count="1">
    <i/>
  </colItems>
  <dataFields count="1">
    <dataField name="Number of Product" fld="0" subtotal="count" baseField="0" baseItem="0"/>
  </dataFields>
  <chartFormats count="5">
    <chartFormat chart="0"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10774B-9AAA-4513-88F2-6716FC50122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items count="102">
        <item x="95"/>
        <item x="100"/>
        <item x="78"/>
        <item x="41"/>
        <item x="48"/>
        <item x="50"/>
        <item x="99"/>
        <item x="20"/>
        <item x="96"/>
        <item x="73"/>
        <item x="49"/>
        <item x="88"/>
        <item x="83"/>
        <item x="90"/>
        <item x="91"/>
        <item x="16"/>
        <item x="80"/>
        <item x="34"/>
        <item x="29"/>
        <item x="10"/>
        <item x="74"/>
        <item x="25"/>
        <item x="85"/>
        <item x="81"/>
        <item x="39"/>
        <item x="68"/>
        <item x="82"/>
        <item x="35"/>
        <item x="5"/>
        <item x="47"/>
        <item x="46"/>
        <item x="79"/>
        <item x="66"/>
        <item x="57"/>
        <item x="62"/>
        <item x="15"/>
        <item x="61"/>
        <item x="13"/>
        <item x="69"/>
        <item x="52"/>
        <item x="60"/>
        <item x="40"/>
        <item x="38"/>
        <item x="22"/>
        <item x="1"/>
        <item x="12"/>
        <item x="56"/>
        <item x="23"/>
        <item x="92"/>
        <item x="11"/>
        <item x="58"/>
        <item x="51"/>
        <item x="0"/>
        <item x="97"/>
        <item x="7"/>
        <item x="43"/>
        <item x="4"/>
        <item x="98"/>
        <item x="84"/>
        <item x="26"/>
        <item x="53"/>
        <item x="44"/>
        <item x="72"/>
        <item x="18"/>
        <item x="31"/>
        <item x="6"/>
        <item x="32"/>
        <item x="2"/>
        <item x="27"/>
        <item x="45"/>
        <item x="54"/>
        <item x="93"/>
        <item x="89"/>
        <item x="14"/>
        <item x="63"/>
        <item x="77"/>
        <item x="70"/>
        <item x="86"/>
        <item x="36"/>
        <item x="3"/>
        <item x="67"/>
        <item x="76"/>
        <item x="94"/>
        <item x="19"/>
        <item x="64"/>
        <item x="42"/>
        <item x="75"/>
        <item x="55"/>
        <item x="33"/>
        <item x="87"/>
        <item x="9"/>
        <item x="21"/>
        <item x="71"/>
        <item x="8"/>
        <item x="30"/>
        <item x="37"/>
        <item x="28"/>
        <item x="17"/>
        <item x="65"/>
        <item x="24"/>
        <item x="59"/>
        <item t="default"/>
      </items>
    </pivotField>
    <pivotField dataField="1" numFmtId="10" showAll="0">
      <items count="9">
        <item x="0"/>
        <item x="1"/>
        <item x="2"/>
        <item x="3"/>
        <item x="4"/>
        <item x="5"/>
        <item x="6"/>
        <item x="7"/>
        <item t="default"/>
      </items>
    </pivotField>
    <pivotField showAll="0"/>
    <pivotField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showAll="0">
      <items count="5">
        <item x="1"/>
        <item x="0"/>
        <item x="2"/>
        <item x="3"/>
        <item t="default"/>
      </items>
    </pivotField>
  </pivotFields>
  <rowFields count="1">
    <field x="0"/>
  </rowFields>
  <rowItems count="11">
    <i>
      <x v="53"/>
    </i>
    <i>
      <x v="25"/>
    </i>
    <i>
      <x v="5"/>
    </i>
    <i>
      <x v="70"/>
    </i>
    <i>
      <x v="67"/>
    </i>
    <i>
      <x v="30"/>
    </i>
    <i>
      <x v="20"/>
    </i>
    <i>
      <x v="52"/>
    </i>
    <i>
      <x v="101"/>
    </i>
    <i>
      <x v="60"/>
    </i>
    <i t="grand">
      <x/>
    </i>
  </rowItems>
  <colItems count="1">
    <i/>
  </colItems>
  <dataFields count="1">
    <dataField name="Average of Discount" fld="4" subtotal="average" baseField="0" baseItem="7" numFmtId="10"/>
  </dataFields>
  <chartFormats count="2">
    <chartFormat chart="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0DFF88-AE88-4EDF-8789-60A6C2449DE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10" showAll="0">
      <items count="9">
        <item x="0"/>
        <item x="1"/>
        <item x="2"/>
        <item x="3"/>
        <item x="4"/>
        <item x="5"/>
        <item x="6"/>
        <item x="7"/>
        <item t="default"/>
      </items>
    </pivotField>
    <pivotField dataField="1" showAll="0"/>
    <pivotField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showAll="0">
      <items count="5">
        <item x="1"/>
        <item x="0"/>
        <item x="2"/>
        <item x="3"/>
        <item t="default"/>
      </items>
    </pivotField>
  </pivotFields>
  <rowFields count="1">
    <field x="0"/>
  </rowFields>
  <rowItems count="11">
    <i>
      <x v="64"/>
    </i>
    <i>
      <x v="8"/>
    </i>
    <i>
      <x v="59"/>
    </i>
    <i>
      <x v="18"/>
    </i>
    <i>
      <x v="1"/>
    </i>
    <i>
      <x v="95"/>
    </i>
    <i>
      <x v="27"/>
    </i>
    <i>
      <x v="91"/>
    </i>
    <i>
      <x v="26"/>
    </i>
    <i>
      <x v="28"/>
    </i>
    <i t="grand">
      <x/>
    </i>
  </rowItems>
  <colItems count="1">
    <i/>
  </colItems>
  <dataFields count="1">
    <dataField name="Total Reviews" fld="5" baseField="0" baseItem="63"/>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193619-7131-4363-B57B-C9466DB7EB1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0"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numFmtId="164" showAll="0"/>
    <pivotField axis="axisRow" numFmtId="10" showAll="0">
      <items count="9">
        <item x="0"/>
        <item x="1"/>
        <item x="2"/>
        <item x="3"/>
        <item x="4"/>
        <item x="5"/>
        <item x="6"/>
        <item x="7"/>
        <item t="default"/>
      </items>
    </pivotField>
    <pivotField dataField="1" showAll="0"/>
    <pivotField showAll="0">
      <items count="23">
        <item x="15"/>
        <item x="19"/>
        <item x="20"/>
        <item x="13"/>
        <item x="21"/>
        <item x="17"/>
        <item x="16"/>
        <item x="18"/>
        <item x="14"/>
        <item x="9"/>
        <item x="6"/>
        <item x="5"/>
        <item x="1"/>
        <item x="7"/>
        <item x="12"/>
        <item x="11"/>
        <item x="0"/>
        <item x="2"/>
        <item x="3"/>
        <item x="4"/>
        <item x="8"/>
        <item x="10"/>
        <item t="default"/>
      </items>
    </pivotField>
    <pivotField multipleItemSelectionAllowed="1" showAll="0">
      <items count="4">
        <item x="1"/>
        <item x="2"/>
        <item x="0"/>
        <item t="default"/>
      </items>
    </pivotField>
    <pivotField showAll="0">
      <items count="5">
        <item x="1"/>
        <item x="0"/>
        <item x="2"/>
        <item x="3"/>
        <item t="default"/>
      </items>
    </pivotField>
  </pivotFields>
  <rowFields count="1">
    <field x="4"/>
  </rowFields>
  <rowItems count="7">
    <i>
      <x v="1"/>
    </i>
    <i>
      <x v="2"/>
    </i>
    <i>
      <x v="3"/>
    </i>
    <i>
      <x v="4"/>
    </i>
    <i>
      <x v="5"/>
    </i>
    <i>
      <x v="6"/>
    </i>
    <i t="grand">
      <x/>
    </i>
  </rowItems>
  <colItems count="1">
    <i/>
  </colItems>
  <dataFields count="1">
    <dataField name="Sum of Review" fld="5" baseField="0" baseItem="0"/>
  </dataFields>
  <chartFormats count="2">
    <chartFormat chart="1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BB0F8D-D42F-48FD-8B27-E1AA594A0A9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10" showAll="0">
      <items count="9">
        <item x="0"/>
        <item x="1"/>
        <item x="2"/>
        <item x="3"/>
        <item x="4"/>
        <item x="5"/>
        <item x="6"/>
        <item x="7"/>
        <item t="default"/>
      </items>
    </pivotField>
    <pivotField showAll="0"/>
    <pivotField dataField="1"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showAll="0">
      <items count="5">
        <item x="1"/>
        <item x="0"/>
        <item x="2"/>
        <item x="3"/>
        <item t="default"/>
      </items>
    </pivotField>
  </pivotFields>
  <rowFields count="1">
    <field x="0"/>
  </rowFields>
  <rowItems count="11">
    <i>
      <x v="9"/>
    </i>
    <i>
      <x v="68"/>
    </i>
    <i>
      <x v="57"/>
    </i>
    <i>
      <x v="29"/>
    </i>
    <i>
      <x v="87"/>
    </i>
    <i>
      <x v="40"/>
    </i>
    <i>
      <x v="52"/>
    </i>
    <i>
      <x v="70"/>
    </i>
    <i>
      <x v="90"/>
    </i>
    <i>
      <x v="22"/>
    </i>
    <i t="grand">
      <x/>
    </i>
  </rowItems>
  <colItems count="1">
    <i/>
  </colItems>
  <dataFields count="1">
    <dataField name="Average of Rating (out of 5)" fld="6" subtotal="average" baseField="0" baseItem="1"/>
  </dataFields>
  <chartFormats count="3">
    <chartFormat chart="14"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3144D8-696C-4ECF-AEEE-AB483B74D7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6" firstHeaderRow="1" firstDataRow="1" firstDataCol="1"/>
  <pivotFields count="9">
    <pivotField showAll="0"/>
    <pivotField numFmtId="164" showAll="0"/>
    <pivotField numFmtId="164" showAll="0"/>
    <pivotField numFmtId="164" showAll="0"/>
    <pivotField numFmtId="10" showAll="0">
      <items count="9">
        <item x="0"/>
        <item x="1"/>
        <item x="2"/>
        <item x="3"/>
        <item x="4"/>
        <item x="5"/>
        <item x="6"/>
        <item x="7"/>
        <item t="default"/>
      </items>
    </pivotField>
    <pivotField dataField="1" showAll="0"/>
    <pivotField axis="axisRow" showAll="0">
      <items count="23">
        <item x="15"/>
        <item x="19"/>
        <item x="20"/>
        <item x="13"/>
        <item x="21"/>
        <item x="17"/>
        <item x="16"/>
        <item x="18"/>
        <item x="14"/>
        <item x="9"/>
        <item x="6"/>
        <item x="5"/>
        <item x="1"/>
        <item x="7"/>
        <item x="12"/>
        <item x="11"/>
        <item x="0"/>
        <item x="2"/>
        <item x="3"/>
        <item x="4"/>
        <item x="8"/>
        <item x="10"/>
        <item t="default"/>
      </items>
    </pivotField>
    <pivotField showAll="0">
      <items count="4">
        <item x="1"/>
        <item x="2"/>
        <item x="0"/>
        <item t="default"/>
      </items>
    </pivotField>
    <pivotField showAll="0">
      <items count="5">
        <item x="1"/>
        <item x="0"/>
        <item x="2"/>
        <item x="3"/>
        <item t="default"/>
      </items>
    </pivotField>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iew"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22DE53F-3A5E-45E8-9AFF-A6743EB2BC1E}" sourceName="Discount Category">
  <pivotTables>
    <pivotTable tabId="5" name="PivotTable3"/>
    <pivotTable tabId="9" name="PivotTable6"/>
    <pivotTable tabId="16" name="PivotTable10"/>
    <pivotTable tabId="10" name="PivotTable7"/>
    <pivotTable tabId="18" name="PivotTable12"/>
    <pivotTable tabId="12" name="PivotTable8"/>
    <pivotTable tabId="21" name="PivotTable1"/>
    <pivotTable tabId="20" name="PivotTable13"/>
    <pivotTable tabId="17" name="PivotTable11"/>
  </pivotTables>
  <data>
    <tabular pivotCacheId="57567385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E5D4DF8C-A341-4FF7-B42B-4A08C4F93B5A}" sourceName="Rating Category">
  <pivotTables>
    <pivotTable tabId="5" name="PivotTable3"/>
    <pivotTable tabId="9" name="PivotTable6"/>
    <pivotTable tabId="16" name="PivotTable10"/>
    <pivotTable tabId="17" name="PivotTable11"/>
    <pivotTable tabId="10" name="PivotTable7"/>
    <pivotTable tabId="18" name="PivotTable12"/>
    <pivotTable tabId="12" name="PivotTable8"/>
    <pivotTable tabId="21" name="PivotTable1"/>
    <pivotTable tabId="20" name="PivotTable13"/>
  </pivotTables>
  <data>
    <tabular pivotCacheId="57567385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6C2FC02B-A834-4869-8956-3E76AB03FE3E}" cache="Slicer_Discount_Category" caption="Discount Category" rowHeight="241300"/>
  <slicer name="Rating Category" xr10:uid="{3A6BCFFD-F0DE-411A-92C6-BB44FD4C1F9B}"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F205AF47-CC0C-4B92-B0DA-34A78E839BB6}" cache="Slicer_Discount_Category" caption="Discount Category" style="SlicerStyleLight2" rowHeight="241300"/>
  <slicer name="Rating Category 1" xr10:uid="{C929634A-B753-47D3-A458-1E9CC047D578}" cache="Slicer_Rating_Category" caption="Rating Category"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CCC4-F6A1-4CF3-8E02-48FBA529287E}">
  <dimension ref="A3:E11"/>
  <sheetViews>
    <sheetView topLeftCell="E3" workbookViewId="0">
      <selection activeCell="G5" sqref="G5"/>
    </sheetView>
  </sheetViews>
  <sheetFormatPr defaultRowHeight="15" x14ac:dyDescent="0.25"/>
  <cols>
    <col min="1" max="1" width="36.7109375" bestFit="1" customWidth="1"/>
    <col min="2" max="2" width="16.28515625" bestFit="1" customWidth="1"/>
    <col min="3" max="5" width="12" bestFit="1" customWidth="1"/>
    <col min="6" max="7" width="35.7109375" bestFit="1" customWidth="1"/>
    <col min="8" max="8" width="12" bestFit="1" customWidth="1"/>
  </cols>
  <sheetData>
    <row r="3" spans="1:5" x14ac:dyDescent="0.25">
      <c r="A3" s="7" t="s">
        <v>123</v>
      </c>
      <c r="B3" s="7" t="s">
        <v>124</v>
      </c>
    </row>
    <row r="4" spans="1:5" x14ac:dyDescent="0.25">
      <c r="A4" s="7" t="s">
        <v>119</v>
      </c>
      <c r="B4" t="s">
        <v>125</v>
      </c>
      <c r="C4" t="s">
        <v>120</v>
      </c>
      <c r="D4" t="s">
        <v>121</v>
      </c>
      <c r="E4" t="s">
        <v>122</v>
      </c>
    </row>
    <row r="5" spans="1:5" x14ac:dyDescent="0.25">
      <c r="A5" s="9" t="s">
        <v>146</v>
      </c>
      <c r="C5">
        <v>4</v>
      </c>
      <c r="E5">
        <v>4</v>
      </c>
    </row>
    <row r="6" spans="1:5" x14ac:dyDescent="0.25">
      <c r="A6" s="9" t="s">
        <v>147</v>
      </c>
      <c r="C6">
        <v>3.6333333333333329</v>
      </c>
      <c r="D6">
        <v>4.55</v>
      </c>
      <c r="E6">
        <v>4</v>
      </c>
    </row>
    <row r="7" spans="1:5" x14ac:dyDescent="0.25">
      <c r="A7" s="9" t="s">
        <v>148</v>
      </c>
      <c r="D7">
        <v>4.177777777777778</v>
      </c>
      <c r="E7">
        <v>4.177777777777778</v>
      </c>
    </row>
    <row r="8" spans="1:5" x14ac:dyDescent="0.25">
      <c r="A8" s="9" t="s">
        <v>149</v>
      </c>
      <c r="B8">
        <v>4.3</v>
      </c>
      <c r="D8">
        <v>4.3083333333333327</v>
      </c>
      <c r="E8">
        <v>4.3076923076923075</v>
      </c>
    </row>
    <row r="9" spans="1:5" x14ac:dyDescent="0.25">
      <c r="A9" s="9" t="s">
        <v>150</v>
      </c>
      <c r="B9">
        <v>3.5578947368421048</v>
      </c>
      <c r="E9">
        <v>3.5578947368421048</v>
      </c>
    </row>
    <row r="10" spans="1:5" x14ac:dyDescent="0.25">
      <c r="A10" s="9" t="s">
        <v>151</v>
      </c>
      <c r="B10">
        <v>3.8333333333333339</v>
      </c>
      <c r="E10">
        <v>3.8333333333333339</v>
      </c>
    </row>
    <row r="11" spans="1:5" x14ac:dyDescent="0.25">
      <c r="A11" s="9" t="s">
        <v>122</v>
      </c>
      <c r="B11">
        <v>3.6689655172413791</v>
      </c>
      <c r="C11">
        <v>3.7249999999999996</v>
      </c>
      <c r="D11">
        <v>4.2782608695652176</v>
      </c>
      <c r="E11">
        <v>3.9232142857142853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7BDB7-55C9-43EC-A682-AEA4BAC35F61}">
  <dimension ref="A1:F23"/>
  <sheetViews>
    <sheetView topLeftCell="A7" workbookViewId="0">
      <selection activeCell="A24" sqref="A24"/>
    </sheetView>
  </sheetViews>
  <sheetFormatPr defaultRowHeight="15" x14ac:dyDescent="0.25"/>
  <sheetData>
    <row r="1" spans="1:1" x14ac:dyDescent="0.25">
      <c r="A1" s="10" t="s">
        <v>127</v>
      </c>
    </row>
    <row r="2" spans="1:1" x14ac:dyDescent="0.25">
      <c r="A2" s="6" t="s">
        <v>136</v>
      </c>
    </row>
    <row r="3" spans="1:1" x14ac:dyDescent="0.25">
      <c r="A3" t="s">
        <v>128</v>
      </c>
    </row>
    <row r="4" spans="1:1" x14ac:dyDescent="0.25">
      <c r="A4" t="s">
        <v>129</v>
      </c>
    </row>
    <row r="5" spans="1:1" x14ac:dyDescent="0.25">
      <c r="A5" t="s">
        <v>130</v>
      </c>
    </row>
    <row r="6" spans="1:1" x14ac:dyDescent="0.25">
      <c r="A6" t="s">
        <v>131</v>
      </c>
    </row>
    <row r="7" spans="1:1" x14ac:dyDescent="0.25">
      <c r="A7" t="s">
        <v>132</v>
      </c>
    </row>
    <row r="8" spans="1:1" x14ac:dyDescent="0.25">
      <c r="A8" t="s">
        <v>133</v>
      </c>
    </row>
    <row r="9" spans="1:1" x14ac:dyDescent="0.25">
      <c r="A9" t="s">
        <v>134</v>
      </c>
    </row>
    <row r="10" spans="1:1" x14ac:dyDescent="0.25">
      <c r="A10" t="s">
        <v>135</v>
      </c>
    </row>
    <row r="11" spans="1:1" x14ac:dyDescent="0.25">
      <c r="A11" s="6" t="s">
        <v>137</v>
      </c>
    </row>
    <row r="12" spans="1:1" x14ac:dyDescent="0.25">
      <c r="A12" t="s">
        <v>138</v>
      </c>
    </row>
    <row r="13" spans="1:1" x14ac:dyDescent="0.25">
      <c r="A13" t="s">
        <v>139</v>
      </c>
    </row>
    <row r="14" spans="1:1" x14ac:dyDescent="0.25">
      <c r="A14" t="s">
        <v>140</v>
      </c>
    </row>
    <row r="15" spans="1:1" x14ac:dyDescent="0.25">
      <c r="A15" t="s">
        <v>141</v>
      </c>
    </row>
    <row r="16" spans="1:1" x14ac:dyDescent="0.25">
      <c r="A16" t="s">
        <v>142</v>
      </c>
    </row>
    <row r="17" spans="1:6" x14ac:dyDescent="0.25">
      <c r="A17" t="s">
        <v>143</v>
      </c>
    </row>
    <row r="18" spans="1:6" x14ac:dyDescent="0.25">
      <c r="A18" t="s">
        <v>158</v>
      </c>
    </row>
    <row r="19" spans="1:6" x14ac:dyDescent="0.25">
      <c r="A19" t="s">
        <v>159</v>
      </c>
    </row>
    <row r="20" spans="1:6" x14ac:dyDescent="0.25">
      <c r="A20" t="s">
        <v>144</v>
      </c>
    </row>
    <row r="21" spans="1:6" x14ac:dyDescent="0.25">
      <c r="A21" t="s">
        <v>145</v>
      </c>
    </row>
    <row r="22" spans="1:6" x14ac:dyDescent="0.25">
      <c r="A22" t="s">
        <v>161</v>
      </c>
      <c r="F22" t="s">
        <v>160</v>
      </c>
    </row>
    <row r="23" spans="1:6" x14ac:dyDescent="0.25">
      <c r="A23" s="21"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89EE-E8CF-489C-84C0-20837F9CB552}">
  <dimension ref="A3:S23"/>
  <sheetViews>
    <sheetView workbookViewId="0">
      <selection activeCell="AB8" sqref="AB8"/>
    </sheetView>
  </sheetViews>
  <sheetFormatPr defaultRowHeight="15" x14ac:dyDescent="0.25"/>
  <cols>
    <col min="1" max="1" width="36.7109375" bestFit="1" customWidth="1"/>
    <col min="2" max="2" width="14.28515625" bestFit="1" customWidth="1"/>
    <col min="3" max="9" width="2" bestFit="1" customWidth="1"/>
    <col min="10" max="10" width="3" bestFit="1" customWidth="1"/>
    <col min="11" max="11" width="36.7109375" bestFit="1" customWidth="1"/>
    <col min="12" max="12" width="4" bestFit="1" customWidth="1"/>
    <col min="13" max="25" width="3" bestFit="1" customWidth="1"/>
    <col min="26" max="26" width="11.28515625" bestFit="1" customWidth="1"/>
  </cols>
  <sheetData>
    <row r="3" spans="1:19" x14ac:dyDescent="0.25">
      <c r="A3" s="7" t="s">
        <v>119</v>
      </c>
      <c r="B3" t="s">
        <v>126</v>
      </c>
    </row>
    <row r="4" spans="1:19" x14ac:dyDescent="0.25">
      <c r="A4" s="9" t="s">
        <v>146</v>
      </c>
      <c r="B4">
        <v>15</v>
      </c>
    </row>
    <row r="5" spans="1:19" x14ac:dyDescent="0.25">
      <c r="A5" s="9" t="s">
        <v>147</v>
      </c>
      <c r="B5">
        <v>36</v>
      </c>
    </row>
    <row r="6" spans="1:19" x14ac:dyDescent="0.25">
      <c r="A6" s="9" t="s">
        <v>148</v>
      </c>
      <c r="B6">
        <v>191</v>
      </c>
      <c r="K6" s="9" t="s">
        <v>146</v>
      </c>
      <c r="L6">
        <v>15</v>
      </c>
      <c r="Q6" s="12"/>
      <c r="R6" s="13"/>
      <c r="S6" s="14"/>
    </row>
    <row r="7" spans="1:19" x14ac:dyDescent="0.25">
      <c r="A7" s="9" t="s">
        <v>149</v>
      </c>
      <c r="B7">
        <v>183</v>
      </c>
      <c r="K7" s="9" t="s">
        <v>147</v>
      </c>
      <c r="L7">
        <v>36</v>
      </c>
      <c r="Q7" s="15"/>
      <c r="R7" s="16"/>
      <c r="S7" s="17"/>
    </row>
    <row r="8" spans="1:19" x14ac:dyDescent="0.25">
      <c r="A8" s="9" t="s">
        <v>150</v>
      </c>
      <c r="B8">
        <v>221</v>
      </c>
      <c r="K8" s="9" t="s">
        <v>148</v>
      </c>
      <c r="L8">
        <v>191</v>
      </c>
      <c r="Q8" s="15"/>
      <c r="R8" s="16"/>
      <c r="S8" s="17"/>
    </row>
    <row r="9" spans="1:19" x14ac:dyDescent="0.25">
      <c r="A9" s="9" t="s">
        <v>151</v>
      </c>
      <c r="B9">
        <v>76</v>
      </c>
      <c r="K9" s="9" t="s">
        <v>149</v>
      </c>
      <c r="L9">
        <v>183</v>
      </c>
      <c r="Q9" s="15"/>
      <c r="R9" s="16"/>
      <c r="S9" s="17"/>
    </row>
    <row r="10" spans="1:19" x14ac:dyDescent="0.25">
      <c r="A10" s="9" t="s">
        <v>122</v>
      </c>
      <c r="B10">
        <v>722</v>
      </c>
      <c r="K10" s="9" t="s">
        <v>150</v>
      </c>
      <c r="L10">
        <v>221</v>
      </c>
      <c r="Q10" s="15"/>
      <c r="R10" s="16"/>
      <c r="S10" s="17"/>
    </row>
    <row r="11" spans="1:19" x14ac:dyDescent="0.25">
      <c r="K11" s="9" t="s">
        <v>151</v>
      </c>
      <c r="L11">
        <v>76</v>
      </c>
      <c r="Q11" s="15"/>
      <c r="R11" s="16"/>
      <c r="S11" s="17"/>
    </row>
    <row r="12" spans="1:19" x14ac:dyDescent="0.25">
      <c r="Q12" s="15"/>
      <c r="R12" s="16"/>
      <c r="S12" s="17"/>
    </row>
    <row r="13" spans="1:19" x14ac:dyDescent="0.25">
      <c r="Q13" s="15"/>
      <c r="R13" s="16"/>
      <c r="S13" s="17"/>
    </row>
    <row r="14" spans="1:19" x14ac:dyDescent="0.25">
      <c r="Q14" s="15"/>
      <c r="R14" s="16"/>
      <c r="S14" s="17"/>
    </row>
    <row r="15" spans="1:19" x14ac:dyDescent="0.25">
      <c r="Q15" s="15"/>
      <c r="R15" s="16"/>
      <c r="S15" s="17"/>
    </row>
    <row r="16" spans="1:19" x14ac:dyDescent="0.25">
      <c r="Q16" s="15"/>
      <c r="R16" s="16"/>
      <c r="S16" s="17"/>
    </row>
    <row r="17" spans="17:19" x14ac:dyDescent="0.25">
      <c r="Q17" s="15"/>
      <c r="R17" s="16"/>
      <c r="S17" s="17"/>
    </row>
    <row r="18" spans="17:19" x14ac:dyDescent="0.25">
      <c r="Q18" s="15"/>
      <c r="R18" s="16"/>
      <c r="S18" s="17"/>
    </row>
    <row r="19" spans="17:19" x14ac:dyDescent="0.25">
      <c r="Q19" s="15"/>
      <c r="R19" s="16"/>
      <c r="S19" s="17"/>
    </row>
    <row r="20" spans="17:19" x14ac:dyDescent="0.25">
      <c r="Q20" s="15"/>
      <c r="R20" s="16"/>
      <c r="S20" s="17"/>
    </row>
    <row r="21" spans="17:19" x14ac:dyDescent="0.25">
      <c r="Q21" s="15"/>
      <c r="R21" s="16"/>
      <c r="S21" s="17"/>
    </row>
    <row r="22" spans="17:19" x14ac:dyDescent="0.25">
      <c r="Q22" s="15"/>
      <c r="R22" s="16"/>
      <c r="S22" s="17"/>
    </row>
    <row r="23" spans="17:19" x14ac:dyDescent="0.25">
      <c r="Q23" s="18"/>
      <c r="R23" s="19"/>
      <c r="S23" s="20"/>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1EF3-9C94-4E71-A0BF-D6AB73297B2D}">
  <dimension ref="A3:B8"/>
  <sheetViews>
    <sheetView workbookViewId="0">
      <selection activeCell="N7" sqref="N7"/>
    </sheetView>
  </sheetViews>
  <sheetFormatPr defaultRowHeight="15" x14ac:dyDescent="0.25"/>
  <cols>
    <col min="1" max="1" width="13.140625" bestFit="1" customWidth="1"/>
    <col min="2" max="2" width="18.140625" bestFit="1" customWidth="1"/>
  </cols>
  <sheetData>
    <row r="3" spans="1:2" x14ac:dyDescent="0.25">
      <c r="A3" s="7" t="s">
        <v>119</v>
      </c>
      <c r="B3" t="s">
        <v>157</v>
      </c>
    </row>
    <row r="4" spans="1:2" x14ac:dyDescent="0.25">
      <c r="A4" s="8" t="s">
        <v>154</v>
      </c>
      <c r="B4">
        <v>22</v>
      </c>
    </row>
    <row r="5" spans="1:2" x14ac:dyDescent="0.25">
      <c r="A5" s="8" t="s">
        <v>155</v>
      </c>
      <c r="B5">
        <v>23</v>
      </c>
    </row>
    <row r="6" spans="1:2" x14ac:dyDescent="0.25">
      <c r="A6" s="8" t="s">
        <v>115</v>
      </c>
      <c r="B6">
        <v>53</v>
      </c>
    </row>
    <row r="7" spans="1:2" x14ac:dyDescent="0.25">
      <c r="A7" s="8" t="s">
        <v>156</v>
      </c>
      <c r="B7">
        <v>11</v>
      </c>
    </row>
    <row r="8" spans="1:2" x14ac:dyDescent="0.25">
      <c r="A8" s="8" t="s">
        <v>122</v>
      </c>
      <c r="B8">
        <v>109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3EFC-C74A-4D2D-9ABB-0C01B6605832}">
  <dimension ref="A3:B7"/>
  <sheetViews>
    <sheetView workbookViewId="0">
      <selection activeCell="M8" sqref="M8"/>
    </sheetView>
  </sheetViews>
  <sheetFormatPr defaultRowHeight="15" x14ac:dyDescent="0.25"/>
  <cols>
    <col min="1" max="1" width="13.140625" bestFit="1" customWidth="1"/>
    <col min="2" max="2" width="18.140625" bestFit="1" customWidth="1"/>
  </cols>
  <sheetData>
    <row r="3" spans="1:2" x14ac:dyDescent="0.25">
      <c r="A3" s="7" t="s">
        <v>119</v>
      </c>
      <c r="B3" t="s">
        <v>157</v>
      </c>
    </row>
    <row r="4" spans="1:2" x14ac:dyDescent="0.25">
      <c r="A4" s="8" t="s">
        <v>125</v>
      </c>
      <c r="B4">
        <v>59</v>
      </c>
    </row>
    <row r="5" spans="1:2" x14ac:dyDescent="0.25">
      <c r="A5" s="8" t="s">
        <v>120</v>
      </c>
      <c r="B5">
        <v>18</v>
      </c>
    </row>
    <row r="6" spans="1:2" x14ac:dyDescent="0.25">
      <c r="A6" s="8" t="s">
        <v>121</v>
      </c>
      <c r="B6">
        <v>32</v>
      </c>
    </row>
    <row r="7" spans="1:2" x14ac:dyDescent="0.25">
      <c r="A7" s="8" t="s">
        <v>122</v>
      </c>
      <c r="B7">
        <v>109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443D-B6EE-4DD6-87E5-B70F573C89C4}">
  <dimension ref="A1"/>
  <sheetViews>
    <sheetView topLeftCell="I15" zoomScale="77" zoomScaleNormal="77" workbookViewId="0">
      <selection activeCell="F64" sqref="F64"/>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6CDC-37AB-4642-939B-04147EF236B4}">
  <dimension ref="A3:B14"/>
  <sheetViews>
    <sheetView workbookViewId="0">
      <selection activeCell="B5" sqref="B5"/>
    </sheetView>
  </sheetViews>
  <sheetFormatPr defaultRowHeight="15" x14ac:dyDescent="0.25"/>
  <cols>
    <col min="1" max="1" width="78.140625" bestFit="1" customWidth="1"/>
    <col min="2" max="2" width="19" bestFit="1" customWidth="1"/>
    <col min="3" max="3" width="36.7109375" bestFit="1" customWidth="1"/>
    <col min="4" max="13" width="35.7109375" bestFit="1" customWidth="1"/>
    <col min="14" max="14" width="11.28515625" bestFit="1" customWidth="1"/>
  </cols>
  <sheetData>
    <row r="3" spans="1:2" x14ac:dyDescent="0.25">
      <c r="A3" s="7" t="s">
        <v>119</v>
      </c>
      <c r="B3" t="s">
        <v>153</v>
      </c>
    </row>
    <row r="4" spans="1:2" x14ac:dyDescent="0.25">
      <c r="A4" s="8" t="s">
        <v>51</v>
      </c>
      <c r="B4" s="5">
        <v>0.60515873015873012</v>
      </c>
    </row>
    <row r="5" spans="1:2" x14ac:dyDescent="0.25">
      <c r="A5" s="8" t="s">
        <v>61</v>
      </c>
      <c r="B5" s="5">
        <v>0.5546875</v>
      </c>
    </row>
    <row r="6" spans="1:2" x14ac:dyDescent="0.25">
      <c r="A6" s="8" t="s">
        <v>64</v>
      </c>
      <c r="B6" s="5">
        <v>0.55000000000000004</v>
      </c>
    </row>
    <row r="7" spans="1:2" x14ac:dyDescent="0.25">
      <c r="A7" s="8" t="s">
        <v>12</v>
      </c>
      <c r="B7" s="5">
        <v>0.54500000000000004</v>
      </c>
    </row>
    <row r="8" spans="1:2" x14ac:dyDescent="0.25">
      <c r="A8" s="8" t="s">
        <v>28</v>
      </c>
      <c r="B8" s="5">
        <v>0.54488888888888887</v>
      </c>
    </row>
    <row r="9" spans="1:2" x14ac:dyDescent="0.25">
      <c r="A9" s="8" t="s">
        <v>63</v>
      </c>
      <c r="B9" s="5">
        <v>0.53549695740365111</v>
      </c>
    </row>
    <row r="10" spans="1:2" x14ac:dyDescent="0.25">
      <c r="A10" s="8" t="s">
        <v>24</v>
      </c>
      <c r="B10" s="5">
        <v>0.52500000000000002</v>
      </c>
    </row>
    <row r="11" spans="1:2" x14ac:dyDescent="0.25">
      <c r="A11" s="8" t="s">
        <v>39</v>
      </c>
      <c r="B11" s="5">
        <v>0.52500000000000002</v>
      </c>
    </row>
    <row r="12" spans="1:2" x14ac:dyDescent="0.25">
      <c r="A12" s="8" t="s">
        <v>66</v>
      </c>
      <c r="B12" s="5">
        <v>0.5220588235294118</v>
      </c>
    </row>
    <row r="13" spans="1:2" x14ac:dyDescent="0.25">
      <c r="A13" s="8" t="s">
        <v>33</v>
      </c>
      <c r="B13" s="5">
        <v>0.51570680628272247</v>
      </c>
    </row>
    <row r="14" spans="1:2" x14ac:dyDescent="0.25">
      <c r="A14" s="8" t="s">
        <v>122</v>
      </c>
      <c r="B14" s="5">
        <v>0.54229977062634049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31A1-52EE-4CFB-8565-A3D3D9A23CC9}">
  <dimension ref="A3:B14"/>
  <sheetViews>
    <sheetView workbookViewId="0">
      <selection activeCell="M5" sqref="M5"/>
    </sheetView>
  </sheetViews>
  <sheetFormatPr defaultRowHeight="15" x14ac:dyDescent="0.25"/>
  <cols>
    <col min="1" max="1" width="66" bestFit="1" customWidth="1"/>
    <col min="2" max="2" width="13.42578125" bestFit="1" customWidth="1"/>
  </cols>
  <sheetData>
    <row r="3" spans="1:2" x14ac:dyDescent="0.25">
      <c r="A3" s="7" t="s">
        <v>119</v>
      </c>
      <c r="B3" t="s">
        <v>152</v>
      </c>
    </row>
    <row r="4" spans="1:2" x14ac:dyDescent="0.25">
      <c r="A4" s="8" t="s">
        <v>65</v>
      </c>
      <c r="B4">
        <v>69</v>
      </c>
    </row>
    <row r="5" spans="1:2" x14ac:dyDescent="0.25">
      <c r="A5" s="8" t="s">
        <v>10</v>
      </c>
      <c r="B5">
        <v>55</v>
      </c>
    </row>
    <row r="6" spans="1:2" x14ac:dyDescent="0.25">
      <c r="A6" s="8" t="s">
        <v>29</v>
      </c>
      <c r="B6">
        <v>49</v>
      </c>
    </row>
    <row r="7" spans="1:2" x14ac:dyDescent="0.25">
      <c r="A7" s="8" t="s">
        <v>23</v>
      </c>
      <c r="B7">
        <v>44</v>
      </c>
    </row>
    <row r="8" spans="1:2" x14ac:dyDescent="0.25">
      <c r="A8" s="8" t="s">
        <v>15</v>
      </c>
      <c r="B8">
        <v>39</v>
      </c>
    </row>
    <row r="9" spans="1:2" x14ac:dyDescent="0.25">
      <c r="A9" s="8" t="s">
        <v>40</v>
      </c>
      <c r="B9">
        <v>36</v>
      </c>
    </row>
    <row r="10" spans="1:2" x14ac:dyDescent="0.25">
      <c r="A10" s="8" t="s">
        <v>37</v>
      </c>
      <c r="B10">
        <v>32</v>
      </c>
    </row>
    <row r="11" spans="1:2" x14ac:dyDescent="0.25">
      <c r="A11" s="8" t="s">
        <v>6</v>
      </c>
      <c r="B11">
        <v>24</v>
      </c>
    </row>
    <row r="12" spans="1:2" x14ac:dyDescent="0.25">
      <c r="A12" s="8" t="s">
        <v>32</v>
      </c>
      <c r="B12">
        <v>20</v>
      </c>
    </row>
    <row r="13" spans="1:2" x14ac:dyDescent="0.25">
      <c r="A13" s="8" t="s">
        <v>36</v>
      </c>
      <c r="B13">
        <v>20</v>
      </c>
    </row>
    <row r="14" spans="1:2" x14ac:dyDescent="0.25">
      <c r="A14" s="8" t="s">
        <v>122</v>
      </c>
      <c r="B14">
        <v>388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EDD6-2A01-40F7-BE49-C68998CA2136}">
  <dimension ref="A3:B10"/>
  <sheetViews>
    <sheetView workbookViewId="0">
      <selection activeCell="A5" sqref="A5"/>
    </sheetView>
  </sheetViews>
  <sheetFormatPr defaultRowHeight="15" x14ac:dyDescent="0.25"/>
  <cols>
    <col min="1" max="1" width="36.7109375" bestFit="1" customWidth="1"/>
    <col min="2" max="3" width="14.28515625" bestFit="1" customWidth="1"/>
  </cols>
  <sheetData>
    <row r="3" spans="1:2" x14ac:dyDescent="0.25">
      <c r="A3" s="7" t="s">
        <v>119</v>
      </c>
      <c r="B3" t="s">
        <v>126</v>
      </c>
    </row>
    <row r="4" spans="1:2" x14ac:dyDescent="0.25">
      <c r="A4" s="9" t="s">
        <v>146</v>
      </c>
      <c r="B4">
        <v>15</v>
      </c>
    </row>
    <row r="5" spans="1:2" x14ac:dyDescent="0.25">
      <c r="A5" s="9" t="s">
        <v>147</v>
      </c>
      <c r="B5">
        <v>36</v>
      </c>
    </row>
    <row r="6" spans="1:2" x14ac:dyDescent="0.25">
      <c r="A6" s="9" t="s">
        <v>148</v>
      </c>
      <c r="B6">
        <v>191</v>
      </c>
    </row>
    <row r="7" spans="1:2" x14ac:dyDescent="0.25">
      <c r="A7" s="9" t="s">
        <v>149</v>
      </c>
      <c r="B7">
        <v>183</v>
      </c>
    </row>
    <row r="8" spans="1:2" x14ac:dyDescent="0.25">
      <c r="A8" s="9" t="s">
        <v>150</v>
      </c>
      <c r="B8">
        <v>221</v>
      </c>
    </row>
    <row r="9" spans="1:2" x14ac:dyDescent="0.25">
      <c r="A9" s="9" t="s">
        <v>151</v>
      </c>
      <c r="B9">
        <v>76</v>
      </c>
    </row>
    <row r="10" spans="1:2" x14ac:dyDescent="0.25">
      <c r="A10" s="9" t="s">
        <v>122</v>
      </c>
      <c r="B10">
        <v>722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2304-FFD5-4943-B703-D48984CAE730}">
  <dimension ref="A3:B14"/>
  <sheetViews>
    <sheetView workbookViewId="0">
      <selection activeCell="B16" sqref="B16"/>
    </sheetView>
  </sheetViews>
  <sheetFormatPr defaultRowHeight="15" x14ac:dyDescent="0.25"/>
  <cols>
    <col min="1" max="1" width="95.7109375" bestFit="1" customWidth="1"/>
    <col min="2" max="2" width="25.7109375" bestFit="1" customWidth="1"/>
  </cols>
  <sheetData>
    <row r="3" spans="1:2" x14ac:dyDescent="0.25">
      <c r="A3" s="7" t="s">
        <v>119</v>
      </c>
      <c r="B3" t="s">
        <v>123</v>
      </c>
    </row>
    <row r="4" spans="1:2" x14ac:dyDescent="0.25">
      <c r="A4" s="8" t="s">
        <v>104</v>
      </c>
      <c r="B4">
        <v>5</v>
      </c>
    </row>
    <row r="5" spans="1:2" x14ac:dyDescent="0.25">
      <c r="A5" s="8" t="s">
        <v>21</v>
      </c>
      <c r="B5">
        <v>5</v>
      </c>
    </row>
    <row r="6" spans="1:2" x14ac:dyDescent="0.25">
      <c r="A6" s="8" t="s">
        <v>38</v>
      </c>
      <c r="B6">
        <v>5</v>
      </c>
    </row>
    <row r="7" spans="1:2" x14ac:dyDescent="0.25">
      <c r="A7" s="8" t="s">
        <v>82</v>
      </c>
      <c r="B7">
        <v>5</v>
      </c>
    </row>
    <row r="8" spans="1:2" x14ac:dyDescent="0.25">
      <c r="A8" s="8" t="s">
        <v>20</v>
      </c>
      <c r="B8">
        <v>5</v>
      </c>
    </row>
    <row r="9" spans="1:2" x14ac:dyDescent="0.25">
      <c r="A9" s="8" t="s">
        <v>19</v>
      </c>
      <c r="B9">
        <v>5</v>
      </c>
    </row>
    <row r="10" spans="1:2" x14ac:dyDescent="0.25">
      <c r="A10" s="8" t="s">
        <v>39</v>
      </c>
      <c r="B10">
        <v>5</v>
      </c>
    </row>
    <row r="11" spans="1:2" x14ac:dyDescent="0.25">
      <c r="A11" s="8" t="s">
        <v>12</v>
      </c>
      <c r="B11">
        <v>4.8</v>
      </c>
    </row>
    <row r="12" spans="1:2" x14ac:dyDescent="0.25">
      <c r="A12" s="8" t="s">
        <v>8</v>
      </c>
      <c r="B12">
        <v>4.8</v>
      </c>
    </row>
    <row r="13" spans="1:2" x14ac:dyDescent="0.25">
      <c r="A13" s="8" t="s">
        <v>16</v>
      </c>
      <c r="B13">
        <v>4.8</v>
      </c>
    </row>
    <row r="14" spans="1:2" x14ac:dyDescent="0.25">
      <c r="A14" s="8" t="s">
        <v>122</v>
      </c>
      <c r="B14">
        <v>4.9399999999999995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5E30-C95C-4F32-990A-B2C8E084AFD8}">
  <dimension ref="A3:E26"/>
  <sheetViews>
    <sheetView workbookViewId="0">
      <selection activeCell="A4" sqref="A4"/>
    </sheetView>
  </sheetViews>
  <sheetFormatPr defaultRowHeight="15" x14ac:dyDescent="0.25"/>
  <cols>
    <col min="1" max="1" width="13.140625" bestFit="1" customWidth="1"/>
    <col min="2" max="2" width="14.28515625" bestFit="1" customWidth="1"/>
  </cols>
  <sheetData>
    <row r="3" spans="1:5" x14ac:dyDescent="0.25">
      <c r="A3" s="7" t="s">
        <v>119</v>
      </c>
      <c r="B3" t="s">
        <v>126</v>
      </c>
    </row>
    <row r="4" spans="1:5" x14ac:dyDescent="0.25">
      <c r="A4" s="8">
        <v>2.1</v>
      </c>
      <c r="B4">
        <v>20</v>
      </c>
    </row>
    <row r="5" spans="1:5" x14ac:dyDescent="0.25">
      <c r="A5" s="8">
        <v>2.2000000000000002</v>
      </c>
      <c r="B5">
        <v>12</v>
      </c>
      <c r="D5" s="8">
        <v>2.1</v>
      </c>
      <c r="E5">
        <v>20</v>
      </c>
    </row>
    <row r="6" spans="1:5" x14ac:dyDescent="0.25">
      <c r="A6" s="8">
        <v>2.2999999999999998</v>
      </c>
      <c r="B6">
        <v>13</v>
      </c>
      <c r="D6" s="8">
        <v>2.2000000000000002</v>
      </c>
      <c r="E6">
        <v>12</v>
      </c>
    </row>
    <row r="7" spans="1:5" x14ac:dyDescent="0.25">
      <c r="A7" s="8">
        <v>2.5</v>
      </c>
      <c r="B7">
        <v>6</v>
      </c>
      <c r="D7" s="8">
        <v>2.2999999999999998</v>
      </c>
      <c r="E7">
        <v>13</v>
      </c>
    </row>
    <row r="8" spans="1:5" x14ac:dyDescent="0.25">
      <c r="A8" s="8">
        <v>2.6</v>
      </c>
      <c r="B8">
        <v>17</v>
      </c>
      <c r="D8" s="8">
        <v>2.5</v>
      </c>
      <c r="E8">
        <v>6</v>
      </c>
    </row>
    <row r="9" spans="1:5" x14ac:dyDescent="0.25">
      <c r="A9" s="8">
        <v>2.7</v>
      </c>
      <c r="B9">
        <v>15</v>
      </c>
      <c r="D9" s="8">
        <v>2.6</v>
      </c>
      <c r="E9">
        <v>17</v>
      </c>
    </row>
    <row r="10" spans="1:5" x14ac:dyDescent="0.25">
      <c r="A10" s="8">
        <v>2.8</v>
      </c>
      <c r="B10">
        <v>69</v>
      </c>
      <c r="D10" s="8">
        <v>2.7</v>
      </c>
      <c r="E10">
        <v>15</v>
      </c>
    </row>
    <row r="11" spans="1:5" x14ac:dyDescent="0.25">
      <c r="A11" s="8">
        <v>2.9</v>
      </c>
      <c r="B11">
        <v>16</v>
      </c>
      <c r="D11" s="8">
        <v>2.8</v>
      </c>
      <c r="E11">
        <v>69</v>
      </c>
    </row>
    <row r="12" spans="1:5" x14ac:dyDescent="0.25">
      <c r="A12" s="8">
        <v>3</v>
      </c>
      <c r="B12">
        <v>26</v>
      </c>
      <c r="D12" s="8">
        <v>2.9</v>
      </c>
      <c r="E12">
        <v>16</v>
      </c>
    </row>
    <row r="13" spans="1:5" x14ac:dyDescent="0.25">
      <c r="A13" s="8">
        <v>3.3</v>
      </c>
      <c r="B13">
        <v>13</v>
      </c>
      <c r="D13" s="8">
        <v>3</v>
      </c>
      <c r="E13">
        <v>26</v>
      </c>
    </row>
    <row r="14" spans="1:5" x14ac:dyDescent="0.25">
      <c r="A14" s="8">
        <v>3.8</v>
      </c>
      <c r="B14">
        <v>30</v>
      </c>
      <c r="D14" s="8">
        <v>3.3</v>
      </c>
      <c r="E14">
        <v>13</v>
      </c>
    </row>
    <row r="15" spans="1:5" x14ac:dyDescent="0.25">
      <c r="A15" s="8">
        <v>4</v>
      </c>
      <c r="B15">
        <v>24</v>
      </c>
      <c r="D15" s="8">
        <v>3.8</v>
      </c>
      <c r="E15">
        <v>30</v>
      </c>
    </row>
    <row r="16" spans="1:5" x14ac:dyDescent="0.25">
      <c r="A16" s="8">
        <v>4.0999999999999996</v>
      </c>
      <c r="B16">
        <v>46</v>
      </c>
      <c r="D16" s="8">
        <v>4</v>
      </c>
      <c r="E16">
        <v>24</v>
      </c>
    </row>
    <row r="17" spans="1:5" x14ac:dyDescent="0.25">
      <c r="A17" s="8">
        <v>4.2</v>
      </c>
      <c r="B17">
        <v>9</v>
      </c>
      <c r="D17" s="8">
        <v>4.0999999999999996</v>
      </c>
      <c r="E17">
        <v>46</v>
      </c>
    </row>
    <row r="18" spans="1:5" x14ac:dyDescent="0.25">
      <c r="A18" s="8">
        <v>4.3</v>
      </c>
      <c r="B18">
        <v>61</v>
      </c>
      <c r="D18" s="8">
        <v>4.2</v>
      </c>
      <c r="E18">
        <v>9</v>
      </c>
    </row>
    <row r="19" spans="1:5" x14ac:dyDescent="0.25">
      <c r="A19" s="8">
        <v>4.4000000000000004</v>
      </c>
      <c r="B19">
        <v>14</v>
      </c>
      <c r="D19" s="8">
        <v>4.3</v>
      </c>
      <c r="E19">
        <v>61</v>
      </c>
    </row>
    <row r="20" spans="1:5" x14ac:dyDescent="0.25">
      <c r="A20" s="8">
        <v>4.5</v>
      </c>
      <c r="B20">
        <v>42</v>
      </c>
      <c r="D20" s="8">
        <v>4.4000000000000004</v>
      </c>
      <c r="E20">
        <v>14</v>
      </c>
    </row>
    <row r="21" spans="1:5" x14ac:dyDescent="0.25">
      <c r="A21" s="8">
        <v>4.5999999999999996</v>
      </c>
      <c r="B21">
        <v>177</v>
      </c>
      <c r="D21" s="8">
        <v>4.5</v>
      </c>
      <c r="E21">
        <v>42</v>
      </c>
    </row>
    <row r="22" spans="1:5" x14ac:dyDescent="0.25">
      <c r="A22" s="8">
        <v>4.7</v>
      </c>
      <c r="B22">
        <v>78</v>
      </c>
      <c r="D22" s="8">
        <v>4.5999999999999996</v>
      </c>
      <c r="E22">
        <v>177</v>
      </c>
    </row>
    <row r="23" spans="1:5" x14ac:dyDescent="0.25">
      <c r="A23" s="8">
        <v>4.8</v>
      </c>
      <c r="B23">
        <v>22</v>
      </c>
      <c r="D23" s="8">
        <v>4.7</v>
      </c>
      <c r="E23">
        <v>78</v>
      </c>
    </row>
    <row r="24" spans="1:5" x14ac:dyDescent="0.25">
      <c r="A24" s="8">
        <v>5</v>
      </c>
      <c r="B24">
        <v>12</v>
      </c>
      <c r="D24" s="8">
        <v>4.8</v>
      </c>
      <c r="E24">
        <v>22</v>
      </c>
    </row>
    <row r="25" spans="1:5" x14ac:dyDescent="0.25">
      <c r="A25" s="8" t="s">
        <v>115</v>
      </c>
      <c r="B25">
        <v>0</v>
      </c>
      <c r="D25" s="8">
        <v>5</v>
      </c>
      <c r="E25">
        <v>12</v>
      </c>
    </row>
    <row r="26" spans="1:5" x14ac:dyDescent="0.25">
      <c r="A26" s="8" t="s">
        <v>122</v>
      </c>
      <c r="B26">
        <v>722</v>
      </c>
      <c r="D26" s="8" t="s">
        <v>115</v>
      </c>
      <c r="E26">
        <v>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0270-751E-4603-ACA7-1A710555ADCA}">
  <dimension ref="A1:I117"/>
  <sheetViews>
    <sheetView tabSelected="1" zoomScale="87" zoomScaleNormal="87" workbookViewId="0">
      <pane ySplit="1" topLeftCell="A96" activePane="bottomLeft" state="frozen"/>
      <selection pane="bottomLeft" activeCell="A112" sqref="A112"/>
    </sheetView>
  </sheetViews>
  <sheetFormatPr defaultRowHeight="15" x14ac:dyDescent="0.25"/>
  <cols>
    <col min="1" max="1" width="95.7109375" bestFit="1" customWidth="1"/>
    <col min="2" max="3" width="19.42578125" style="3" bestFit="1" customWidth="1"/>
    <col min="4" max="4" width="21.28515625" style="3" bestFit="1" customWidth="1"/>
    <col min="5" max="5" width="19.42578125" style="5" customWidth="1"/>
    <col min="6" max="6" width="9.7109375" bestFit="1" customWidth="1"/>
    <col min="7" max="7" width="19.85546875" bestFit="1" customWidth="1"/>
    <col min="8" max="8" width="22.42578125" bestFit="1" customWidth="1"/>
    <col min="9" max="9" width="19.5703125" bestFit="1" customWidth="1"/>
  </cols>
  <sheetData>
    <row r="1" spans="1:9" ht="18.75" x14ac:dyDescent="0.3">
      <c r="A1" s="1" t="s">
        <v>0</v>
      </c>
      <c r="B1" s="2" t="s">
        <v>1</v>
      </c>
      <c r="C1" s="2" t="s">
        <v>114</v>
      </c>
      <c r="D1" s="2" t="s">
        <v>116</v>
      </c>
      <c r="E1" s="4" t="s">
        <v>2</v>
      </c>
      <c r="F1" s="1" t="s">
        <v>3</v>
      </c>
      <c r="G1" s="1" t="s">
        <v>113</v>
      </c>
      <c r="H1" s="1" t="s">
        <v>118</v>
      </c>
      <c r="I1" s="1" t="s">
        <v>117</v>
      </c>
    </row>
    <row r="2" spans="1:9" x14ac:dyDescent="0.25">
      <c r="A2" t="s">
        <v>4</v>
      </c>
      <c r="B2" s="3">
        <v>950</v>
      </c>
      <c r="C2" s="3">
        <v>1525</v>
      </c>
      <c r="D2" s="3">
        <f t="shared" ref="D2:D33" si="0">C2-B2</f>
        <v>575</v>
      </c>
      <c r="E2" s="5">
        <f t="shared" ref="E2:E33" si="1">(C2-B2)/C2</f>
        <v>0.37704918032786883</v>
      </c>
      <c r="F2">
        <v>2</v>
      </c>
      <c r="G2">
        <v>4.5</v>
      </c>
      <c r="H2" t="str">
        <f>IF(E2&lt;20%,"Low",IF(E2&lt;=40%,"Medium","High"))</f>
        <v>Medium</v>
      </c>
      <c r="I2" t="str">
        <f>IF(G2="not provided","not provided",IF(G2&lt;3,"Poor",IF(G2&lt;=4.4,"Average","Excellent")))</f>
        <v>Excellent</v>
      </c>
    </row>
    <row r="3" spans="1:9" x14ac:dyDescent="0.25">
      <c r="A3" t="s">
        <v>5</v>
      </c>
      <c r="B3" s="3">
        <v>527</v>
      </c>
      <c r="C3" s="3">
        <v>999</v>
      </c>
      <c r="D3" s="3">
        <f t="shared" si="0"/>
        <v>472</v>
      </c>
      <c r="E3" s="5">
        <f t="shared" si="1"/>
        <v>0.47247247247247248</v>
      </c>
      <c r="F3">
        <v>14</v>
      </c>
      <c r="G3">
        <v>4.0999999999999996</v>
      </c>
      <c r="H3" t="str">
        <f t="shared" ref="H3:H66" si="2">IF(E3&lt;20%,"Low",IF(E3&lt;=40%,"Medium","High"))</f>
        <v>High</v>
      </c>
      <c r="I3" t="str">
        <f t="shared" ref="I3:I66" si="3">IF(G3="not provided","not provided",IF(G3&lt;3,"Poor",IF(G3&lt;=4.4,"Average","Excellent")))</f>
        <v>Average</v>
      </c>
    </row>
    <row r="4" spans="1:9" x14ac:dyDescent="0.25">
      <c r="A4" t="s">
        <v>6</v>
      </c>
      <c r="B4" s="3">
        <v>2199</v>
      </c>
      <c r="C4" s="3">
        <v>2923</v>
      </c>
      <c r="D4" s="3">
        <f t="shared" si="0"/>
        <v>724</v>
      </c>
      <c r="E4" s="5">
        <f t="shared" si="1"/>
        <v>0.24769072870338693</v>
      </c>
      <c r="F4">
        <v>24</v>
      </c>
      <c r="G4">
        <v>4.5999999999999996</v>
      </c>
      <c r="H4" t="str">
        <f t="shared" si="2"/>
        <v>Medium</v>
      </c>
      <c r="I4" t="str">
        <f t="shared" si="3"/>
        <v>Excellent</v>
      </c>
    </row>
    <row r="5" spans="1:9" x14ac:dyDescent="0.25">
      <c r="A5" t="s">
        <v>7</v>
      </c>
      <c r="B5" s="3">
        <v>1580</v>
      </c>
      <c r="C5" s="3">
        <v>2499</v>
      </c>
      <c r="D5" s="3">
        <f t="shared" si="0"/>
        <v>919</v>
      </c>
      <c r="E5" s="5">
        <f t="shared" si="1"/>
        <v>0.36774709883953582</v>
      </c>
      <c r="F5">
        <v>7</v>
      </c>
      <c r="G5">
        <v>4.7</v>
      </c>
      <c r="H5" t="str">
        <f t="shared" si="2"/>
        <v>Medium</v>
      </c>
      <c r="I5" t="str">
        <f t="shared" si="3"/>
        <v>Excellent</v>
      </c>
    </row>
    <row r="6" spans="1:9" x14ac:dyDescent="0.25">
      <c r="A6" t="s">
        <v>8</v>
      </c>
      <c r="B6" s="3">
        <v>1740</v>
      </c>
      <c r="C6" s="3">
        <v>2356</v>
      </c>
      <c r="D6" s="3">
        <f t="shared" si="0"/>
        <v>616</v>
      </c>
      <c r="E6" s="5">
        <f t="shared" si="1"/>
        <v>0.26146010186757218</v>
      </c>
      <c r="F6">
        <v>5</v>
      </c>
      <c r="G6">
        <v>4.8</v>
      </c>
      <c r="H6" t="str">
        <f t="shared" si="2"/>
        <v>Medium</v>
      </c>
      <c r="I6" t="str">
        <f t="shared" si="3"/>
        <v>Excellent</v>
      </c>
    </row>
    <row r="7" spans="1:9" x14ac:dyDescent="0.25">
      <c r="A7" t="s">
        <v>9</v>
      </c>
      <c r="B7" s="3">
        <v>2999</v>
      </c>
      <c r="C7" s="3">
        <v>3290</v>
      </c>
      <c r="D7" s="3">
        <f t="shared" si="0"/>
        <v>291</v>
      </c>
      <c r="E7" s="5">
        <f t="shared" si="1"/>
        <v>8.8449848024316116E-2</v>
      </c>
      <c r="F7">
        <v>15</v>
      </c>
      <c r="G7">
        <v>4</v>
      </c>
      <c r="H7" t="str">
        <f t="shared" si="2"/>
        <v>Low</v>
      </c>
      <c r="I7" t="str">
        <f t="shared" si="3"/>
        <v>Average</v>
      </c>
    </row>
    <row r="8" spans="1:9" x14ac:dyDescent="0.25">
      <c r="A8" t="s">
        <v>10</v>
      </c>
      <c r="B8" s="3">
        <v>2319</v>
      </c>
      <c r="C8" s="3">
        <v>3032</v>
      </c>
      <c r="D8" s="3">
        <f t="shared" si="0"/>
        <v>713</v>
      </c>
      <c r="E8" s="5">
        <f t="shared" si="1"/>
        <v>0.23515831134564644</v>
      </c>
      <c r="F8">
        <v>55</v>
      </c>
      <c r="G8">
        <v>4.5999999999999996</v>
      </c>
      <c r="H8" t="str">
        <f t="shared" si="2"/>
        <v>Medium</v>
      </c>
      <c r="I8" t="str">
        <f t="shared" si="3"/>
        <v>Excellent</v>
      </c>
    </row>
    <row r="9" spans="1:9" x14ac:dyDescent="0.25">
      <c r="A9" t="s">
        <v>11</v>
      </c>
      <c r="B9" s="3">
        <v>988</v>
      </c>
      <c r="C9" s="3">
        <v>1580</v>
      </c>
      <c r="D9" s="3">
        <f t="shared" si="0"/>
        <v>592</v>
      </c>
      <c r="E9" s="5">
        <f t="shared" si="1"/>
        <v>0.37468354430379747</v>
      </c>
      <c r="F9">
        <v>2</v>
      </c>
      <c r="G9">
        <v>4</v>
      </c>
      <c r="H9" t="str">
        <f t="shared" si="2"/>
        <v>Medium</v>
      </c>
      <c r="I9" t="str">
        <f t="shared" si="3"/>
        <v>Average</v>
      </c>
    </row>
    <row r="10" spans="1:9" x14ac:dyDescent="0.25">
      <c r="A10" t="s">
        <v>12</v>
      </c>
      <c r="B10" s="3">
        <v>1274</v>
      </c>
      <c r="C10" s="3">
        <v>2800</v>
      </c>
      <c r="D10" s="3">
        <f t="shared" si="0"/>
        <v>1526</v>
      </c>
      <c r="E10" s="5">
        <f t="shared" si="1"/>
        <v>0.54500000000000004</v>
      </c>
      <c r="F10">
        <v>5</v>
      </c>
      <c r="G10">
        <v>4.8</v>
      </c>
      <c r="H10" t="str">
        <f t="shared" si="2"/>
        <v>High</v>
      </c>
      <c r="I10" t="str">
        <f t="shared" si="3"/>
        <v>Excellent</v>
      </c>
    </row>
    <row r="11" spans="1:9" x14ac:dyDescent="0.25">
      <c r="A11" t="s">
        <v>13</v>
      </c>
      <c r="B11" s="3">
        <v>1600</v>
      </c>
      <c r="C11" s="3">
        <v>2929</v>
      </c>
      <c r="D11" s="3">
        <f t="shared" si="0"/>
        <v>1329</v>
      </c>
      <c r="E11" s="5">
        <f t="shared" si="1"/>
        <v>0.45373847729600547</v>
      </c>
      <c r="F11">
        <v>5</v>
      </c>
      <c r="G11">
        <v>3.8</v>
      </c>
      <c r="H11" t="str">
        <f t="shared" si="2"/>
        <v>High</v>
      </c>
      <c r="I11" t="str">
        <f t="shared" si="3"/>
        <v>Average</v>
      </c>
    </row>
    <row r="12" spans="1:9" x14ac:dyDescent="0.25">
      <c r="A12" t="s">
        <v>14</v>
      </c>
      <c r="B12" s="3">
        <v>799</v>
      </c>
      <c r="C12" s="3">
        <v>999</v>
      </c>
      <c r="D12" s="3">
        <f t="shared" si="0"/>
        <v>200</v>
      </c>
      <c r="E12" s="5">
        <f t="shared" si="1"/>
        <v>0.20020020020020021</v>
      </c>
      <c r="F12">
        <v>12</v>
      </c>
      <c r="G12">
        <v>4.0999999999999996</v>
      </c>
      <c r="H12" t="str">
        <f t="shared" si="2"/>
        <v>Medium</v>
      </c>
      <c r="I12" t="str">
        <f t="shared" si="3"/>
        <v>Average</v>
      </c>
    </row>
    <row r="13" spans="1:9" x14ac:dyDescent="0.25">
      <c r="A13" t="s">
        <v>15</v>
      </c>
      <c r="B13" s="3">
        <v>990</v>
      </c>
      <c r="C13" s="3">
        <v>1500</v>
      </c>
      <c r="D13" s="3">
        <f t="shared" si="0"/>
        <v>510</v>
      </c>
      <c r="E13" s="5">
        <f t="shared" si="1"/>
        <v>0.34</v>
      </c>
      <c r="F13">
        <v>39</v>
      </c>
      <c r="G13">
        <v>4.7</v>
      </c>
      <c r="H13" t="str">
        <f t="shared" si="2"/>
        <v>Medium</v>
      </c>
      <c r="I13" t="str">
        <f t="shared" si="3"/>
        <v>Excellent</v>
      </c>
    </row>
    <row r="14" spans="1:9" x14ac:dyDescent="0.25">
      <c r="A14" t="s">
        <v>16</v>
      </c>
      <c r="B14" s="3">
        <v>552</v>
      </c>
      <c r="C14" s="3">
        <v>1035</v>
      </c>
      <c r="D14" s="3">
        <f t="shared" si="0"/>
        <v>483</v>
      </c>
      <c r="E14" s="5">
        <f t="shared" si="1"/>
        <v>0.46666666666666667</v>
      </c>
      <c r="F14">
        <v>12</v>
      </c>
      <c r="G14">
        <v>4.8</v>
      </c>
      <c r="H14" t="str">
        <f t="shared" si="2"/>
        <v>High</v>
      </c>
      <c r="I14" t="str">
        <f t="shared" si="3"/>
        <v>Excellent</v>
      </c>
    </row>
    <row r="15" spans="1:9" x14ac:dyDescent="0.25">
      <c r="A15" t="s">
        <v>17</v>
      </c>
      <c r="B15" s="3">
        <v>501</v>
      </c>
      <c r="C15" s="3">
        <v>860</v>
      </c>
      <c r="D15" s="3">
        <f t="shared" si="0"/>
        <v>359</v>
      </c>
      <c r="E15" s="5">
        <f t="shared" si="1"/>
        <v>0.41744186046511628</v>
      </c>
      <c r="F15">
        <v>6</v>
      </c>
      <c r="G15">
        <v>4.5</v>
      </c>
      <c r="H15" t="str">
        <f t="shared" si="2"/>
        <v>High</v>
      </c>
      <c r="I15" t="str">
        <f t="shared" si="3"/>
        <v>Excellent</v>
      </c>
    </row>
    <row r="16" spans="1:9" x14ac:dyDescent="0.25">
      <c r="A16" t="s">
        <v>18</v>
      </c>
      <c r="B16" s="3">
        <v>1680</v>
      </c>
      <c r="C16" s="3">
        <v>2499</v>
      </c>
      <c r="D16" s="3">
        <f t="shared" si="0"/>
        <v>819</v>
      </c>
      <c r="E16" s="5">
        <f t="shared" si="1"/>
        <v>0.32773109243697479</v>
      </c>
      <c r="F16">
        <v>9</v>
      </c>
      <c r="G16">
        <v>4.2</v>
      </c>
      <c r="H16" t="str">
        <f t="shared" si="2"/>
        <v>Medium</v>
      </c>
      <c r="I16" t="str">
        <f t="shared" si="3"/>
        <v>Average</v>
      </c>
    </row>
    <row r="17" spans="1:9" x14ac:dyDescent="0.25">
      <c r="A17" t="s">
        <v>19</v>
      </c>
      <c r="B17" s="3">
        <v>332</v>
      </c>
      <c r="C17" s="3">
        <v>684</v>
      </c>
      <c r="D17" s="3">
        <f t="shared" si="0"/>
        <v>352</v>
      </c>
      <c r="E17" s="5">
        <f t="shared" si="1"/>
        <v>0.51461988304093564</v>
      </c>
      <c r="F17">
        <v>2</v>
      </c>
      <c r="G17">
        <v>5</v>
      </c>
      <c r="H17" t="str">
        <f t="shared" si="2"/>
        <v>High</v>
      </c>
      <c r="I17" t="str">
        <f t="shared" si="3"/>
        <v>Excellent</v>
      </c>
    </row>
    <row r="18" spans="1:9" x14ac:dyDescent="0.25">
      <c r="A18" t="s">
        <v>20</v>
      </c>
      <c r="B18" s="3">
        <v>195</v>
      </c>
      <c r="C18" s="3">
        <v>360</v>
      </c>
      <c r="D18" s="3">
        <f t="shared" si="0"/>
        <v>165</v>
      </c>
      <c r="E18" s="5">
        <f t="shared" si="1"/>
        <v>0.45833333333333331</v>
      </c>
      <c r="F18">
        <v>2</v>
      </c>
      <c r="G18">
        <v>5</v>
      </c>
      <c r="H18" t="str">
        <f t="shared" si="2"/>
        <v>High</v>
      </c>
      <c r="I18" t="str">
        <f t="shared" si="3"/>
        <v>Excellent</v>
      </c>
    </row>
    <row r="19" spans="1:9" x14ac:dyDescent="0.25">
      <c r="A19" t="s">
        <v>21</v>
      </c>
      <c r="B19" s="3">
        <v>2025</v>
      </c>
      <c r="C19" s="3">
        <v>3971</v>
      </c>
      <c r="D19" s="3">
        <f t="shared" si="0"/>
        <v>1946</v>
      </c>
      <c r="E19" s="5">
        <f t="shared" si="1"/>
        <v>0.49005288340468395</v>
      </c>
      <c r="F19">
        <v>3</v>
      </c>
      <c r="G19">
        <v>5</v>
      </c>
      <c r="H19" t="str">
        <f t="shared" si="2"/>
        <v>High</v>
      </c>
      <c r="I19" t="str">
        <f t="shared" si="3"/>
        <v>Excellent</v>
      </c>
    </row>
    <row r="20" spans="1:9" x14ac:dyDescent="0.25">
      <c r="A20" t="s">
        <v>22</v>
      </c>
      <c r="B20" s="3">
        <v>2999</v>
      </c>
      <c r="C20" s="3">
        <v>3699</v>
      </c>
      <c r="D20" s="3">
        <f t="shared" si="0"/>
        <v>700</v>
      </c>
      <c r="E20" s="5">
        <f t="shared" si="1"/>
        <v>0.18924033522573669</v>
      </c>
      <c r="F20">
        <v>5</v>
      </c>
      <c r="G20">
        <v>4.5999999999999996</v>
      </c>
      <c r="H20" t="str">
        <f t="shared" si="2"/>
        <v>Low</v>
      </c>
      <c r="I20" t="str">
        <f t="shared" si="3"/>
        <v>Excellent</v>
      </c>
    </row>
    <row r="21" spans="1:9" x14ac:dyDescent="0.25">
      <c r="A21" t="s">
        <v>23</v>
      </c>
      <c r="B21" s="3">
        <v>998</v>
      </c>
      <c r="C21" s="3">
        <v>1966</v>
      </c>
      <c r="D21" s="3">
        <f t="shared" si="0"/>
        <v>968</v>
      </c>
      <c r="E21" s="5">
        <f t="shared" si="1"/>
        <v>0.49237029501525942</v>
      </c>
      <c r="F21">
        <v>44</v>
      </c>
      <c r="G21">
        <v>4.5999999999999996</v>
      </c>
      <c r="H21" t="str">
        <f t="shared" si="2"/>
        <v>High</v>
      </c>
      <c r="I21" t="str">
        <f t="shared" si="3"/>
        <v>Excellent</v>
      </c>
    </row>
    <row r="22" spans="1:9" x14ac:dyDescent="0.25">
      <c r="A22" t="s">
        <v>24</v>
      </c>
      <c r="B22" s="3">
        <v>38</v>
      </c>
      <c r="C22" s="3">
        <v>80</v>
      </c>
      <c r="D22" s="3">
        <f t="shared" si="0"/>
        <v>42</v>
      </c>
      <c r="E22" s="5">
        <f t="shared" si="1"/>
        <v>0.52500000000000002</v>
      </c>
      <c r="F22">
        <v>13</v>
      </c>
      <c r="G22">
        <v>3.3</v>
      </c>
      <c r="H22" t="str">
        <f t="shared" si="2"/>
        <v>High</v>
      </c>
      <c r="I22" t="str">
        <f t="shared" si="3"/>
        <v>Average</v>
      </c>
    </row>
    <row r="23" spans="1:9" x14ac:dyDescent="0.25">
      <c r="A23" t="s">
        <v>25</v>
      </c>
      <c r="B23" s="3">
        <v>1860</v>
      </c>
      <c r="C23" s="3">
        <v>3220</v>
      </c>
      <c r="D23" s="3">
        <f t="shared" si="0"/>
        <v>1360</v>
      </c>
      <c r="E23" s="5">
        <f t="shared" si="1"/>
        <v>0.42236024844720499</v>
      </c>
      <c r="F23">
        <v>0</v>
      </c>
      <c r="G23" t="s">
        <v>115</v>
      </c>
      <c r="H23" t="str">
        <f t="shared" si="2"/>
        <v>High</v>
      </c>
      <c r="I23" t="str">
        <f t="shared" si="3"/>
        <v>not provided</v>
      </c>
    </row>
    <row r="24" spans="1:9" x14ac:dyDescent="0.25">
      <c r="A24" t="s">
        <v>26</v>
      </c>
      <c r="B24" s="3">
        <v>880</v>
      </c>
      <c r="C24" s="3">
        <v>1350</v>
      </c>
      <c r="D24" s="3">
        <f t="shared" si="0"/>
        <v>470</v>
      </c>
      <c r="E24" s="5">
        <f t="shared" si="1"/>
        <v>0.34814814814814815</v>
      </c>
      <c r="F24">
        <v>6</v>
      </c>
      <c r="G24">
        <v>4</v>
      </c>
      <c r="H24" t="str">
        <f t="shared" si="2"/>
        <v>Medium</v>
      </c>
      <c r="I24" t="str">
        <f t="shared" si="3"/>
        <v>Average</v>
      </c>
    </row>
    <row r="25" spans="1:9" x14ac:dyDescent="0.25">
      <c r="A25" t="s">
        <v>27</v>
      </c>
      <c r="B25" s="3">
        <v>1650</v>
      </c>
      <c r="C25" s="3">
        <v>2150</v>
      </c>
      <c r="D25" s="3">
        <f t="shared" si="0"/>
        <v>500</v>
      </c>
      <c r="E25" s="5">
        <f t="shared" si="1"/>
        <v>0.23255813953488372</v>
      </c>
      <c r="F25">
        <v>14</v>
      </c>
      <c r="G25">
        <v>4.4000000000000004</v>
      </c>
      <c r="H25" t="str">
        <f t="shared" si="2"/>
        <v>Medium</v>
      </c>
      <c r="I25" t="str">
        <f t="shared" si="3"/>
        <v>Average</v>
      </c>
    </row>
    <row r="26" spans="1:9" x14ac:dyDescent="0.25">
      <c r="A26" t="s">
        <v>28</v>
      </c>
      <c r="B26" s="3">
        <v>2048</v>
      </c>
      <c r="C26" s="3">
        <v>4500</v>
      </c>
      <c r="D26" s="3">
        <f t="shared" si="0"/>
        <v>2452</v>
      </c>
      <c r="E26" s="5">
        <f t="shared" si="1"/>
        <v>0.54488888888888887</v>
      </c>
      <c r="F26">
        <v>7</v>
      </c>
      <c r="G26">
        <v>4.3</v>
      </c>
      <c r="H26" t="str">
        <f t="shared" si="2"/>
        <v>High</v>
      </c>
      <c r="I26" t="str">
        <f t="shared" si="3"/>
        <v>Average</v>
      </c>
    </row>
    <row r="27" spans="1:9" x14ac:dyDescent="0.25">
      <c r="A27" t="s">
        <v>29</v>
      </c>
      <c r="B27" s="3">
        <v>420</v>
      </c>
      <c r="C27" s="3">
        <v>647</v>
      </c>
      <c r="D27" s="3">
        <f t="shared" si="0"/>
        <v>227</v>
      </c>
      <c r="E27" s="5">
        <f t="shared" si="1"/>
        <v>0.3508500772797527</v>
      </c>
      <c r="F27">
        <v>49</v>
      </c>
      <c r="G27">
        <v>4.5999999999999996</v>
      </c>
      <c r="H27" t="str">
        <f t="shared" si="2"/>
        <v>Medium</v>
      </c>
      <c r="I27" t="str">
        <f t="shared" si="3"/>
        <v>Excellent</v>
      </c>
    </row>
    <row r="28" spans="1:9" x14ac:dyDescent="0.25">
      <c r="A28" t="s">
        <v>30</v>
      </c>
      <c r="B28" s="3">
        <v>2880</v>
      </c>
      <c r="C28" s="3">
        <v>3520</v>
      </c>
      <c r="D28" s="3">
        <f t="shared" si="0"/>
        <v>640</v>
      </c>
      <c r="E28" s="5">
        <f t="shared" si="1"/>
        <v>0.18181818181818182</v>
      </c>
      <c r="F28">
        <v>12</v>
      </c>
      <c r="G28">
        <v>3.8</v>
      </c>
      <c r="H28" t="str">
        <f t="shared" si="2"/>
        <v>Low</v>
      </c>
      <c r="I28" t="str">
        <f t="shared" si="3"/>
        <v>Average</v>
      </c>
    </row>
    <row r="29" spans="1:9" x14ac:dyDescent="0.25">
      <c r="A29" t="s">
        <v>31</v>
      </c>
      <c r="B29" s="3">
        <v>1350</v>
      </c>
      <c r="C29" s="3">
        <v>1990</v>
      </c>
      <c r="D29" s="3">
        <f t="shared" si="0"/>
        <v>640</v>
      </c>
      <c r="E29" s="5">
        <f t="shared" si="1"/>
        <v>0.32160804020100503</v>
      </c>
      <c r="F29">
        <v>13</v>
      </c>
      <c r="G29">
        <v>3.8</v>
      </c>
      <c r="H29" t="str">
        <f t="shared" si="2"/>
        <v>Medium</v>
      </c>
      <c r="I29" t="str">
        <f t="shared" si="3"/>
        <v>Average</v>
      </c>
    </row>
    <row r="30" spans="1:9" x14ac:dyDescent="0.25">
      <c r="A30" t="s">
        <v>32</v>
      </c>
      <c r="B30" s="3">
        <v>1758</v>
      </c>
      <c r="C30" s="3">
        <v>2499</v>
      </c>
      <c r="D30" s="3">
        <f t="shared" si="0"/>
        <v>741</v>
      </c>
      <c r="E30" s="5">
        <f t="shared" si="1"/>
        <v>0.2965186074429772</v>
      </c>
      <c r="F30">
        <v>20</v>
      </c>
      <c r="G30">
        <v>4.0999999999999996</v>
      </c>
      <c r="H30" t="str">
        <f t="shared" si="2"/>
        <v>Medium</v>
      </c>
      <c r="I30" t="str">
        <f t="shared" si="3"/>
        <v>Average</v>
      </c>
    </row>
    <row r="31" spans="1:9" x14ac:dyDescent="0.25">
      <c r="A31" t="s">
        <v>112</v>
      </c>
      <c r="B31" s="3">
        <v>2200</v>
      </c>
      <c r="C31" s="3">
        <v>4080</v>
      </c>
      <c r="D31" s="3">
        <f t="shared" si="0"/>
        <v>1880</v>
      </c>
      <c r="E31" s="5">
        <f t="shared" si="1"/>
        <v>0.46078431372549017</v>
      </c>
      <c r="F31">
        <v>0</v>
      </c>
      <c r="G31" t="s">
        <v>115</v>
      </c>
      <c r="H31" t="str">
        <f t="shared" si="2"/>
        <v>High</v>
      </c>
      <c r="I31" t="str">
        <f t="shared" si="3"/>
        <v>not provided</v>
      </c>
    </row>
    <row r="32" spans="1:9" x14ac:dyDescent="0.25">
      <c r="A32" t="s">
        <v>33</v>
      </c>
      <c r="B32" s="3">
        <v>185</v>
      </c>
      <c r="C32" s="3">
        <v>382</v>
      </c>
      <c r="D32" s="3">
        <f t="shared" si="0"/>
        <v>197</v>
      </c>
      <c r="E32" s="5">
        <f t="shared" si="1"/>
        <v>0.51570680628272247</v>
      </c>
      <c r="F32">
        <v>9</v>
      </c>
      <c r="G32">
        <v>4.3</v>
      </c>
      <c r="H32" t="str">
        <f t="shared" si="2"/>
        <v>High</v>
      </c>
      <c r="I32" t="str">
        <f t="shared" si="3"/>
        <v>Average</v>
      </c>
    </row>
    <row r="33" spans="1:9" x14ac:dyDescent="0.25">
      <c r="A33" t="s">
        <v>34</v>
      </c>
      <c r="B33" s="3">
        <v>980</v>
      </c>
      <c r="C33" s="3">
        <v>1490</v>
      </c>
      <c r="D33" s="3">
        <f t="shared" si="0"/>
        <v>510</v>
      </c>
      <c r="E33" s="5">
        <f t="shared" si="1"/>
        <v>0.34228187919463088</v>
      </c>
      <c r="F33">
        <v>12</v>
      </c>
      <c r="G33">
        <v>4.7</v>
      </c>
      <c r="H33" t="str">
        <f t="shared" si="2"/>
        <v>Medium</v>
      </c>
      <c r="I33" t="str">
        <f t="shared" si="3"/>
        <v>Excellent</v>
      </c>
    </row>
    <row r="34" spans="1:9" x14ac:dyDescent="0.25">
      <c r="A34" t="s">
        <v>35</v>
      </c>
      <c r="B34" s="3">
        <v>1820</v>
      </c>
      <c r="C34" s="3">
        <v>3490</v>
      </c>
      <c r="D34" s="3">
        <f t="shared" ref="D34:D65" si="4">C34-B34</f>
        <v>1670</v>
      </c>
      <c r="E34" s="5">
        <f t="shared" ref="E34:E65" si="5">(C34-B34)/C34</f>
        <v>0.47851002865329512</v>
      </c>
      <c r="F34">
        <v>9</v>
      </c>
      <c r="G34">
        <v>4.3</v>
      </c>
      <c r="H34" t="str">
        <f t="shared" si="2"/>
        <v>High</v>
      </c>
      <c r="I34" t="str">
        <f t="shared" si="3"/>
        <v>Average</v>
      </c>
    </row>
    <row r="35" spans="1:9" x14ac:dyDescent="0.25">
      <c r="A35" t="s">
        <v>36</v>
      </c>
      <c r="B35" s="3">
        <v>1940</v>
      </c>
      <c r="C35" s="3">
        <v>2650</v>
      </c>
      <c r="D35" s="3">
        <f t="shared" si="4"/>
        <v>710</v>
      </c>
      <c r="E35" s="5">
        <f t="shared" si="5"/>
        <v>0.26792452830188679</v>
      </c>
      <c r="F35">
        <v>20</v>
      </c>
      <c r="G35">
        <v>4.7</v>
      </c>
      <c r="H35" t="str">
        <f t="shared" si="2"/>
        <v>Medium</v>
      </c>
      <c r="I35" t="str">
        <f t="shared" si="3"/>
        <v>Excellent</v>
      </c>
    </row>
    <row r="36" spans="1:9" x14ac:dyDescent="0.25">
      <c r="A36" t="s">
        <v>37</v>
      </c>
      <c r="B36" s="3">
        <v>1980</v>
      </c>
      <c r="C36" s="3">
        <v>2699</v>
      </c>
      <c r="D36" s="3">
        <f t="shared" si="4"/>
        <v>719</v>
      </c>
      <c r="E36" s="5">
        <f t="shared" si="5"/>
        <v>0.26639496109670247</v>
      </c>
      <c r="F36">
        <v>32</v>
      </c>
      <c r="G36">
        <v>4.5</v>
      </c>
      <c r="H36" t="str">
        <f t="shared" si="2"/>
        <v>Medium</v>
      </c>
      <c r="I36" t="str">
        <f t="shared" si="3"/>
        <v>Excellent</v>
      </c>
    </row>
    <row r="37" spans="1:9" x14ac:dyDescent="0.25">
      <c r="A37" t="s">
        <v>38</v>
      </c>
      <c r="B37" s="3">
        <v>1620</v>
      </c>
      <c r="C37" s="3">
        <v>2690</v>
      </c>
      <c r="D37" s="3">
        <f t="shared" si="4"/>
        <v>1070</v>
      </c>
      <c r="E37" s="5">
        <f t="shared" si="5"/>
        <v>0.39776951672862454</v>
      </c>
      <c r="F37">
        <v>1</v>
      </c>
      <c r="G37">
        <v>5</v>
      </c>
      <c r="H37" t="str">
        <f t="shared" si="2"/>
        <v>Medium</v>
      </c>
      <c r="I37" t="str">
        <f t="shared" si="3"/>
        <v>Excellent</v>
      </c>
    </row>
    <row r="38" spans="1:9" x14ac:dyDescent="0.25">
      <c r="A38" t="s">
        <v>39</v>
      </c>
      <c r="B38" s="3">
        <v>171</v>
      </c>
      <c r="C38" s="3">
        <v>360</v>
      </c>
      <c r="D38" s="3">
        <f t="shared" si="4"/>
        <v>189</v>
      </c>
      <c r="E38" s="5">
        <f t="shared" si="5"/>
        <v>0.52500000000000002</v>
      </c>
      <c r="F38">
        <v>2</v>
      </c>
      <c r="G38">
        <v>5</v>
      </c>
      <c r="H38" t="str">
        <f t="shared" si="2"/>
        <v>High</v>
      </c>
      <c r="I38" t="str">
        <f t="shared" si="3"/>
        <v>Excellent</v>
      </c>
    </row>
    <row r="39" spans="1:9" x14ac:dyDescent="0.25">
      <c r="A39" t="s">
        <v>40</v>
      </c>
      <c r="B39" s="3">
        <v>389</v>
      </c>
      <c r="C39" s="3">
        <v>656</v>
      </c>
      <c r="D39" s="3">
        <f t="shared" si="4"/>
        <v>267</v>
      </c>
      <c r="E39" s="5">
        <f t="shared" si="5"/>
        <v>0.40701219512195119</v>
      </c>
      <c r="F39">
        <v>36</v>
      </c>
      <c r="G39">
        <v>4.3</v>
      </c>
      <c r="H39" t="str">
        <f t="shared" si="2"/>
        <v>High</v>
      </c>
      <c r="I39" t="str">
        <f t="shared" si="3"/>
        <v>Average</v>
      </c>
    </row>
    <row r="40" spans="1:9" x14ac:dyDescent="0.25">
      <c r="A40" t="s">
        <v>41</v>
      </c>
      <c r="B40" s="3">
        <v>1800</v>
      </c>
      <c r="C40" s="3">
        <v>2700</v>
      </c>
      <c r="D40" s="3">
        <f t="shared" si="4"/>
        <v>900</v>
      </c>
      <c r="E40" s="5">
        <f t="shared" si="5"/>
        <v>0.33333333333333331</v>
      </c>
      <c r="F40">
        <v>2</v>
      </c>
      <c r="G40">
        <v>4.5</v>
      </c>
      <c r="H40" t="str">
        <f t="shared" si="2"/>
        <v>Medium</v>
      </c>
      <c r="I40" t="str">
        <f t="shared" si="3"/>
        <v>Excellent</v>
      </c>
    </row>
    <row r="41" spans="1:9" x14ac:dyDescent="0.25">
      <c r="A41" t="s">
        <v>42</v>
      </c>
      <c r="B41" s="3">
        <v>2750</v>
      </c>
      <c r="C41" s="3">
        <v>4471</v>
      </c>
      <c r="D41" s="3">
        <f t="shared" si="4"/>
        <v>1721</v>
      </c>
      <c r="E41" s="5">
        <f t="shared" si="5"/>
        <v>0.38492507269067322</v>
      </c>
      <c r="F41">
        <v>0</v>
      </c>
      <c r="G41" t="s">
        <v>115</v>
      </c>
      <c r="H41" t="str">
        <f t="shared" si="2"/>
        <v>Medium</v>
      </c>
      <c r="I41" t="str">
        <f t="shared" si="3"/>
        <v>not provided</v>
      </c>
    </row>
    <row r="42" spans="1:9" x14ac:dyDescent="0.25">
      <c r="A42" t="s">
        <v>43</v>
      </c>
      <c r="B42" s="3">
        <v>475</v>
      </c>
      <c r="C42" s="3">
        <v>931</v>
      </c>
      <c r="D42" s="3">
        <f t="shared" si="4"/>
        <v>456</v>
      </c>
      <c r="E42" s="5">
        <f t="shared" si="5"/>
        <v>0.48979591836734693</v>
      </c>
      <c r="F42">
        <v>0</v>
      </c>
      <c r="G42" t="s">
        <v>115</v>
      </c>
      <c r="H42" t="str">
        <f t="shared" si="2"/>
        <v>High</v>
      </c>
      <c r="I42" t="str">
        <f t="shared" si="3"/>
        <v>not provided</v>
      </c>
    </row>
    <row r="43" spans="1:9" x14ac:dyDescent="0.25">
      <c r="A43" t="s">
        <v>44</v>
      </c>
      <c r="B43" s="3">
        <v>238</v>
      </c>
      <c r="C43" s="3">
        <v>476</v>
      </c>
      <c r="D43" s="3">
        <f t="shared" si="4"/>
        <v>238</v>
      </c>
      <c r="E43" s="5">
        <f t="shared" si="5"/>
        <v>0.5</v>
      </c>
      <c r="F43">
        <v>0</v>
      </c>
      <c r="G43" t="s">
        <v>115</v>
      </c>
      <c r="H43" t="str">
        <f t="shared" si="2"/>
        <v>High</v>
      </c>
      <c r="I43" t="str">
        <f t="shared" si="3"/>
        <v>not provided</v>
      </c>
    </row>
    <row r="44" spans="1:9" x14ac:dyDescent="0.25">
      <c r="A44" t="s">
        <v>45</v>
      </c>
      <c r="B44" s="3">
        <v>610</v>
      </c>
      <c r="C44" s="3">
        <v>1060</v>
      </c>
      <c r="D44" s="3">
        <f t="shared" si="4"/>
        <v>450</v>
      </c>
      <c r="E44" s="5">
        <f t="shared" si="5"/>
        <v>0.42452830188679247</v>
      </c>
      <c r="F44">
        <v>0</v>
      </c>
      <c r="G44" t="s">
        <v>115</v>
      </c>
      <c r="H44" t="str">
        <f t="shared" si="2"/>
        <v>High</v>
      </c>
      <c r="I44" t="str">
        <f t="shared" si="3"/>
        <v>not provided</v>
      </c>
    </row>
    <row r="45" spans="1:9" x14ac:dyDescent="0.25">
      <c r="A45" t="s">
        <v>46</v>
      </c>
      <c r="B45" s="3">
        <v>2132</v>
      </c>
      <c r="C45" s="3">
        <v>2169</v>
      </c>
      <c r="D45" s="3">
        <f t="shared" si="4"/>
        <v>37</v>
      </c>
      <c r="E45" s="5">
        <f t="shared" si="5"/>
        <v>1.705855232826187E-2</v>
      </c>
      <c r="F45">
        <v>0</v>
      </c>
      <c r="G45" t="s">
        <v>115</v>
      </c>
      <c r="H45" t="str">
        <f t="shared" si="2"/>
        <v>Low</v>
      </c>
      <c r="I45" t="str">
        <f t="shared" si="3"/>
        <v>not provided</v>
      </c>
    </row>
    <row r="46" spans="1:9" x14ac:dyDescent="0.25">
      <c r="A46" t="s">
        <v>47</v>
      </c>
      <c r="B46" s="3">
        <v>999</v>
      </c>
      <c r="C46" s="3">
        <v>2000</v>
      </c>
      <c r="D46" s="3">
        <f t="shared" si="4"/>
        <v>1001</v>
      </c>
      <c r="E46" s="5">
        <f t="shared" si="5"/>
        <v>0.50049999999999994</v>
      </c>
      <c r="F46">
        <v>0</v>
      </c>
      <c r="G46" t="s">
        <v>115</v>
      </c>
      <c r="H46" t="str">
        <f t="shared" si="2"/>
        <v>High</v>
      </c>
      <c r="I46" t="str">
        <f t="shared" si="3"/>
        <v>not provided</v>
      </c>
    </row>
    <row r="47" spans="1:9" x14ac:dyDescent="0.25">
      <c r="A47" t="s">
        <v>48</v>
      </c>
      <c r="B47" s="3">
        <v>1190</v>
      </c>
      <c r="C47" s="3">
        <v>1785</v>
      </c>
      <c r="D47" s="3">
        <f t="shared" si="4"/>
        <v>595</v>
      </c>
      <c r="E47" s="5">
        <f t="shared" si="5"/>
        <v>0.33333333333333331</v>
      </c>
      <c r="F47">
        <v>0</v>
      </c>
      <c r="G47" t="s">
        <v>115</v>
      </c>
      <c r="H47" t="str">
        <f t="shared" si="2"/>
        <v>Medium</v>
      </c>
      <c r="I47" t="str">
        <f t="shared" si="3"/>
        <v>not provided</v>
      </c>
    </row>
    <row r="48" spans="1:9" x14ac:dyDescent="0.25">
      <c r="A48" t="s">
        <v>49</v>
      </c>
      <c r="B48" s="3">
        <v>671</v>
      </c>
      <c r="C48" s="3">
        <v>1316</v>
      </c>
      <c r="D48" s="3">
        <f t="shared" si="4"/>
        <v>645</v>
      </c>
      <c r="E48" s="5">
        <f t="shared" si="5"/>
        <v>0.49012158054711247</v>
      </c>
      <c r="F48">
        <v>0</v>
      </c>
      <c r="G48" t="s">
        <v>115</v>
      </c>
      <c r="H48" t="str">
        <f t="shared" si="2"/>
        <v>High</v>
      </c>
      <c r="I48" t="str">
        <f t="shared" si="3"/>
        <v>not provided</v>
      </c>
    </row>
    <row r="49" spans="1:9" x14ac:dyDescent="0.25">
      <c r="A49" t="s">
        <v>50</v>
      </c>
      <c r="B49" s="3">
        <v>1200</v>
      </c>
      <c r="C49" s="3">
        <v>1950</v>
      </c>
      <c r="D49" s="3">
        <f t="shared" si="4"/>
        <v>750</v>
      </c>
      <c r="E49" s="5">
        <f t="shared" si="5"/>
        <v>0.38461538461538464</v>
      </c>
      <c r="F49">
        <v>0</v>
      </c>
      <c r="G49" t="s">
        <v>115</v>
      </c>
      <c r="H49" t="str">
        <f t="shared" si="2"/>
        <v>Medium</v>
      </c>
      <c r="I49" t="str">
        <f t="shared" si="3"/>
        <v>not provided</v>
      </c>
    </row>
    <row r="50" spans="1:9" x14ac:dyDescent="0.25">
      <c r="A50" t="s">
        <v>51</v>
      </c>
      <c r="B50" s="3">
        <v>199</v>
      </c>
      <c r="C50" s="3">
        <v>504</v>
      </c>
      <c r="D50" s="3">
        <f t="shared" si="4"/>
        <v>305</v>
      </c>
      <c r="E50" s="5">
        <f t="shared" si="5"/>
        <v>0.60515873015873012</v>
      </c>
      <c r="F50">
        <v>0</v>
      </c>
      <c r="G50" t="s">
        <v>115</v>
      </c>
      <c r="H50" t="str">
        <f t="shared" si="2"/>
        <v>High</v>
      </c>
      <c r="I50" t="str">
        <f t="shared" si="3"/>
        <v>not provided</v>
      </c>
    </row>
    <row r="51" spans="1:9" x14ac:dyDescent="0.25">
      <c r="A51" t="s">
        <v>52</v>
      </c>
      <c r="B51" s="3">
        <v>299</v>
      </c>
      <c r="C51" s="3">
        <v>600</v>
      </c>
      <c r="D51" s="3">
        <f t="shared" si="4"/>
        <v>301</v>
      </c>
      <c r="E51" s="5">
        <f t="shared" si="5"/>
        <v>0.50166666666666671</v>
      </c>
      <c r="F51">
        <v>0</v>
      </c>
      <c r="G51" t="s">
        <v>115</v>
      </c>
      <c r="H51" t="str">
        <f t="shared" si="2"/>
        <v>High</v>
      </c>
      <c r="I51" t="str">
        <f t="shared" si="3"/>
        <v>not provided</v>
      </c>
    </row>
    <row r="52" spans="1:9" x14ac:dyDescent="0.25">
      <c r="A52" t="s">
        <v>53</v>
      </c>
      <c r="B52" s="3">
        <v>1660</v>
      </c>
      <c r="C52" s="3">
        <v>1699</v>
      </c>
      <c r="D52" s="3">
        <f t="shared" si="4"/>
        <v>39</v>
      </c>
      <c r="E52" s="5">
        <f t="shared" si="5"/>
        <v>2.2954679223072396E-2</v>
      </c>
      <c r="F52">
        <v>0</v>
      </c>
      <c r="G52" t="s">
        <v>115</v>
      </c>
      <c r="H52" t="str">
        <f t="shared" si="2"/>
        <v>Low</v>
      </c>
      <c r="I52" t="str">
        <f t="shared" si="3"/>
        <v>not provided</v>
      </c>
    </row>
    <row r="53" spans="1:9" x14ac:dyDescent="0.25">
      <c r="A53" t="s">
        <v>54</v>
      </c>
      <c r="B53" s="3">
        <v>299</v>
      </c>
      <c r="C53" s="3">
        <v>384</v>
      </c>
      <c r="D53" s="3">
        <f t="shared" si="4"/>
        <v>85</v>
      </c>
      <c r="E53" s="5">
        <f t="shared" si="5"/>
        <v>0.22135416666666666</v>
      </c>
      <c r="F53">
        <v>0</v>
      </c>
      <c r="G53" t="s">
        <v>115</v>
      </c>
      <c r="H53" t="str">
        <f t="shared" si="2"/>
        <v>Medium</v>
      </c>
      <c r="I53" t="str">
        <f t="shared" si="3"/>
        <v>not provided</v>
      </c>
    </row>
    <row r="54" spans="1:9" x14ac:dyDescent="0.25">
      <c r="A54" t="s">
        <v>55</v>
      </c>
      <c r="B54" s="3">
        <v>1459</v>
      </c>
      <c r="C54" s="3">
        <v>1499</v>
      </c>
      <c r="D54" s="3">
        <f t="shared" si="4"/>
        <v>40</v>
      </c>
      <c r="E54" s="5">
        <f t="shared" si="5"/>
        <v>2.6684456304202801E-2</v>
      </c>
      <c r="F54">
        <v>0</v>
      </c>
      <c r="G54" t="s">
        <v>115</v>
      </c>
      <c r="H54" t="str">
        <f t="shared" si="2"/>
        <v>Low</v>
      </c>
      <c r="I54" t="str">
        <f t="shared" si="3"/>
        <v>not provided</v>
      </c>
    </row>
    <row r="55" spans="1:9" x14ac:dyDescent="0.25">
      <c r="A55" t="s">
        <v>56</v>
      </c>
      <c r="B55" s="3">
        <v>799</v>
      </c>
      <c r="C55" s="3">
        <v>1343</v>
      </c>
      <c r="D55" s="3">
        <f t="shared" si="4"/>
        <v>544</v>
      </c>
      <c r="E55" s="5">
        <f t="shared" si="5"/>
        <v>0.4050632911392405</v>
      </c>
      <c r="F55">
        <v>0</v>
      </c>
      <c r="G55" t="s">
        <v>115</v>
      </c>
      <c r="H55" t="str">
        <f t="shared" si="2"/>
        <v>High</v>
      </c>
      <c r="I55" t="str">
        <f t="shared" si="3"/>
        <v>not provided</v>
      </c>
    </row>
    <row r="56" spans="1:9" x14ac:dyDescent="0.25">
      <c r="A56" t="s">
        <v>57</v>
      </c>
      <c r="B56" s="3">
        <v>499</v>
      </c>
      <c r="C56" s="3">
        <v>900</v>
      </c>
      <c r="D56" s="3">
        <f t="shared" si="4"/>
        <v>401</v>
      </c>
      <c r="E56" s="5">
        <f t="shared" si="5"/>
        <v>0.44555555555555554</v>
      </c>
      <c r="F56">
        <v>0</v>
      </c>
      <c r="G56" t="s">
        <v>115</v>
      </c>
      <c r="H56" t="str">
        <f t="shared" si="2"/>
        <v>High</v>
      </c>
      <c r="I56" t="str">
        <f t="shared" si="3"/>
        <v>not provided</v>
      </c>
    </row>
    <row r="57" spans="1:9" x14ac:dyDescent="0.25">
      <c r="A57" t="s">
        <v>58</v>
      </c>
      <c r="B57" s="3">
        <v>699</v>
      </c>
      <c r="C57" s="3">
        <v>1343</v>
      </c>
      <c r="D57" s="3">
        <f t="shared" si="4"/>
        <v>644</v>
      </c>
      <c r="E57" s="5">
        <f t="shared" si="5"/>
        <v>0.47952345495160087</v>
      </c>
      <c r="F57">
        <v>0</v>
      </c>
      <c r="G57" t="s">
        <v>115</v>
      </c>
      <c r="H57" t="str">
        <f t="shared" si="2"/>
        <v>High</v>
      </c>
      <c r="I57" t="str">
        <f t="shared" si="3"/>
        <v>not provided</v>
      </c>
    </row>
    <row r="58" spans="1:9" x14ac:dyDescent="0.25">
      <c r="A58" t="s">
        <v>59</v>
      </c>
      <c r="B58" s="3">
        <v>799</v>
      </c>
      <c r="C58" s="3">
        <v>1567</v>
      </c>
      <c r="D58" s="3">
        <f t="shared" si="4"/>
        <v>768</v>
      </c>
      <c r="E58" s="5">
        <f t="shared" si="5"/>
        <v>0.49010848755583919</v>
      </c>
      <c r="F58">
        <v>0</v>
      </c>
      <c r="G58" t="s">
        <v>115</v>
      </c>
      <c r="H58" t="str">
        <f t="shared" si="2"/>
        <v>High</v>
      </c>
      <c r="I58" t="str">
        <f t="shared" si="3"/>
        <v>not provided</v>
      </c>
    </row>
    <row r="59" spans="1:9" x14ac:dyDescent="0.25">
      <c r="A59" t="s">
        <v>60</v>
      </c>
      <c r="B59" s="3">
        <v>2799</v>
      </c>
      <c r="C59" s="3">
        <v>3810</v>
      </c>
      <c r="D59" s="3">
        <f t="shared" si="4"/>
        <v>1011</v>
      </c>
      <c r="E59" s="5">
        <f t="shared" si="5"/>
        <v>0.26535433070866143</v>
      </c>
      <c r="F59">
        <v>0</v>
      </c>
      <c r="G59" t="s">
        <v>115</v>
      </c>
      <c r="H59" t="str">
        <f t="shared" si="2"/>
        <v>Medium</v>
      </c>
      <c r="I59" t="str">
        <f t="shared" si="3"/>
        <v>not provided</v>
      </c>
    </row>
    <row r="60" spans="1:9" x14ac:dyDescent="0.25">
      <c r="A60" t="s">
        <v>61</v>
      </c>
      <c r="B60" s="3">
        <v>399</v>
      </c>
      <c r="C60" s="3">
        <v>896</v>
      </c>
      <c r="D60" s="3">
        <f t="shared" si="4"/>
        <v>497</v>
      </c>
      <c r="E60" s="5">
        <f t="shared" si="5"/>
        <v>0.5546875</v>
      </c>
      <c r="F60">
        <v>0</v>
      </c>
      <c r="G60" t="s">
        <v>115</v>
      </c>
      <c r="H60" t="str">
        <f t="shared" si="2"/>
        <v>High</v>
      </c>
      <c r="I60" t="str">
        <f t="shared" si="3"/>
        <v>not provided</v>
      </c>
    </row>
    <row r="61" spans="1:9" x14ac:dyDescent="0.25">
      <c r="A61" t="s">
        <v>62</v>
      </c>
      <c r="B61" s="3">
        <v>2170</v>
      </c>
      <c r="C61" s="3">
        <v>2500</v>
      </c>
      <c r="D61" s="3">
        <f t="shared" si="4"/>
        <v>330</v>
      </c>
      <c r="E61" s="5">
        <f t="shared" si="5"/>
        <v>0.13200000000000001</v>
      </c>
      <c r="F61">
        <v>6</v>
      </c>
      <c r="G61">
        <v>2.5</v>
      </c>
      <c r="H61" t="str">
        <f t="shared" si="2"/>
        <v>Low</v>
      </c>
      <c r="I61" t="str">
        <f t="shared" si="3"/>
        <v>Poor</v>
      </c>
    </row>
    <row r="62" spans="1:9" x14ac:dyDescent="0.25">
      <c r="A62" t="s">
        <v>63</v>
      </c>
      <c r="B62" s="3">
        <v>458</v>
      </c>
      <c r="C62" s="3">
        <v>986</v>
      </c>
      <c r="D62" s="3">
        <f t="shared" si="4"/>
        <v>528</v>
      </c>
      <c r="E62" s="5">
        <f t="shared" si="5"/>
        <v>0.53549695740365111</v>
      </c>
      <c r="F62">
        <v>10</v>
      </c>
      <c r="G62">
        <v>3</v>
      </c>
      <c r="H62" t="str">
        <f t="shared" si="2"/>
        <v>High</v>
      </c>
      <c r="I62" t="str">
        <f t="shared" si="3"/>
        <v>Average</v>
      </c>
    </row>
    <row r="63" spans="1:9" x14ac:dyDescent="0.25">
      <c r="A63" t="s">
        <v>64</v>
      </c>
      <c r="B63" s="3">
        <v>2115</v>
      </c>
      <c r="C63" s="3">
        <v>4700</v>
      </c>
      <c r="D63" s="3">
        <f t="shared" si="4"/>
        <v>2585</v>
      </c>
      <c r="E63" s="5">
        <f t="shared" si="5"/>
        <v>0.55000000000000004</v>
      </c>
      <c r="F63">
        <v>13</v>
      </c>
      <c r="G63">
        <v>2.1</v>
      </c>
      <c r="H63" t="str">
        <f t="shared" si="2"/>
        <v>High</v>
      </c>
      <c r="I63" t="str">
        <f t="shared" si="3"/>
        <v>Poor</v>
      </c>
    </row>
    <row r="64" spans="1:9" x14ac:dyDescent="0.25">
      <c r="A64" t="s">
        <v>65</v>
      </c>
      <c r="B64" s="3">
        <v>445</v>
      </c>
      <c r="C64" s="3">
        <v>873</v>
      </c>
      <c r="D64" s="3">
        <f t="shared" si="4"/>
        <v>428</v>
      </c>
      <c r="E64" s="5">
        <f t="shared" si="5"/>
        <v>0.49026345933562426</v>
      </c>
      <c r="F64">
        <v>69</v>
      </c>
      <c r="G64">
        <v>2.8</v>
      </c>
      <c r="H64" t="str">
        <f t="shared" si="2"/>
        <v>High</v>
      </c>
      <c r="I64" t="str">
        <f t="shared" si="3"/>
        <v>Poor</v>
      </c>
    </row>
    <row r="65" spans="1:9" x14ac:dyDescent="0.25">
      <c r="A65" t="s">
        <v>66</v>
      </c>
      <c r="B65" s="3">
        <v>325</v>
      </c>
      <c r="C65" s="3">
        <v>680</v>
      </c>
      <c r="D65" s="3">
        <f t="shared" si="4"/>
        <v>355</v>
      </c>
      <c r="E65" s="5">
        <f t="shared" si="5"/>
        <v>0.5220588235294118</v>
      </c>
      <c r="F65">
        <v>15</v>
      </c>
      <c r="G65">
        <v>2.7</v>
      </c>
      <c r="H65" t="str">
        <f t="shared" si="2"/>
        <v>High</v>
      </c>
      <c r="I65" t="str">
        <f t="shared" si="3"/>
        <v>Poor</v>
      </c>
    </row>
    <row r="66" spans="1:9" x14ac:dyDescent="0.25">
      <c r="A66" t="s">
        <v>67</v>
      </c>
      <c r="B66" s="3">
        <v>1220</v>
      </c>
      <c r="C66" s="3">
        <v>1555</v>
      </c>
      <c r="D66" s="3">
        <f t="shared" ref="D66:D97" si="6">C66-B66</f>
        <v>335</v>
      </c>
      <c r="E66" s="5">
        <f t="shared" ref="E66:E97" si="7">(C66-B66)/C66</f>
        <v>0.21543408360128619</v>
      </c>
      <c r="F66">
        <v>16</v>
      </c>
      <c r="G66">
        <v>2.9</v>
      </c>
      <c r="H66" t="str">
        <f t="shared" si="2"/>
        <v>Medium</v>
      </c>
      <c r="I66" t="str">
        <f t="shared" si="3"/>
        <v>Poor</v>
      </c>
    </row>
    <row r="67" spans="1:9" x14ac:dyDescent="0.25">
      <c r="A67" t="s">
        <v>68</v>
      </c>
      <c r="B67" s="3">
        <v>990</v>
      </c>
      <c r="C67" s="3">
        <v>1814</v>
      </c>
      <c r="D67" s="3">
        <f t="shared" si="6"/>
        <v>824</v>
      </c>
      <c r="E67" s="5">
        <f t="shared" si="7"/>
        <v>0.45424476295479604</v>
      </c>
      <c r="F67">
        <v>6</v>
      </c>
      <c r="G67">
        <v>2.2000000000000002</v>
      </c>
      <c r="H67" t="str">
        <f t="shared" ref="H67:H110" si="8">IF(E67&lt;20%,"Low",IF(E67&lt;=40%,"Medium","High"))</f>
        <v>High</v>
      </c>
      <c r="I67" t="str">
        <f t="shared" ref="I67:I110" si="9">IF(G67="not provided","not provided",IF(G67&lt;3,"Poor",IF(G67&lt;=4.4,"Average","Excellent")))</f>
        <v>Poor</v>
      </c>
    </row>
    <row r="68" spans="1:9" x14ac:dyDescent="0.25">
      <c r="A68" t="s">
        <v>69</v>
      </c>
      <c r="B68" s="3">
        <v>1000</v>
      </c>
      <c r="C68" s="3">
        <v>2000</v>
      </c>
      <c r="D68" s="3">
        <f t="shared" si="6"/>
        <v>1000</v>
      </c>
      <c r="E68" s="5">
        <f t="shared" si="7"/>
        <v>0.5</v>
      </c>
      <c r="F68">
        <v>7</v>
      </c>
      <c r="G68">
        <v>2.2999999999999998</v>
      </c>
      <c r="H68" t="str">
        <f t="shared" si="8"/>
        <v>High</v>
      </c>
      <c r="I68" t="str">
        <f t="shared" si="9"/>
        <v>Poor</v>
      </c>
    </row>
    <row r="69" spans="1:9" x14ac:dyDescent="0.25">
      <c r="A69" t="s">
        <v>70</v>
      </c>
      <c r="B69" s="3">
        <v>3750</v>
      </c>
      <c r="C69" s="3">
        <v>6143</v>
      </c>
      <c r="D69" s="3">
        <f t="shared" si="6"/>
        <v>2393</v>
      </c>
      <c r="E69" s="5">
        <f t="shared" si="7"/>
        <v>0.38954908025394758</v>
      </c>
      <c r="F69">
        <v>5</v>
      </c>
      <c r="G69">
        <v>3</v>
      </c>
      <c r="H69" t="str">
        <f t="shared" si="8"/>
        <v>Medium</v>
      </c>
      <c r="I69" t="str">
        <f t="shared" si="9"/>
        <v>Average</v>
      </c>
    </row>
    <row r="70" spans="1:9" x14ac:dyDescent="0.25">
      <c r="A70" t="s">
        <v>71</v>
      </c>
      <c r="B70" s="3">
        <v>382</v>
      </c>
      <c r="C70" s="3">
        <v>700</v>
      </c>
      <c r="D70" s="3">
        <f t="shared" si="6"/>
        <v>318</v>
      </c>
      <c r="E70" s="5">
        <f t="shared" si="7"/>
        <v>0.45428571428571429</v>
      </c>
      <c r="F70">
        <v>17</v>
      </c>
      <c r="G70">
        <v>2.6</v>
      </c>
      <c r="H70" t="str">
        <f t="shared" si="8"/>
        <v>High</v>
      </c>
      <c r="I70" t="str">
        <f t="shared" si="9"/>
        <v>Poor</v>
      </c>
    </row>
    <row r="71" spans="1:9" x14ac:dyDescent="0.25">
      <c r="A71" t="s">
        <v>72</v>
      </c>
      <c r="B71" s="3">
        <v>2300</v>
      </c>
      <c r="C71" s="3">
        <v>3240</v>
      </c>
      <c r="D71" s="3">
        <f t="shared" si="6"/>
        <v>940</v>
      </c>
      <c r="E71" s="5">
        <f t="shared" si="7"/>
        <v>0.29012345679012347</v>
      </c>
      <c r="F71">
        <v>5</v>
      </c>
      <c r="G71">
        <v>3</v>
      </c>
      <c r="H71" t="str">
        <f t="shared" si="8"/>
        <v>Medium</v>
      </c>
      <c r="I71" t="str">
        <f t="shared" si="9"/>
        <v>Average</v>
      </c>
    </row>
    <row r="72" spans="1:9" x14ac:dyDescent="0.25">
      <c r="A72" t="s">
        <v>73</v>
      </c>
      <c r="B72" s="3">
        <v>345</v>
      </c>
      <c r="C72" s="3">
        <v>602</v>
      </c>
      <c r="D72" s="3">
        <f t="shared" si="6"/>
        <v>257</v>
      </c>
      <c r="E72" s="5">
        <f t="shared" si="7"/>
        <v>0.42691029900332228</v>
      </c>
      <c r="F72">
        <v>6</v>
      </c>
      <c r="G72">
        <v>2.2999999999999998</v>
      </c>
      <c r="H72" t="str">
        <f t="shared" si="8"/>
        <v>High</v>
      </c>
      <c r="I72" t="str">
        <f t="shared" si="9"/>
        <v>Poor</v>
      </c>
    </row>
    <row r="73" spans="1:9" x14ac:dyDescent="0.25">
      <c r="A73" t="s">
        <v>74</v>
      </c>
      <c r="B73" s="3">
        <v>509</v>
      </c>
      <c r="C73" s="3">
        <v>899</v>
      </c>
      <c r="D73" s="3">
        <f t="shared" si="6"/>
        <v>390</v>
      </c>
      <c r="E73" s="5">
        <f t="shared" si="7"/>
        <v>0.43381535038932145</v>
      </c>
      <c r="F73">
        <v>5</v>
      </c>
      <c r="G73">
        <v>3</v>
      </c>
      <c r="H73" t="str">
        <f t="shared" si="8"/>
        <v>High</v>
      </c>
      <c r="I73" t="str">
        <f t="shared" si="9"/>
        <v>Average</v>
      </c>
    </row>
    <row r="74" spans="1:9" x14ac:dyDescent="0.25">
      <c r="A74" t="s">
        <v>75</v>
      </c>
      <c r="B74" s="3">
        <v>968</v>
      </c>
      <c r="C74" s="3">
        <v>1814</v>
      </c>
      <c r="D74" s="3">
        <f t="shared" si="6"/>
        <v>846</v>
      </c>
      <c r="E74" s="5">
        <f t="shared" si="7"/>
        <v>0.46637265711135611</v>
      </c>
      <c r="F74">
        <v>6</v>
      </c>
      <c r="G74">
        <v>2.2000000000000002</v>
      </c>
      <c r="H74" t="str">
        <f t="shared" si="8"/>
        <v>High</v>
      </c>
      <c r="I74" t="str">
        <f t="shared" si="9"/>
        <v>Poor</v>
      </c>
    </row>
    <row r="75" spans="1:9" x14ac:dyDescent="0.25">
      <c r="A75" t="s">
        <v>76</v>
      </c>
      <c r="B75" s="3">
        <v>1570</v>
      </c>
      <c r="C75" s="3">
        <v>2988</v>
      </c>
      <c r="D75" s="3">
        <f t="shared" si="6"/>
        <v>1418</v>
      </c>
      <c r="E75" s="5">
        <f t="shared" si="7"/>
        <v>0.4745649263721553</v>
      </c>
      <c r="F75">
        <v>7</v>
      </c>
      <c r="G75">
        <v>2.1</v>
      </c>
      <c r="H75" t="str">
        <f t="shared" si="8"/>
        <v>High</v>
      </c>
      <c r="I75" t="str">
        <f t="shared" si="9"/>
        <v>Poor</v>
      </c>
    </row>
    <row r="76" spans="1:9" x14ac:dyDescent="0.25">
      <c r="A76" t="s">
        <v>77</v>
      </c>
      <c r="B76" s="3">
        <v>790</v>
      </c>
      <c r="C76" s="3">
        <v>1485</v>
      </c>
      <c r="D76" s="3">
        <f t="shared" si="6"/>
        <v>695</v>
      </c>
      <c r="E76" s="5">
        <f t="shared" si="7"/>
        <v>0.46801346801346799</v>
      </c>
      <c r="F76">
        <v>0</v>
      </c>
      <c r="G76" t="s">
        <v>115</v>
      </c>
      <c r="H76" t="str">
        <f t="shared" si="8"/>
        <v>High</v>
      </c>
      <c r="I76" t="str">
        <f t="shared" si="9"/>
        <v>not provided</v>
      </c>
    </row>
    <row r="77" spans="1:9" x14ac:dyDescent="0.25">
      <c r="A77" t="s">
        <v>78</v>
      </c>
      <c r="B77" s="3">
        <v>690</v>
      </c>
      <c r="C77" s="3">
        <v>1200</v>
      </c>
      <c r="D77" s="3">
        <f t="shared" si="6"/>
        <v>510</v>
      </c>
      <c r="E77" s="5">
        <f t="shared" si="7"/>
        <v>0.42499999999999999</v>
      </c>
      <c r="F77">
        <v>0</v>
      </c>
      <c r="G77" t="s">
        <v>115</v>
      </c>
      <c r="H77" t="str">
        <f t="shared" si="8"/>
        <v>High</v>
      </c>
      <c r="I77" t="str">
        <f t="shared" si="9"/>
        <v>not provided</v>
      </c>
    </row>
    <row r="78" spans="1:9" x14ac:dyDescent="0.25">
      <c r="A78" t="s">
        <v>79</v>
      </c>
      <c r="B78" s="3">
        <v>1732</v>
      </c>
      <c r="C78" s="3">
        <v>1799</v>
      </c>
      <c r="D78" s="3">
        <f t="shared" si="6"/>
        <v>67</v>
      </c>
      <c r="E78" s="5">
        <f t="shared" si="7"/>
        <v>3.7242912729294052E-2</v>
      </c>
      <c r="F78">
        <v>0</v>
      </c>
      <c r="G78" t="s">
        <v>115</v>
      </c>
      <c r="H78" t="str">
        <f t="shared" si="8"/>
        <v>Low</v>
      </c>
      <c r="I78" t="str">
        <f t="shared" si="9"/>
        <v>not provided</v>
      </c>
    </row>
    <row r="79" spans="1:9" x14ac:dyDescent="0.25">
      <c r="A79" t="s">
        <v>80</v>
      </c>
      <c r="B79" s="3">
        <v>230</v>
      </c>
      <c r="C79" s="3">
        <v>450</v>
      </c>
      <c r="D79" s="3">
        <f t="shared" si="6"/>
        <v>220</v>
      </c>
      <c r="E79" s="5">
        <f t="shared" si="7"/>
        <v>0.48888888888888887</v>
      </c>
      <c r="F79">
        <v>0</v>
      </c>
      <c r="G79" t="s">
        <v>115</v>
      </c>
      <c r="H79" t="str">
        <f t="shared" si="8"/>
        <v>High</v>
      </c>
      <c r="I79" t="str">
        <f t="shared" si="9"/>
        <v>not provided</v>
      </c>
    </row>
    <row r="80" spans="1:9" x14ac:dyDescent="0.25">
      <c r="A80" t="s">
        <v>81</v>
      </c>
      <c r="B80" s="3">
        <v>1189</v>
      </c>
      <c r="C80" s="3">
        <v>2199</v>
      </c>
      <c r="D80" s="3">
        <f t="shared" si="6"/>
        <v>1010</v>
      </c>
      <c r="E80" s="5">
        <f t="shared" si="7"/>
        <v>0.45929968167348795</v>
      </c>
      <c r="F80">
        <v>1</v>
      </c>
      <c r="G80">
        <v>3</v>
      </c>
      <c r="H80" t="str">
        <f t="shared" si="8"/>
        <v>High</v>
      </c>
      <c r="I80" t="str">
        <f t="shared" si="9"/>
        <v>Average</v>
      </c>
    </row>
    <row r="81" spans="1:9" x14ac:dyDescent="0.25">
      <c r="A81" t="s">
        <v>82</v>
      </c>
      <c r="B81" s="3">
        <v>979</v>
      </c>
      <c r="C81" s="3">
        <v>1920</v>
      </c>
      <c r="D81" s="3">
        <f t="shared" si="6"/>
        <v>941</v>
      </c>
      <c r="E81" s="5">
        <f t="shared" si="7"/>
        <v>0.49010416666666667</v>
      </c>
      <c r="F81">
        <v>1</v>
      </c>
      <c r="G81">
        <v>5</v>
      </c>
      <c r="H81" t="str">
        <f t="shared" si="8"/>
        <v>High</v>
      </c>
      <c r="I81" t="str">
        <f t="shared" si="9"/>
        <v>Excellent</v>
      </c>
    </row>
    <row r="82" spans="1:9" x14ac:dyDescent="0.25">
      <c r="A82" t="s">
        <v>83</v>
      </c>
      <c r="B82" s="3">
        <v>1460</v>
      </c>
      <c r="C82" s="3">
        <v>2290</v>
      </c>
      <c r="D82" s="3">
        <f t="shared" si="6"/>
        <v>830</v>
      </c>
      <c r="E82" s="5">
        <f t="shared" si="7"/>
        <v>0.36244541484716158</v>
      </c>
      <c r="F82">
        <v>0</v>
      </c>
      <c r="G82" t="s">
        <v>115</v>
      </c>
      <c r="H82" t="str">
        <f t="shared" si="8"/>
        <v>Medium</v>
      </c>
      <c r="I82" t="str">
        <f t="shared" si="9"/>
        <v>not provided</v>
      </c>
    </row>
    <row r="83" spans="1:9" x14ac:dyDescent="0.25">
      <c r="A83" t="s">
        <v>84</v>
      </c>
      <c r="B83" s="3">
        <v>1666</v>
      </c>
      <c r="C83" s="3">
        <v>1699</v>
      </c>
      <c r="D83" s="3">
        <f t="shared" si="6"/>
        <v>33</v>
      </c>
      <c r="E83" s="5">
        <f t="shared" si="7"/>
        <v>1.9423190111830489E-2</v>
      </c>
      <c r="F83">
        <v>0</v>
      </c>
      <c r="G83" t="s">
        <v>115</v>
      </c>
      <c r="H83" t="str">
        <f t="shared" si="8"/>
        <v>Low</v>
      </c>
      <c r="I83" t="str">
        <f t="shared" si="9"/>
        <v>not provided</v>
      </c>
    </row>
    <row r="84" spans="1:9" x14ac:dyDescent="0.25">
      <c r="A84" t="s">
        <v>85</v>
      </c>
      <c r="B84" s="3">
        <v>330</v>
      </c>
      <c r="C84" s="3">
        <v>647</v>
      </c>
      <c r="D84" s="3">
        <f t="shared" si="6"/>
        <v>317</v>
      </c>
      <c r="E84" s="5">
        <f t="shared" si="7"/>
        <v>0.48995363214837712</v>
      </c>
      <c r="F84">
        <v>1</v>
      </c>
      <c r="G84">
        <v>4</v>
      </c>
      <c r="H84" t="str">
        <f t="shared" si="8"/>
        <v>High</v>
      </c>
      <c r="I84" t="str">
        <f t="shared" si="9"/>
        <v>Average</v>
      </c>
    </row>
    <row r="85" spans="1:9" x14ac:dyDescent="0.25">
      <c r="A85" t="s">
        <v>86</v>
      </c>
      <c r="B85" s="3">
        <v>176</v>
      </c>
      <c r="C85" s="3">
        <v>345</v>
      </c>
      <c r="D85" s="3">
        <f t="shared" si="6"/>
        <v>169</v>
      </c>
      <c r="E85" s="5">
        <f t="shared" si="7"/>
        <v>0.48985507246376814</v>
      </c>
      <c r="F85">
        <v>0</v>
      </c>
      <c r="G85" t="s">
        <v>115</v>
      </c>
      <c r="H85" t="str">
        <f t="shared" si="8"/>
        <v>High</v>
      </c>
      <c r="I85" t="str">
        <f t="shared" si="9"/>
        <v>not provided</v>
      </c>
    </row>
    <row r="86" spans="1:9" x14ac:dyDescent="0.25">
      <c r="A86" t="s">
        <v>87</v>
      </c>
      <c r="B86" s="3">
        <v>1466</v>
      </c>
      <c r="C86" s="3">
        <v>1699</v>
      </c>
      <c r="D86" s="3">
        <f t="shared" si="6"/>
        <v>233</v>
      </c>
      <c r="E86" s="5">
        <f t="shared" si="7"/>
        <v>0.13713949381989404</v>
      </c>
      <c r="F86">
        <v>0</v>
      </c>
      <c r="G86" t="s">
        <v>115</v>
      </c>
      <c r="H86" t="str">
        <f t="shared" si="8"/>
        <v>Low</v>
      </c>
      <c r="I86" t="str">
        <f t="shared" si="9"/>
        <v>not provided</v>
      </c>
    </row>
    <row r="87" spans="1:9" x14ac:dyDescent="0.25">
      <c r="A87" t="s">
        <v>88</v>
      </c>
      <c r="B87" s="3">
        <v>274</v>
      </c>
      <c r="C87" s="3">
        <v>537</v>
      </c>
      <c r="D87" s="3">
        <f t="shared" si="6"/>
        <v>263</v>
      </c>
      <c r="E87" s="5">
        <f t="shared" si="7"/>
        <v>0.48975791433891991</v>
      </c>
      <c r="F87">
        <v>0</v>
      </c>
      <c r="G87" t="s">
        <v>115</v>
      </c>
      <c r="H87" t="str">
        <f t="shared" si="8"/>
        <v>High</v>
      </c>
      <c r="I87" t="str">
        <f t="shared" si="9"/>
        <v>not provided</v>
      </c>
    </row>
    <row r="88" spans="1:9" x14ac:dyDescent="0.25">
      <c r="A88" t="s">
        <v>89</v>
      </c>
      <c r="B88" s="3">
        <v>799</v>
      </c>
      <c r="C88" s="3">
        <v>900</v>
      </c>
      <c r="D88" s="3">
        <f t="shared" si="6"/>
        <v>101</v>
      </c>
      <c r="E88" s="5">
        <f t="shared" si="7"/>
        <v>0.11222222222222222</v>
      </c>
      <c r="F88">
        <v>0</v>
      </c>
      <c r="G88" t="s">
        <v>115</v>
      </c>
      <c r="H88" t="str">
        <f t="shared" si="8"/>
        <v>Low</v>
      </c>
      <c r="I88" t="str">
        <f t="shared" si="9"/>
        <v>not provided</v>
      </c>
    </row>
    <row r="89" spans="1:9" x14ac:dyDescent="0.25">
      <c r="A89" t="s">
        <v>90</v>
      </c>
      <c r="B89" s="3">
        <v>657</v>
      </c>
      <c r="C89" s="3">
        <v>1288</v>
      </c>
      <c r="D89" s="3">
        <f t="shared" si="6"/>
        <v>631</v>
      </c>
      <c r="E89" s="5">
        <f t="shared" si="7"/>
        <v>0.48990683229813664</v>
      </c>
      <c r="F89">
        <v>0</v>
      </c>
      <c r="G89" t="s">
        <v>115</v>
      </c>
      <c r="H89" t="str">
        <f t="shared" si="8"/>
        <v>High</v>
      </c>
      <c r="I89" t="str">
        <f t="shared" si="9"/>
        <v>not provided</v>
      </c>
    </row>
    <row r="90" spans="1:9" x14ac:dyDescent="0.25">
      <c r="A90" t="s">
        <v>91</v>
      </c>
      <c r="B90" s="3">
        <v>1468</v>
      </c>
      <c r="C90" s="3">
        <v>1699</v>
      </c>
      <c r="D90" s="3">
        <f t="shared" si="6"/>
        <v>231</v>
      </c>
      <c r="E90" s="5">
        <f t="shared" si="7"/>
        <v>0.13596233078281342</v>
      </c>
      <c r="F90">
        <v>0</v>
      </c>
      <c r="G90" t="s">
        <v>115</v>
      </c>
      <c r="H90" t="str">
        <f t="shared" si="8"/>
        <v>Low</v>
      </c>
      <c r="I90" t="str">
        <f t="shared" si="9"/>
        <v>not provided</v>
      </c>
    </row>
    <row r="91" spans="1:9" x14ac:dyDescent="0.25">
      <c r="A91" t="s">
        <v>92</v>
      </c>
      <c r="B91" s="3">
        <v>630</v>
      </c>
      <c r="C91" s="3">
        <v>1100</v>
      </c>
      <c r="D91" s="3">
        <f t="shared" si="6"/>
        <v>470</v>
      </c>
      <c r="E91" s="5">
        <f t="shared" si="7"/>
        <v>0.42727272727272725</v>
      </c>
      <c r="F91">
        <v>0</v>
      </c>
      <c r="G91" t="s">
        <v>115</v>
      </c>
      <c r="H91" t="str">
        <f t="shared" si="8"/>
        <v>High</v>
      </c>
      <c r="I91" t="str">
        <f t="shared" si="9"/>
        <v>not provided</v>
      </c>
    </row>
    <row r="92" spans="1:9" x14ac:dyDescent="0.25">
      <c r="A92" t="s">
        <v>93</v>
      </c>
      <c r="B92" s="3">
        <v>850</v>
      </c>
      <c r="C92" s="3">
        <v>1700</v>
      </c>
      <c r="D92" s="3">
        <f t="shared" si="6"/>
        <v>850</v>
      </c>
      <c r="E92" s="5">
        <f t="shared" si="7"/>
        <v>0.5</v>
      </c>
      <c r="F92">
        <v>0</v>
      </c>
      <c r="G92" t="s">
        <v>115</v>
      </c>
      <c r="H92" t="str">
        <f t="shared" si="8"/>
        <v>High</v>
      </c>
      <c r="I92" t="str">
        <f t="shared" si="9"/>
        <v>not provided</v>
      </c>
    </row>
    <row r="93" spans="1:9" x14ac:dyDescent="0.25">
      <c r="A93" t="s">
        <v>94</v>
      </c>
      <c r="B93" s="3">
        <v>1300</v>
      </c>
      <c r="C93" s="3">
        <v>2500</v>
      </c>
      <c r="D93" s="3">
        <f t="shared" si="6"/>
        <v>1200</v>
      </c>
      <c r="E93" s="5">
        <f t="shared" si="7"/>
        <v>0.48</v>
      </c>
      <c r="F93">
        <v>0</v>
      </c>
      <c r="G93" t="s">
        <v>115</v>
      </c>
      <c r="H93" t="str">
        <f t="shared" si="8"/>
        <v>High</v>
      </c>
      <c r="I93" t="str">
        <f t="shared" si="9"/>
        <v>not provided</v>
      </c>
    </row>
    <row r="94" spans="1:9" x14ac:dyDescent="0.25">
      <c r="A94" t="s">
        <v>95</v>
      </c>
      <c r="B94" s="3">
        <v>105</v>
      </c>
      <c r="C94" s="3">
        <v>200</v>
      </c>
      <c r="D94" s="3">
        <f t="shared" si="6"/>
        <v>95</v>
      </c>
      <c r="E94" s="5">
        <f t="shared" si="7"/>
        <v>0.47499999999999998</v>
      </c>
      <c r="F94">
        <v>0</v>
      </c>
      <c r="G94" t="s">
        <v>115</v>
      </c>
      <c r="H94" t="str">
        <f t="shared" si="8"/>
        <v>High</v>
      </c>
      <c r="I94" t="str">
        <f t="shared" si="9"/>
        <v>not provided</v>
      </c>
    </row>
    <row r="95" spans="1:9" x14ac:dyDescent="0.25">
      <c r="A95" t="s">
        <v>96</v>
      </c>
      <c r="B95" s="3">
        <v>899</v>
      </c>
      <c r="C95" s="3">
        <v>1699</v>
      </c>
      <c r="D95" s="3">
        <f t="shared" si="6"/>
        <v>800</v>
      </c>
      <c r="E95" s="5">
        <f t="shared" si="7"/>
        <v>0.47086521483225424</v>
      </c>
      <c r="F95">
        <v>0</v>
      </c>
      <c r="G95" t="s">
        <v>115</v>
      </c>
      <c r="H95" t="str">
        <f t="shared" si="8"/>
        <v>High</v>
      </c>
      <c r="I95" t="str">
        <f t="shared" si="9"/>
        <v>not provided</v>
      </c>
    </row>
    <row r="96" spans="1:9" x14ac:dyDescent="0.25">
      <c r="A96" t="s">
        <v>97</v>
      </c>
      <c r="B96" s="3">
        <v>1200</v>
      </c>
      <c r="C96" s="3">
        <v>2400</v>
      </c>
      <c r="D96" s="3">
        <f t="shared" si="6"/>
        <v>1200</v>
      </c>
      <c r="E96" s="5">
        <f t="shared" si="7"/>
        <v>0.5</v>
      </c>
      <c r="F96">
        <v>0</v>
      </c>
      <c r="G96" t="s">
        <v>115</v>
      </c>
      <c r="H96" t="str">
        <f t="shared" si="8"/>
        <v>High</v>
      </c>
      <c r="I96" t="str">
        <f t="shared" si="9"/>
        <v>not provided</v>
      </c>
    </row>
    <row r="97" spans="1:9" x14ac:dyDescent="0.25">
      <c r="A97" t="s">
        <v>98</v>
      </c>
      <c r="B97" s="3">
        <v>1526</v>
      </c>
      <c r="C97" s="3">
        <v>1660</v>
      </c>
      <c r="D97" s="3">
        <f t="shared" si="6"/>
        <v>134</v>
      </c>
      <c r="E97" s="5">
        <f t="shared" si="7"/>
        <v>8.0722891566265054E-2</v>
      </c>
      <c r="F97">
        <v>0</v>
      </c>
      <c r="G97" t="s">
        <v>115</v>
      </c>
      <c r="H97" t="str">
        <f t="shared" si="8"/>
        <v>Low</v>
      </c>
      <c r="I97" t="str">
        <f t="shared" si="9"/>
        <v>not provided</v>
      </c>
    </row>
    <row r="98" spans="1:9" x14ac:dyDescent="0.25">
      <c r="A98" t="s">
        <v>99</v>
      </c>
      <c r="B98" s="3">
        <v>1462</v>
      </c>
      <c r="C98" s="3">
        <v>1499</v>
      </c>
      <c r="D98" s="3">
        <f t="shared" ref="D98:D110" si="10">C98-B98</f>
        <v>37</v>
      </c>
      <c r="E98" s="5">
        <f t="shared" ref="E98:E110" si="11">(C98-B98)/C98</f>
        <v>2.4683122081387593E-2</v>
      </c>
      <c r="F98">
        <v>0</v>
      </c>
      <c r="G98" t="s">
        <v>115</v>
      </c>
      <c r="H98" t="str">
        <f t="shared" si="8"/>
        <v>Low</v>
      </c>
      <c r="I98" t="str">
        <f t="shared" si="9"/>
        <v>not provided</v>
      </c>
    </row>
    <row r="99" spans="1:9" x14ac:dyDescent="0.25">
      <c r="A99" t="s">
        <v>100</v>
      </c>
      <c r="B99" s="3">
        <v>248</v>
      </c>
      <c r="C99" s="3">
        <v>486</v>
      </c>
      <c r="D99" s="3">
        <f t="shared" si="10"/>
        <v>238</v>
      </c>
      <c r="E99" s="5">
        <f t="shared" si="11"/>
        <v>0.48971193415637859</v>
      </c>
      <c r="F99">
        <v>0</v>
      </c>
      <c r="G99" t="s">
        <v>115</v>
      </c>
      <c r="H99" t="str">
        <f t="shared" si="8"/>
        <v>High</v>
      </c>
      <c r="I99" t="str">
        <f t="shared" si="9"/>
        <v>not provided</v>
      </c>
    </row>
    <row r="100" spans="1:9" x14ac:dyDescent="0.25">
      <c r="A100" t="s">
        <v>101</v>
      </c>
      <c r="B100" s="3">
        <v>3546</v>
      </c>
      <c r="C100" s="3">
        <v>3699</v>
      </c>
      <c r="D100" s="3">
        <f t="shared" si="10"/>
        <v>153</v>
      </c>
      <c r="E100" s="5">
        <f t="shared" si="11"/>
        <v>4.1362530413625302E-2</v>
      </c>
      <c r="F100">
        <v>0</v>
      </c>
      <c r="G100" t="s">
        <v>115</v>
      </c>
      <c r="H100" t="str">
        <f t="shared" si="8"/>
        <v>Low</v>
      </c>
      <c r="I100" t="str">
        <f t="shared" si="9"/>
        <v>not provided</v>
      </c>
    </row>
    <row r="101" spans="1:9" x14ac:dyDescent="0.25">
      <c r="A101" t="s">
        <v>102</v>
      </c>
      <c r="B101" s="3">
        <v>525</v>
      </c>
      <c r="C101" s="3">
        <v>1029</v>
      </c>
      <c r="D101" s="3">
        <f t="shared" si="10"/>
        <v>504</v>
      </c>
      <c r="E101" s="5">
        <f t="shared" si="11"/>
        <v>0.48979591836734693</v>
      </c>
      <c r="F101">
        <v>0</v>
      </c>
      <c r="G101" t="s">
        <v>115</v>
      </c>
      <c r="H101" t="str">
        <f t="shared" si="8"/>
        <v>High</v>
      </c>
      <c r="I101" t="str">
        <f t="shared" si="9"/>
        <v>not provided</v>
      </c>
    </row>
    <row r="102" spans="1:9" x14ac:dyDescent="0.25">
      <c r="A102" t="s">
        <v>103</v>
      </c>
      <c r="B102" s="3">
        <v>1080</v>
      </c>
      <c r="C102" s="3">
        <v>1874</v>
      </c>
      <c r="D102" s="3">
        <f t="shared" si="10"/>
        <v>794</v>
      </c>
      <c r="E102" s="5">
        <f t="shared" si="11"/>
        <v>0.42369263607257202</v>
      </c>
      <c r="F102">
        <v>0</v>
      </c>
      <c r="G102" t="s">
        <v>115</v>
      </c>
      <c r="H102" t="str">
        <f t="shared" si="8"/>
        <v>High</v>
      </c>
      <c r="I102" t="str">
        <f t="shared" si="9"/>
        <v>not provided</v>
      </c>
    </row>
    <row r="103" spans="1:9" x14ac:dyDescent="0.25">
      <c r="A103" t="s">
        <v>104</v>
      </c>
      <c r="B103" s="3">
        <v>3640</v>
      </c>
      <c r="C103" s="3">
        <v>4588</v>
      </c>
      <c r="D103" s="3">
        <f t="shared" si="10"/>
        <v>948</v>
      </c>
      <c r="E103" s="5">
        <f t="shared" si="11"/>
        <v>0.20662598081952921</v>
      </c>
      <c r="F103">
        <v>1</v>
      </c>
      <c r="G103">
        <v>5</v>
      </c>
      <c r="H103" t="str">
        <f t="shared" si="8"/>
        <v>Medium</v>
      </c>
      <c r="I103" t="str">
        <f t="shared" si="9"/>
        <v>Excellent</v>
      </c>
    </row>
    <row r="104" spans="1:9" x14ac:dyDescent="0.25">
      <c r="A104" t="s">
        <v>105</v>
      </c>
      <c r="B104" s="3">
        <v>1420</v>
      </c>
      <c r="C104" s="3">
        <v>2420</v>
      </c>
      <c r="D104" s="3">
        <f t="shared" si="10"/>
        <v>1000</v>
      </c>
      <c r="E104" s="5">
        <f t="shared" si="11"/>
        <v>0.41322314049586778</v>
      </c>
      <c r="F104">
        <v>0</v>
      </c>
      <c r="G104" t="s">
        <v>115</v>
      </c>
      <c r="H104" t="str">
        <f t="shared" si="8"/>
        <v>High</v>
      </c>
      <c r="I104" t="str">
        <f t="shared" si="9"/>
        <v>not provided</v>
      </c>
    </row>
    <row r="105" spans="1:9" x14ac:dyDescent="0.25">
      <c r="A105" t="s">
        <v>106</v>
      </c>
      <c r="B105" s="3">
        <v>1875</v>
      </c>
      <c r="C105" s="3">
        <v>1899</v>
      </c>
      <c r="D105" s="3">
        <f t="shared" si="10"/>
        <v>24</v>
      </c>
      <c r="E105" s="5">
        <f t="shared" si="11"/>
        <v>1.2638230647709321E-2</v>
      </c>
      <c r="F105">
        <v>0</v>
      </c>
      <c r="G105" t="s">
        <v>115</v>
      </c>
      <c r="H105" t="str">
        <f t="shared" si="8"/>
        <v>Low</v>
      </c>
      <c r="I105" t="str">
        <f t="shared" si="9"/>
        <v>not provided</v>
      </c>
    </row>
    <row r="106" spans="1:9" x14ac:dyDescent="0.25">
      <c r="A106" t="s">
        <v>107</v>
      </c>
      <c r="B106" s="3">
        <v>198</v>
      </c>
      <c r="C106" s="3">
        <v>260</v>
      </c>
      <c r="D106" s="3">
        <f t="shared" si="10"/>
        <v>62</v>
      </c>
      <c r="E106" s="5">
        <f t="shared" si="11"/>
        <v>0.23846153846153847</v>
      </c>
      <c r="F106">
        <v>0</v>
      </c>
      <c r="G106" t="s">
        <v>115</v>
      </c>
      <c r="H106" t="str">
        <f t="shared" si="8"/>
        <v>Medium</v>
      </c>
      <c r="I106" t="str">
        <f t="shared" si="9"/>
        <v>not provided</v>
      </c>
    </row>
    <row r="107" spans="1:9" x14ac:dyDescent="0.25">
      <c r="A107" t="s">
        <v>108</v>
      </c>
      <c r="B107" s="3">
        <v>1150</v>
      </c>
      <c r="C107" s="3">
        <v>1737</v>
      </c>
      <c r="D107" s="3">
        <f t="shared" si="10"/>
        <v>587</v>
      </c>
      <c r="E107" s="5">
        <f t="shared" si="11"/>
        <v>0.3379389752446747</v>
      </c>
      <c r="F107">
        <v>0</v>
      </c>
      <c r="G107" t="s">
        <v>115</v>
      </c>
      <c r="H107" t="str">
        <f t="shared" si="8"/>
        <v>Medium</v>
      </c>
      <c r="I107" t="str">
        <f t="shared" si="9"/>
        <v>not provided</v>
      </c>
    </row>
    <row r="108" spans="1:9" x14ac:dyDescent="0.25">
      <c r="A108" t="s">
        <v>109</v>
      </c>
      <c r="B108" s="3">
        <v>1190</v>
      </c>
      <c r="C108" s="3">
        <v>1810</v>
      </c>
      <c r="D108" s="3">
        <f t="shared" si="10"/>
        <v>620</v>
      </c>
      <c r="E108" s="5">
        <f t="shared" si="11"/>
        <v>0.34254143646408841</v>
      </c>
      <c r="F108">
        <v>0</v>
      </c>
      <c r="G108" t="s">
        <v>115</v>
      </c>
      <c r="H108" t="str">
        <f t="shared" si="8"/>
        <v>Medium</v>
      </c>
      <c r="I108" t="str">
        <f t="shared" si="9"/>
        <v>not provided</v>
      </c>
    </row>
    <row r="109" spans="1:9" x14ac:dyDescent="0.25">
      <c r="A109" t="s">
        <v>110</v>
      </c>
      <c r="B109" s="3">
        <v>1658</v>
      </c>
      <c r="C109" s="3">
        <v>1699</v>
      </c>
      <c r="D109" s="3">
        <f t="shared" si="10"/>
        <v>41</v>
      </c>
      <c r="E109" s="5">
        <f t="shared" si="11"/>
        <v>2.4131842260153032E-2</v>
      </c>
      <c r="F109">
        <v>0</v>
      </c>
      <c r="G109" t="s">
        <v>115</v>
      </c>
      <c r="H109" t="str">
        <f t="shared" si="8"/>
        <v>Low</v>
      </c>
      <c r="I109" t="str">
        <f t="shared" si="9"/>
        <v>not provided</v>
      </c>
    </row>
    <row r="110" spans="1:9" x14ac:dyDescent="0.25">
      <c r="A110" t="s">
        <v>111</v>
      </c>
      <c r="B110" s="3">
        <v>1768</v>
      </c>
      <c r="C110" s="3">
        <v>1799</v>
      </c>
      <c r="D110" s="3">
        <f t="shared" si="10"/>
        <v>31</v>
      </c>
      <c r="E110" s="5">
        <f t="shared" si="11"/>
        <v>1.7231795441912175E-2</v>
      </c>
      <c r="F110">
        <v>0</v>
      </c>
      <c r="G110" t="s">
        <v>115</v>
      </c>
      <c r="H110" t="str">
        <f t="shared" si="8"/>
        <v>Low</v>
      </c>
      <c r="I110" t="str">
        <f t="shared" si="9"/>
        <v>not provided</v>
      </c>
    </row>
    <row r="112" spans="1:9" x14ac:dyDescent="0.25">
      <c r="B112" s="3">
        <f>AVERAGE(B2:B111)</f>
        <v>1212.0550458715597</v>
      </c>
      <c r="C112" s="3">
        <f>AVERAGE(B112)</f>
        <v>1212.0550458715597</v>
      </c>
      <c r="E112" s="5">
        <f>AVERAGE(E2:E111)</f>
        <v>0.36245686583946779</v>
      </c>
      <c r="G112">
        <f>AVERAGE(G103:G111)</f>
        <v>5</v>
      </c>
    </row>
    <row r="114" spans="2:6" x14ac:dyDescent="0.25">
      <c r="B114"/>
      <c r="C114"/>
      <c r="D114"/>
    </row>
    <row r="115" spans="2:6" x14ac:dyDescent="0.25">
      <c r="B115"/>
      <c r="C115"/>
      <c r="D115"/>
      <c r="F115">
        <f>SUM(F2:F114)</f>
        <v>722</v>
      </c>
    </row>
    <row r="116" spans="2:6" x14ac:dyDescent="0.25">
      <c r="B116"/>
      <c r="C116"/>
      <c r="D116"/>
    </row>
    <row r="117" spans="2:6" x14ac:dyDescent="0.25">
      <c r="B117"/>
      <c r="C117"/>
      <c r="D117"/>
    </row>
  </sheetData>
  <conditionalFormatting sqref="A119:A1048576 A1:A111">
    <cfRule type="duplicateValues" dxfId="2" priority="3"/>
  </conditionalFormatting>
  <conditionalFormatting sqref="B1:B1048576">
    <cfRule type="top10" dxfId="1" priority="1" bottom="1" rank="1"/>
    <cfRule type="top10" dxfId="0" priority="2"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Avg rating by discount cat</vt:lpstr>
      <vt:lpstr>Summary</vt:lpstr>
      <vt:lpstr>Discount vs review</vt:lpstr>
      <vt:lpstr>Products by rating cat</vt:lpstr>
      <vt:lpstr>Rating vs disct</vt:lpstr>
      <vt:lpstr>Dashboard</vt:lpstr>
      <vt:lpstr>Top Products Discount</vt:lpstr>
      <vt:lpstr>Top products review</vt:lpstr>
      <vt:lpstr>Rating and review acc disct</vt:lpstr>
      <vt:lpstr>Top Product rating</vt:lpstr>
      <vt:lpstr>Rating vs review</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dc:creator>
  <cp:lastModifiedBy>Guest user</cp:lastModifiedBy>
  <dcterms:created xsi:type="dcterms:W3CDTF">2026-01-26T14:28:49Z</dcterms:created>
  <dcterms:modified xsi:type="dcterms:W3CDTF">2026-01-29T18:39:13Z</dcterms:modified>
</cp:coreProperties>
</file>